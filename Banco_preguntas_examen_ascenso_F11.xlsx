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4.xml" ContentType="application/vnd.openxmlformats-officedocument.spreadsheetml.worksheet+xml"/>
  <Override PartName="/xl/worksheets/sheet13.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18.xml" ContentType="application/vnd.openxmlformats-officedocument.spreadsheetml.worksheet+xml"/>
  <Override PartName="/xl/worksheets/sheet9.xml" ContentType="application/vnd.openxmlformats-officedocument.spreadsheetml.worksheet+xml"/>
  <Override PartName="/xl/worksheets/sheet17.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8.xml" ContentType="application/vnd.openxmlformats-officedocument.spreadsheetml.worksheet+xml"/>
  <Override PartName="/xl/worksheets/sheet20.xml" ContentType="application/vnd.openxmlformats-officedocument.spreadsheetml.worksheet+xml"/>
  <Override PartName="/xl/worksheets/sheet15.xml" ContentType="application/vnd.openxmlformats-officedocument.spreadsheetml.worksheet+xml"/>
  <Override PartName="/xl/worksheets/sheet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anco de preguntas" sheetId="1" state="visible" r:id="rId3"/>
    <sheet name="Resumen Reglas" sheetId="2" state="visible" r:id="rId4"/>
    <sheet name="Regla 1" sheetId="3" state="visible" r:id="rId5"/>
    <sheet name="Regla 2" sheetId="4" state="visible" r:id="rId6"/>
    <sheet name="Regla 3" sheetId="5" state="visible" r:id="rId7"/>
    <sheet name="Regla 4" sheetId="6" state="visible" r:id="rId8"/>
    <sheet name="Regla 5" sheetId="7" state="visible" r:id="rId9"/>
    <sheet name="Regla 6" sheetId="8" state="visible" r:id="rId10"/>
    <sheet name="Regla 7" sheetId="9" state="visible" r:id="rId11"/>
    <sheet name="Regla 8" sheetId="10" state="visible" r:id="rId12"/>
    <sheet name="Regla 9" sheetId="11" state="visible" r:id="rId13"/>
    <sheet name="Regla 10" sheetId="12" state="visible" r:id="rId14"/>
    <sheet name="Regla 11" sheetId="13" state="visible" r:id="rId15"/>
    <sheet name="Regla 12" sheetId="14" state="visible" r:id="rId16"/>
    <sheet name="Regla 13" sheetId="15" state="visible" r:id="rId17"/>
    <sheet name="Regla 14" sheetId="16" state="visible" r:id="rId18"/>
    <sheet name="Regla 15" sheetId="17" state="visible" r:id="rId19"/>
    <sheet name="Regla 16" sheetId="18" state="visible" r:id="rId20"/>
    <sheet name="Regla 17" sheetId="19" state="visible" r:id="rId21"/>
    <sheet name="Glosario" sheetId="20" state="visible" r:id="rId22"/>
    <sheet name="VAR" sheetId="21" state="visible" r:id="rId23"/>
  </sheets>
  <definedNames>
    <definedName function="false" hidden="true" localSheetId="0" name="_xlnm._FilterDatabase" vbProcedure="false">'Banco de preguntas'!$A$1:$M$1391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<sst xmlns="http://schemas.openxmlformats.org/spreadsheetml/2006/main" count="25947" uniqueCount="8070">
  <si>
    <t xml:space="preserve">ID</t>
  </si>
  <si>
    <t xml:space="preserve">Bloque</t>
  </si>
  <si>
    <t xml:space="preserve">Artículo/Regla</t>
  </si>
  <si>
    <t xml:space="preserve">Enunciado</t>
  </si>
  <si>
    <t xml:space="preserve">Opción A</t>
  </si>
  <si>
    <t xml:space="preserve">Opción B</t>
  </si>
  <si>
    <t xml:space="preserve">Opción C</t>
  </si>
  <si>
    <t xml:space="preserve">Correcta</t>
  </si>
  <si>
    <t xml:space="preserve">Explicación</t>
  </si>
  <si>
    <t xml:space="preserve">Referencia</t>
  </si>
  <si>
    <t xml:space="preserve">Fuente</t>
  </si>
  <si>
    <t xml:space="preserve">Dificultad</t>
  </si>
  <si>
    <t xml:space="preserve">Página</t>
  </si>
  <si>
    <t xml:space="preserve">BC-001</t>
  </si>
  <si>
    <t xml:space="preserve">normativa</t>
  </si>
  <si>
    <t xml:space="preserve">Art. 20</t>
  </si>
  <si>
    <t xml:space="preserve">Según las Bases de Competición, ¿qué obligación tiene el club local respecto a la asistencia sanitaria en cada partido?</t>
  </si>
  <si>
    <t xml:space="preserve">Disponer de un médico colegiado en plantilla y una ambulancia de soporte vital básico.</t>
  </si>
  <si>
    <t xml:space="preserve">Disponer únicamente de un fisioterapeuta en el banquillo local.</t>
  </si>
  <si>
    <t xml:space="preserve">Disponer de una ambulancia solo cuando lo solicite el equipo visitante.</t>
  </si>
  <si>
    <t xml:space="preserve">A</t>
  </si>
  <si>
    <t xml:space="preserve">El Artículo 20 exige médico colegiado obligatorio presente como local y ambulancia de soporte vital básico aportada por el club local.</t>
  </si>
  <si>
    <t xml:space="preserve">Resumen_Articulos_Bases_Competicion_20-30.pdf</t>
  </si>
  <si>
    <t xml:space="preserve">BC-002</t>
  </si>
  <si>
    <t xml:space="preserve">¿Quién es responsable, entre otras funciones, del control antidopaje según el Artículo 20 de las Bases de Competición?</t>
  </si>
  <si>
    <t xml:space="preserve">El delegado de campo.</t>
  </si>
  <si>
    <t xml:space="preserve">El médico colegiado de la plantilla.</t>
  </si>
  <si>
    <t xml:space="preserve">El cuarto árbitro.</t>
  </si>
  <si>
    <t xml:space="preserve">B</t>
  </si>
  <si>
    <t xml:space="preserve">El médico colegiado obligatorio en plantilla es responsable, entre otras cosas, del control antidopaje.</t>
  </si>
  <si>
    <t xml:space="preserve">BC-003</t>
  </si>
  <si>
    <t xml:space="preserve">Art. 23</t>
  </si>
  <si>
    <t xml:space="preserve">¿Cuál es el número mínimo de futbolistas de la plantilla de la categoría necesario para poder empezar un partido según el Artículo 23 de las Bases de Competición?</t>
  </si>
  <si>
    <t xml:space="preserve">7 futbolistas.</t>
  </si>
  <si>
    <t xml:space="preserve">8 futbolistas.</t>
  </si>
  <si>
    <t xml:space="preserve">9 futbolistas.</t>
  </si>
  <si>
    <t xml:space="preserve">El Artículo 23 exige un mínimo de 7 futbolistas de la plantilla de la categoría para poder empezar el partido; en caso contrario, incomparecencia.</t>
  </si>
  <si>
    <t xml:space="preserve">BC-004</t>
  </si>
  <si>
    <t xml:space="preserve">Durante un partido, ¿cuántos futbolistas como máximo pueden no pertenecer a la plantilla de la categoría en que militan, según el Artículo 23 de las Bases de Competición?</t>
  </si>
  <si>
    <t xml:space="preserve">2 futbolistas.</t>
  </si>
  <si>
    <t xml:space="preserve">4 futbolistas.</t>
  </si>
  <si>
    <t xml:space="preserve">6 futbolistas.</t>
  </si>
  <si>
    <t xml:space="preserve">El Artículo 23 fija un máximo de 4 futbolistas que no pertenezcan a la plantilla de la categoría durante el partido.</t>
  </si>
  <si>
    <t xml:space="preserve">BC-005</t>
  </si>
  <si>
    <t xml:space="preserve">Si un equipo se presenta con menos de 7 futbolistas de su plantilla de categoría, ¿qué situación se produce según el Artículo 23 de las Bases de Competición?</t>
  </si>
  <si>
    <t xml:space="preserve">Se retrasa el inicio 30 minutos.</t>
  </si>
  <si>
    <t xml:space="preserve">Incomparecencia.</t>
  </si>
  <si>
    <t xml:space="preserve">Se juega igualmente con autorización del árbitro.</t>
  </si>
  <si>
    <t xml:space="preserve">El mínimo de 7 futbolistas de la plantilla de la categoría es requisito para empezar; de no cumplirse, se considera incomparecencia.</t>
  </si>
  <si>
    <t xml:space="preserve">BC-006</t>
  </si>
  <si>
    <t xml:space="preserve">Art. 24</t>
  </si>
  <si>
    <t xml:space="preserve">¿Cuál es el número máximo de suplentes posibles según el Artículo 24 de las Bases de Competición?</t>
  </si>
  <si>
    <t xml:space="preserve">7 suplentes.</t>
  </si>
  <si>
    <t xml:space="preserve">9 suplentes.</t>
  </si>
  <si>
    <t xml:space="preserve">12 suplentes.</t>
  </si>
  <si>
    <t xml:space="preserve">El Artículo 24 establece un máximo de 9 suplentes posibles.</t>
  </si>
  <si>
    <t xml:space="preserve">BC-007</t>
  </si>
  <si>
    <t xml:space="preserve">¿Cuántas sustituciones efectivas como máximo, y en cuántas interrupciones por equipo, permite el Artículo 24 de las Bases de Competición?</t>
  </si>
  <si>
    <t xml:space="preserve">3 sustituciones en 2 interrupciones.</t>
  </si>
  <si>
    <t xml:space="preserve">5 sustituciones en 3 interrupciones.</t>
  </si>
  <si>
    <t xml:space="preserve">6 sustituciones en 4 interrupciones.</t>
  </si>
  <si>
    <t xml:space="preserve">El Artículo 24 permite máximo 5 sustituciones efectivas, distribuidas en 3 interrupciones por equipo, previa autorización arbitral.</t>
  </si>
  <si>
    <t xml:space="preserve">BC-008</t>
  </si>
  <si>
    <t xml:space="preserve">En el Play Off de Ascenso, si el partido llega a la prórroga, ¿qué sustituciones adicionales contempla el Artículo 24 de las Bases de Competición?</t>
  </si>
  <si>
    <t xml:space="preserve">2 sustituciones adicionales y 2 oportunidades más.</t>
  </si>
  <si>
    <t xml:space="preserve">1 sustitución adicional y 1 oportunidad de sustitución más.</t>
  </si>
  <si>
    <t xml:space="preserve">No se permite ninguna sustitución adicional en prórroga.</t>
  </si>
  <si>
    <t xml:space="preserve">En Play Off de Ascenso y Torneo de Permanencia, si hay prórroga se concede 1 sustitución adicional y 1 oportunidad de sustitución más.</t>
  </si>
  <si>
    <t xml:space="preserve">BC-009</t>
  </si>
  <si>
    <t xml:space="preserve">¿Cuántos futbolistas como máximo pueden calentar por equipo en banda junto al preparador físico, según el Artículo 24 de las Bases de Competición?</t>
  </si>
  <si>
    <t xml:space="preserve">3 futbolistas.</t>
  </si>
  <si>
    <t xml:space="preserve">5 futbolistas.</t>
  </si>
  <si>
    <t xml:space="preserve">El Artículo 24 fija un máximo de 5 futbolistas por equipo calentando en banda junto al preparador físico.</t>
  </si>
  <si>
    <t xml:space="preserve">BC-010</t>
  </si>
  <si>
    <t xml:space="preserve">¿Se puede sustituir a un futbolista que ha sido expulsado, según el Artículo 24 de las Bases de Competición?</t>
  </si>
  <si>
    <t xml:space="preserve">Sí, siempre que queden sustituciones disponibles.</t>
  </si>
  <si>
    <t xml:space="preserve">No, en ningún caso.</t>
  </si>
  <si>
    <t xml:space="preserve">Sí, pero solo en la segunda parte.</t>
  </si>
  <si>
    <t xml:space="preserve">El Artículo 24 establece expresamente que no se puede sustituir a un futbolista expulsado.</t>
  </si>
  <si>
    <t xml:space="preserve">BC-011</t>
  </si>
  <si>
    <t xml:space="preserve">¿Quién puede acceder al vestuario según el Artículo 24 de las Bases de Competición?</t>
  </si>
  <si>
    <t xml:space="preserve">Cualquier aficionado o socio acreditado por el club, sin ninguna restricción adicional.</t>
  </si>
  <si>
    <t xml:space="preserve">Solo miembros autorizados: equipo arbitral, futbolistas inscritos en acta, técnicos, médicos, fisioterapeutas, delegados, etc.</t>
  </si>
  <si>
    <t xml:space="preserve">Únicamente los capitanes de ambos equipos y el delegado de campo del club local.</t>
  </si>
  <si>
    <t xml:space="preserve">El Artículo 24 limita el acceso al vestuario a los miembros autorizados expresamente enumerados.</t>
  </si>
  <si>
    <t xml:space="preserve">BC-012</t>
  </si>
  <si>
    <t xml:space="preserve">Art. 25</t>
  </si>
  <si>
    <t xml:space="preserve">¿A qué normativa de juego están sujetos obligatoriamente los partidos según el Artículo 25 de las Bases de Competición?</t>
  </si>
  <si>
    <t xml:space="preserve">A las Reglas de Juego de la IFAB vigentes en la temporada en curso.</t>
  </si>
  <si>
    <t xml:space="preserve">A las Reglas de Juego que decida cada federación autonómica.</t>
  </si>
  <si>
    <t xml:space="preserve">A un reglamento propio de la RFEF independiente de la IFAB.</t>
  </si>
  <si>
    <t xml:space="preserve">El Artículo 25 establece la sujeción obligatoria a las Reglas de Juego de la IFAB vigentes en la temporada en curso.</t>
  </si>
  <si>
    <t xml:space="preserve">BC-013</t>
  </si>
  <si>
    <t xml:space="preserve">Art. 26</t>
  </si>
  <si>
    <t xml:space="preserve">Según el Artículo 26 de las Bases de Competición, ¿con qué balón es obligatorio disputar todos los partidos de la competición?</t>
  </si>
  <si>
    <t xml:space="preserve">Con cualquier balón homologado por la FIFA.</t>
  </si>
  <si>
    <t xml:space="preserve">Con el balón oficial aprobado por la RFEF para esa competición.</t>
  </si>
  <si>
    <t xml:space="preserve">Con el balón que elija el club local en cada jornada.</t>
  </si>
  <si>
    <t xml:space="preserve">El Artículo 26 obliga a disputar todos los partidos, en fase regular y sucesivas fases, con el balón oficial aprobado por la RFEF.</t>
  </si>
  <si>
    <t xml:space="preserve">BC-014</t>
  </si>
  <si>
    <t xml:space="preserve">Art. 27</t>
  </si>
  <si>
    <t xml:space="preserve">¿Qué consecuencia tiene el incumplimiento del pago de honorarios arbitrales según el Artículo 27 de las Bases de Competición?</t>
  </si>
  <si>
    <t xml:space="preserve">Ninguna, es un asunto exclusivamente económico entre clubes.</t>
  </si>
  <si>
    <t xml:space="preserve">Sanciones disciplinarias y competicionales.</t>
  </si>
  <si>
    <t xml:space="preserve">Solo un recargo económico sin efectos deportivos.</t>
  </si>
  <si>
    <t xml:space="preserve">El Artículo 27 establece que el incumplimiento del pago de honorarios arbitrales conlleva sanciones disciplinarias y competicionales.</t>
  </si>
  <si>
    <t xml:space="preserve">BC-015</t>
  </si>
  <si>
    <t xml:space="preserve">Art. 28</t>
  </si>
  <si>
    <t xml:space="preserve">¿Cuántas equipaciones mínimas deben comunicarse al Departamento de Competiciones junto con la inscripción, según el Artículo 28 de las Bases de Competición?</t>
  </si>
  <si>
    <t xml:space="preserve">1 equipación.</t>
  </si>
  <si>
    <t xml:space="preserve">2 equipaciones.</t>
  </si>
  <si>
    <t xml:space="preserve">3 equipaciones.</t>
  </si>
  <si>
    <t xml:space="preserve">El Artículo 28 exige un mínimo de 2 equipaciones comunicadas junto con la inscripción.</t>
  </si>
  <si>
    <t xml:space="preserve">BC-016</t>
  </si>
  <si>
    <t xml:space="preserve">¿Qué tipo de contenido publicitario está prohibido, incluso en el brazalete de capitán, según el Artículo 28 de las Bases de Competición?</t>
  </si>
  <si>
    <t xml:space="preserve">Contenido político o religioso.</t>
  </si>
  <si>
    <t xml:space="preserve">Contenido de marcas de bebidas isotónicas.</t>
  </si>
  <si>
    <t xml:space="preserve">Contenido de otras entidades deportivas nacionales.</t>
  </si>
  <si>
    <t xml:space="preserve">El Artículo 28 exige publicidad siempre de contenido comercial y prohíbe expresamente el contenido político o religioso, también en el brazalete de capitán.</t>
  </si>
  <si>
    <t xml:space="preserve">BC-017</t>
  </si>
  <si>
    <t xml:space="preserve">¿En qué manga es obligatorio el parche identificativo RFEF/competición según el Artículo 28 de las Bases de Competición?</t>
  </si>
  <si>
    <t xml:space="preserve">En la manga izquierda.</t>
  </si>
  <si>
    <t xml:space="preserve">En la manga derecha.</t>
  </si>
  <si>
    <t xml:space="preserve">En ambas mangas.</t>
  </si>
  <si>
    <t xml:space="preserve">El Artículo 28 establece el parche identificativo RFEF/competición obligatorio en la manga derecha.</t>
  </si>
  <si>
    <t xml:space="preserve">BC-018</t>
  </si>
  <si>
    <t xml:space="preserve">¿Qué altura debe tener el dorsal en la espalda según el Artículo 28 de las Bases de Competición?</t>
  </si>
  <si>
    <t xml:space="preserve">20 cm.</t>
  </si>
  <si>
    <t xml:space="preserve">25 cm.</t>
  </si>
  <si>
    <t xml:space="preserve">30 cm.</t>
  </si>
  <si>
    <t xml:space="preserve">El Artículo 28 fija 25 cm de altura para el dorsal en la espalda.</t>
  </si>
  <si>
    <t xml:space="preserve">BC-019</t>
  </si>
  <si>
    <t xml:space="preserve">¿Qué altura debe tener la identificación nominal situada encima del dorsal, según el Artículo 28 de las Bases de Competición?</t>
  </si>
  <si>
    <t xml:space="preserve">5 cm.</t>
  </si>
  <si>
    <t xml:space="preserve">7,5 cm.</t>
  </si>
  <si>
    <t xml:space="preserve">10 cm.</t>
  </si>
  <si>
    <t xml:space="preserve">El Artículo 28 establece 7,5 cm de altura para la identificación nominal encima del dorsal.</t>
  </si>
  <si>
    <t xml:space="preserve">BC-020</t>
  </si>
  <si>
    <t xml:space="preserve">Según el Artículo 28 de las Bases de Competición, ¿qué números de dorsal están reservados a los guardametas y a un eventual tercer guardameta?</t>
  </si>
  <si>
    <t xml:space="preserve">El 1 y el 13 para guardametas; el 25 reservado para un eventual tercer guardameta.</t>
  </si>
  <si>
    <t xml:space="preserve">El 1 y el 12 para guardametas; el 24 para el tercer guardameta.</t>
  </si>
  <si>
    <t xml:space="preserve">Solo el número 1 está reservado, sin reserva adicional para un tercer guardameta.</t>
  </si>
  <si>
    <t xml:space="preserve">El Artículo 28 reserva el 1 y el 13 para guardametas, y el 25 para un eventual tercer guardameta, dentro de la numeración del 1 al 25.</t>
  </si>
  <si>
    <t xml:space="preserve">BC-021</t>
  </si>
  <si>
    <t xml:space="preserve">¿A partir de qué número deben llevar dorsal fijo los futbolistas de equipos filiales/dependientes, según el Artículo 28 de las Bases de Competición?</t>
  </si>
  <si>
    <t xml:space="preserve">A partir del número 20.</t>
  </si>
  <si>
    <t xml:space="preserve">A partir del número 26.</t>
  </si>
  <si>
    <t xml:space="preserve">A partir del número 30.</t>
  </si>
  <si>
    <t xml:space="preserve">El Artículo 28 exige a los futbolistas de equipos filiales/dependientes un dorsal fijo a partir del número 26.</t>
  </si>
  <si>
    <t xml:space="preserve">BC-022</t>
  </si>
  <si>
    <t xml:space="preserve">¿Qué altura debe tener el dorsal situado en el pantalón, en su parte anterior derecha, según el Artículo 28 de las Bases de Competición?</t>
  </si>
  <si>
    <t xml:space="preserve">15 cm.</t>
  </si>
  <si>
    <t xml:space="preserve">El Artículo 28 fija 10 cm de altura para el dorsal en la parte anterior derecha del pantalón.</t>
  </si>
  <si>
    <t xml:space="preserve">BC-023</t>
  </si>
  <si>
    <t xml:space="preserve">¿Con cuánta antelación mínima al inicio de la competición debe remitirse la relación de plantilla y dorsales al Departamento de Competiciones, según el Artículo 28 de las Bases de Competición?</t>
  </si>
  <si>
    <t xml:space="preserve">5 días.</t>
  </si>
  <si>
    <t xml:space="preserve">10 días.</t>
  </si>
  <si>
    <t xml:space="preserve">15 días.</t>
  </si>
  <si>
    <t xml:space="preserve">El Artículo 28 exige remitir la relación de plantilla y dorsales con al menos 10 días de antelación al inicio de la competición.</t>
  </si>
  <si>
    <t xml:space="preserve">BC-024</t>
  </si>
  <si>
    <t xml:space="preserve">Art. 29</t>
  </si>
  <si>
    <t xml:space="preserve">¿Está permitido alterar las medidas del rectángulo de juego declaradas al inicio de temporada, según el Artículo 29 de las Bases de Competición?</t>
  </si>
  <si>
    <t xml:space="preserve">Sí, siempre que se informe al árbitro y a la RFEF antes del inicio del partido.</t>
  </si>
  <si>
    <t xml:space="preserve">No, está prohibido alterar esas medidas una vez declaradas al inicio de temporada.</t>
  </si>
  <si>
    <t xml:space="preserve">Sí, únicamente en el campo alternativo declarado al inicio de temporada.</t>
  </si>
  <si>
    <t xml:space="preserve">El Artículo 29 prohíbe expresamente alterar las medidas del rectángulo de juego declaradas al inicio de temporada.</t>
  </si>
  <si>
    <t xml:space="preserve">BC-025</t>
  </si>
  <si>
    <t xml:space="preserve">¿Dentro de qué ámbito territorial deben estar el campo principal y el alternativo, según el Artículo 29 de las Bases de Competición?</t>
  </si>
  <si>
    <t xml:space="preserve">Dentro del ámbito territorial de la federación autonómica del club.</t>
  </si>
  <si>
    <t xml:space="preserve">En cualquier comunidad autónoma de España.</t>
  </si>
  <si>
    <t xml:space="preserve">Solo en el mismo municipio del club, sin más restricciones.</t>
  </si>
  <si>
    <t xml:space="preserve">El Artículo 29 exige que el campo principal y el alternativo estén dentro del ámbito territorial de la federación autonómica del club.</t>
  </si>
  <si>
    <t xml:space="preserve">BC-026</t>
  </si>
  <si>
    <t xml:space="preserve">Art. 30</t>
  </si>
  <si>
    <t xml:space="preserve">¿Hasta qué día y hora debe solicitarse a través de Novanet un acto protocolario para un partido de jornada de fin de semana, según el Artículo 30 de las Bases de Competición?</t>
  </si>
  <si>
    <t xml:space="preserve">Los jueves a las 12h.</t>
  </si>
  <si>
    <t xml:space="preserve">Los viernes a las 12h.</t>
  </si>
  <si>
    <t xml:space="preserve">Los sábados a las 10h.</t>
  </si>
  <si>
    <t xml:space="preserve">El Artículo 30 exige solicitar los actos protocolarios antes de los viernes a las 12h (o los martes a las 12h si es jornada intersemanal).</t>
  </si>
  <si>
    <t xml:space="preserve">BC-027</t>
  </si>
  <si>
    <t xml:space="preserve">Si se produce un fallecimiento fuera de plazo y el club quiere guardar un minuto de silencio, ¿qué exige el Artículo 30 de las Bases de Competición?</t>
  </si>
  <si>
    <t xml:space="preserve">Necesita autorización previa igualmente, sin excepciones.</t>
  </si>
  <si>
    <t xml:space="preserve">No necesita autorización previa, pero sí informar al árbitro.</t>
  </si>
  <si>
    <t xml:space="preserve">Queda automáticamente prohibido por falta de plazo.</t>
  </si>
  <si>
    <t xml:space="preserve">El Artículo 30 exceptúa de autorización previa el fallecimiento fuera de plazo, aunque exige informar al árbitro.</t>
  </si>
  <si>
    <t xml:space="preserve">BC-028</t>
  </si>
  <si>
    <t xml:space="preserve">¿Cuánto tiempo antes del inicio del partido deben haber finalizado una entrega de trofeos o un homenaje del club local, según el Artículo 30 de las Bases de Competición?</t>
  </si>
  <si>
    <t xml:space="preserve">5 minutos antes.</t>
  </si>
  <si>
    <t xml:space="preserve">7 minutos antes.</t>
  </si>
  <si>
    <t xml:space="preserve">10 minutos antes.</t>
  </si>
  <si>
    <t xml:space="preserve">El Artículo 30 exige que la entrega de trofeos y los homenajes del club local acaben 7 minutos antes del inicio del partido.</t>
  </si>
  <si>
    <t xml:space="preserve">BC-029</t>
  </si>
  <si>
    <t xml:space="preserve">Según el Artículo 23 de las Bases de Competición, ¿qué debe hacer el árbitro respecto a las alineaciones antes del inicio del partido?</t>
  </si>
  <si>
    <t xml:space="preserve">Debe ser informado de titulares, suplentes y banquillo técnico antes del inicio.</t>
  </si>
  <si>
    <t xml:space="preserve">No es necesario informar al árbitro salvo cambios de última hora.</t>
  </si>
  <si>
    <t xml:space="preserve">Solo debe ser informado si hay futbolistas ajenos a la plantilla de la categoría.</t>
  </si>
  <si>
    <t xml:space="preserve">El Artículo 23 exige que el árbitro sea informado antes del inicio del partido de titulares/suplentes y del banquillo técnico.</t>
  </si>
  <si>
    <t xml:space="preserve">BC-030</t>
  </si>
  <si>
    <t xml:space="preserve">¿Qué debe declarar el club a la RFEF al inscribirse, según el Artículo 29 de las Bases de Competición?</t>
  </si>
  <si>
    <t xml:space="preserve">Situación, medidas, superficie y campo alternativo.</t>
  </si>
  <si>
    <t xml:space="preserve">Únicamente el aforo del estadio.</t>
  </si>
  <si>
    <t xml:space="preserve">El nombre del preparador físico y del delegado.</t>
  </si>
  <si>
    <t xml:space="preserve">El Artículo 29 obliga a informar a la RFEF, al inscribirse, sobre situación, medidas, superficie y campo alternativo.</t>
  </si>
  <si>
    <t xml:space="preserve">BC-031</t>
  </si>
  <si>
    <t xml:space="preserve">¿Qué artículo de las Bases de Competición lleva por título «Obligaciones de dotación médica»?</t>
  </si>
  <si>
    <t xml:space="preserve">Artículo 23</t>
  </si>
  <si>
    <t xml:space="preserve">Artículo 20</t>
  </si>
  <si>
    <t xml:space="preserve">Artículo 25</t>
  </si>
  <si>
    <t xml:space="preserve">En las Bases de Competición, el Artículo 20 se titula «Obligaciones de dotación médica».</t>
  </si>
  <si>
    <t xml:space="preserve">BC-032</t>
  </si>
  <si>
    <t xml:space="preserve">¿Qué título recibe el Artículo 20 de las Bases de Competición?</t>
  </si>
  <si>
    <t xml:space="preserve">Obligaciones de dotación médica</t>
  </si>
  <si>
    <t xml:space="preserve">Actos previos y protocolarios</t>
  </si>
  <si>
    <t xml:space="preserve">Reglas del juego</t>
  </si>
  <si>
    <t xml:space="preserve">BC-033</t>
  </si>
  <si>
    <t xml:space="preserve">¿Qué artículo de las Bases de Competición lleva por título «Alineación de futbolistas»?</t>
  </si>
  <si>
    <t xml:space="preserve">Artículo 27</t>
  </si>
  <si>
    <t xml:space="preserve">Artículo 26</t>
  </si>
  <si>
    <t xml:space="preserve">En las Bases de Competición, el Artículo 23 se titula «Alineación de futbolistas».</t>
  </si>
  <si>
    <t xml:space="preserve">BC-034</t>
  </si>
  <si>
    <t xml:space="preserve">¿Qué título recibe el Artículo 23 de las Bases de Competición?</t>
  </si>
  <si>
    <t xml:space="preserve">Alineación de futbolistas</t>
  </si>
  <si>
    <t xml:space="preserve">Suplentes y sustituciones</t>
  </si>
  <si>
    <t xml:space="preserve">BC-035</t>
  </si>
  <si>
    <t xml:space="preserve">¿Qué artículo de las Bases de Competición lleva por título «Suplentes y sustituciones»?</t>
  </si>
  <si>
    <t xml:space="preserve">Artículo 24</t>
  </si>
  <si>
    <t xml:space="preserve">C</t>
  </si>
  <si>
    <t xml:space="preserve">En las Bases de Competición, el Artículo 24 se titula «Suplentes y sustituciones».</t>
  </si>
  <si>
    <t xml:space="preserve">BC-036</t>
  </si>
  <si>
    <t xml:space="preserve">¿Qué título recibe el Artículo 24 de las Bases de Competición?</t>
  </si>
  <si>
    <t xml:space="preserve">BC-037</t>
  </si>
  <si>
    <t xml:space="preserve">¿Qué artículo de las Bases de Competición lleva por título «Reglas del juego»?</t>
  </si>
  <si>
    <t xml:space="preserve">En las Bases de Competición, el Artículo 25 se titula «Reglas del juego».</t>
  </si>
  <si>
    <t xml:space="preserve">BC-038</t>
  </si>
  <si>
    <t xml:space="preserve">¿Qué título recibe el Artículo 25 de las Bases de Competición?</t>
  </si>
  <si>
    <t xml:space="preserve">Arbitraje</t>
  </si>
  <si>
    <t xml:space="preserve">BC-039</t>
  </si>
  <si>
    <t xml:space="preserve">¿Qué artículo de las Bases de Competición lleva por título «Balón oficial»?</t>
  </si>
  <si>
    <t xml:space="preserve">En las Bases de Competición, el Artículo 26 se titula «Balón oficial».</t>
  </si>
  <si>
    <t xml:space="preserve">BC-040</t>
  </si>
  <si>
    <t xml:space="preserve">¿Qué título recibe el Artículo 26 de las Bases de Competición?</t>
  </si>
  <si>
    <t xml:space="preserve">Balón oficial</t>
  </si>
  <si>
    <t xml:space="preserve">BC-041</t>
  </si>
  <si>
    <t xml:space="preserve">¿Qué artículo de las Bases de Competición lleva por título «Arbitraje»?</t>
  </si>
  <si>
    <t xml:space="preserve">En las Bases de Competición, el Artículo 27 se titula «Arbitraje».</t>
  </si>
  <si>
    <t xml:space="preserve">BC-042</t>
  </si>
  <si>
    <t xml:space="preserve">¿Qué título recibe el Artículo 27 de las Bases de Competición?</t>
  </si>
  <si>
    <t xml:space="preserve">Uniformidad</t>
  </si>
  <si>
    <t xml:space="preserve">BC-043</t>
  </si>
  <si>
    <t xml:space="preserve">¿Qué artículo de las Bases de Competición lleva por título «Uniformidad»?</t>
  </si>
  <si>
    <t xml:space="preserve">Artículo 28</t>
  </si>
  <si>
    <t xml:space="preserve">Artículo 30</t>
  </si>
  <si>
    <t xml:space="preserve">En las Bases de Competición, el Artículo 28 se titula «Uniformidad».</t>
  </si>
  <si>
    <t xml:space="preserve">BC-044</t>
  </si>
  <si>
    <t xml:space="preserve">¿Qué título recibe el Artículo 28 de las Bases de Competición?</t>
  </si>
  <si>
    <t xml:space="preserve">BC-045</t>
  </si>
  <si>
    <t xml:space="preserve">¿Qué artículo de las Bases de Competición lleva por título «Campo de juego e instalaciones»?</t>
  </si>
  <si>
    <t xml:space="preserve">Artículo 29</t>
  </si>
  <si>
    <t xml:space="preserve">En las Bases de Competición, el Artículo 29 se titula «Campo de juego e instalaciones».</t>
  </si>
  <si>
    <t xml:space="preserve">BC-046</t>
  </si>
  <si>
    <t xml:space="preserve">¿Qué título recibe el Artículo 29 de las Bases de Competición?</t>
  </si>
  <si>
    <t xml:space="preserve">Campo de juego e instalaciones</t>
  </si>
  <si>
    <t xml:space="preserve">BC-047</t>
  </si>
  <si>
    <t xml:space="preserve">¿Qué artículo de las Bases de Competición lleva por título «Actos previos y protocolarios»?</t>
  </si>
  <si>
    <t xml:space="preserve">En las Bases de Competición, el Artículo 30 se titula «Actos previos y protocolarios».</t>
  </si>
  <si>
    <t xml:space="preserve">BC-048</t>
  </si>
  <si>
    <t xml:space="preserve">¿Qué título recibe el Artículo 30 de las Bases de Competición?</t>
  </si>
  <si>
    <t xml:space="preserve">BC-049</t>
  </si>
  <si>
    <t xml:space="preserve">Según el Artículo 23 de las Bases de Competición, ¿por qué normativa se rigen los futbolistas de equipos filiales/dependientes?</t>
  </si>
  <si>
    <t xml:space="preserve">Por la normativa específica de la RFEF.</t>
  </si>
  <si>
    <t xml:space="preserve">Por la normativa específica de la federación autonómica correspondiente.</t>
  </si>
  <si>
    <t xml:space="preserve">Por la normativa general de la competición en la que militen.</t>
  </si>
  <si>
    <t xml:space="preserve">Según el Artículo 23, los futbolistas de filiales/dependientes se rigen por la normativa específica de la RFEF.</t>
  </si>
  <si>
    <t xml:space="preserve">BC-050</t>
  </si>
  <si>
    <t xml:space="preserve">Además de declarar situación, medidas y superficie del campo, ¿qué otro requisito exige el Artículo 29 de las Bases de Competición sobre las instalaciones?</t>
  </si>
  <si>
    <t xml:space="preserve">Disponer de licencia de apertura y funcionamiento vigente.</t>
  </si>
  <si>
    <t xml:space="preserve">Disponer de licencia de obras y homologación técnica vigente.</t>
  </si>
  <si>
    <t xml:space="preserve">Disponer de seguro de responsabilidad civil y licencia de apertura provisional.</t>
  </si>
  <si>
    <t xml:space="preserve">El Artículo 29 exige que las instalaciones dispongan de licencia de apertura y funcionamiento vigente.</t>
  </si>
  <si>
    <t xml:space="preserve">BC-051</t>
  </si>
  <si>
    <t xml:space="preserve">Según el Artículo 30 de las Bases de Competición, ¿hasta cuándo debe solicitarse a través de Novanet un acto protocolario, según el tipo de jornada?</t>
  </si>
  <si>
    <t xml:space="preserve">Los viernes a las 12h para jornada de fin de semana, o los martes a las 12h si es jornada intersemanal.</t>
  </si>
  <si>
    <t xml:space="preserve">Los jueves a las 12h para jornada de fin de semana, o los lunes a las 12h si es jornada intersemanal.</t>
  </si>
  <si>
    <t xml:space="preserve">Los viernes a las 12h para jornada de fin de semana, o los miércoles a las 12h si es jornada intersemanal.</t>
  </si>
  <si>
    <t xml:space="preserve">El Artículo 30 estipula que estas solicitudes se hacen a través de Novanet antes de los viernes a las 12h, o los martes a las 12h si se trata de una jornada intersemanal.</t>
  </si>
  <si>
    <t xml:space="preserve">BC-052</t>
  </si>
  <si>
    <t xml:space="preserve">Según el Artículo 30 de las Bases de Competición, ¿qué requieren con carácter general el minuto de silencio, los brazaletes negros, los saques de honor y la entrega de trofeos?</t>
  </si>
  <si>
    <t xml:space="preserve">Autorización previa, salvo en caso de fallecimiento fuera de plazo, que solo requiere informar al árbitro.</t>
  </si>
  <si>
    <t xml:space="preserve">Comunicación previa al árbitro, salvo en caso de fallecimiento fuera de plazo, que requiere autorización.</t>
  </si>
  <si>
    <t xml:space="preserve">Autorización previa en todos los casos, incluido el fallecimiento fuera de plazo.</t>
  </si>
  <si>
    <t xml:space="preserve">El Artículo 30 exige autorización previa para estos actos protocolarios, salvo la excepción expresa del fallecimiento fuera de plazo, que no necesita autorización pero sí informar al árbitro.</t>
  </si>
  <si>
    <t xml:space="preserve">RC-001</t>
  </si>
  <si>
    <t xml:space="preserve">Art. 105</t>
  </si>
  <si>
    <t xml:space="preserve">¿Cuántos asistentes componen el equipo arbitral en fútbol 11 según el Artículo 105 del Reglamento de Competiciones?</t>
  </si>
  <si>
    <t xml:space="preserve">1 asistente.</t>
  </si>
  <si>
    <t xml:space="preserve">2 asistentes.</t>
  </si>
  <si>
    <t xml:space="preserve">3 asistentes.</t>
  </si>
  <si>
    <t xml:space="preserve">El Artículo 105 establece que el equipo arbitral se compone de principal, 2 asistentes, 4º árbitro y VAR/AVAR.</t>
  </si>
  <si>
    <t xml:space="preserve">ResumenReglamentoCompeticiones.pdf</t>
  </si>
  <si>
    <t xml:space="preserve">RC-002</t>
  </si>
  <si>
    <t xml:space="preserve">Art. 106</t>
  </si>
  <si>
    <t xml:space="preserve">Según el Artículo 106 del Reglamento de Competiciones, ¿es compatible para un árbitro participar en apuestas con contenido económico relacionadas con el fútbol?</t>
  </si>
  <si>
    <t xml:space="preserve">Sí, si no afecta a partidos que él mismo arbitra.</t>
  </si>
  <si>
    <t xml:space="preserve">No, es totalmente incompatible y afecta a todo el equipo arbitral.</t>
  </si>
  <si>
    <t xml:space="preserve">Sí, siempre que lo autorice el CTA.</t>
  </si>
  <si>
    <t xml:space="preserve">El Artículo 106 declara totalmente incompatible la participación en apuestas o juegos con contenido económico, afectando a todo el equipo arbitral.</t>
  </si>
  <si>
    <t xml:space="preserve">RC-003</t>
  </si>
  <si>
    <t xml:space="preserve">¿Puede un árbitro tener simultáneamente otra licencia de actividad futbolística, según el Artículo 106 del Reglamento de Competiciones?</t>
  </si>
  <si>
    <t xml:space="preserve">Sí, sin ninguna restricción, si ambas licencias son de categorías distintas.</t>
  </si>
  <si>
    <t xml:space="preserve">No, no se puede tener otra licencia de la actividad del fútbol a la vez.</t>
  </si>
  <si>
    <t xml:space="preserve">Sí, si la segunda licencia es de una categoría claramente inferior a la primera.</t>
  </si>
  <si>
    <t xml:space="preserve">El Artículo 106 establece el régimen de incompatibilidades, prohibiendo tener otra licencia de la actividad del fútbol simultáneamente.</t>
  </si>
  <si>
    <t xml:space="preserve">RC-004</t>
  </si>
  <si>
    <t xml:space="preserve">Art. 107</t>
  </si>
  <si>
    <t xml:space="preserve">¿A qué están obligados los árbitros según el Artículo 107 del Reglamento de Competiciones en relación con el dopaje?</t>
  </si>
  <si>
    <t xml:space="preserve">A someterse a controles de dopaje.</t>
  </si>
  <si>
    <t xml:space="preserve">A supervisar exclusivamente los controles de dopaje de los jugadores.</t>
  </si>
  <si>
    <t xml:space="preserve">No tienen obligación alguna relacionada con el dopaje.</t>
  </si>
  <si>
    <t xml:space="preserve">El Artículo 107 recoge como obligación específica de la licencia el someterse a controles de dopaje.</t>
  </si>
  <si>
    <t xml:space="preserve">RC-005</t>
  </si>
  <si>
    <t xml:space="preserve">Art. 108</t>
  </si>
  <si>
    <t xml:space="preserve">¿Cuál es la duración mínima y máxima de la suspensión voluntaria de afiliación al colectivo arbitral aficionado, según el Artículo 108 del Reglamento de Competiciones?</t>
  </si>
  <si>
    <t xml:space="preserve">No inferior a 1 mes ni superior a 6 meses.</t>
  </si>
  <si>
    <t xml:space="preserve">No inferior a 3 meses ni superior a 12 meses.</t>
  </si>
  <si>
    <t xml:space="preserve">No inferior a 6 meses ni superior a 24 meses.</t>
  </si>
  <si>
    <t xml:space="preserve">El Artículo 108 fija la duración de la suspensión voluntaria entre 3 y 12 meses.</t>
  </si>
  <si>
    <t xml:space="preserve">RC-006</t>
  </si>
  <si>
    <t xml:space="preserve">Tras reingresar a activo, ¿cuánto tiempo debe pasar antes de poder solicitar otra suspensión voluntaria, según el Artículo 108 del Reglamento de Competiciones?</t>
  </si>
  <si>
    <t xml:space="preserve">1 año.</t>
  </si>
  <si>
    <t xml:space="preserve">2 años.</t>
  </si>
  <si>
    <t xml:space="preserve">3 años.</t>
  </si>
  <si>
    <t xml:space="preserve">El Artículo 108 exige que pasen 2 años desde el reingreso a activo para poder solicitar otra suspensión.</t>
  </si>
  <si>
    <t xml:space="preserve">RC-007</t>
  </si>
  <si>
    <t xml:space="preserve">¿Con cuánta antelación a la finalización de la suspensión debe solicitarse la reincorporación al CTA, según el Artículo 108 del Reglamento de Competiciones?</t>
  </si>
  <si>
    <t xml:space="preserve">7 días antes.</t>
  </si>
  <si>
    <t xml:space="preserve">15 días antes.</t>
  </si>
  <si>
    <t xml:space="preserve">30 días antes.</t>
  </si>
  <si>
    <t xml:space="preserve">El Artículo 108 exige solicitar la reincorporación al CTA 15 días antes de finalizar la suspensión.</t>
  </si>
  <si>
    <t xml:space="preserve">RC-008</t>
  </si>
  <si>
    <t xml:space="preserve">Art. 110</t>
  </si>
  <si>
    <t xml:space="preserve">¿Cuántas árbitras y árbitras asistentes descienden cada temporada de 1ª Federación Femenina, según el Artículo 110 del Reglamento de Competiciones?</t>
  </si>
  <si>
    <t xml:space="preserve">1 árbitra y 1 árbitra asistente.</t>
  </si>
  <si>
    <t xml:space="preserve">2 árbitras y 2 árbitras asistentes.</t>
  </si>
  <si>
    <t xml:space="preserve">3 árbitras y 3 árbitras asistentes.</t>
  </si>
  <si>
    <t xml:space="preserve">El Artículo 110 establece que descienden cada temporada las 2 árbitras y 2 árbitras asistentes peor evaluadas de 1ª Federación Femenina.</t>
  </si>
  <si>
    <t xml:space="preserve">RC-009</t>
  </si>
  <si>
    <t xml:space="preserve">¿Cuántos árbitros ascienden a Segunda Federación desde el Programa de Talentos y Mentores, según el Artículo 110 del Reglamento de Competiciones?</t>
  </si>
  <si>
    <t xml:space="preserve">10 árbitros, o los necesarios hasta completar 80.</t>
  </si>
  <si>
    <t xml:space="preserve">20 árbitros, o los necesarios hasta completar 120.</t>
  </si>
  <si>
    <t xml:space="preserve">30 árbitros, o los necesarios hasta completar 150.</t>
  </si>
  <si>
    <t xml:space="preserve">El Artículo 110 fija el ascenso de 20 árbitros (o los necesarios hasta completar 120) del Programa de Talentos y Mentores.</t>
  </si>
  <si>
    <t xml:space="preserve">RC-010</t>
  </si>
  <si>
    <t xml:space="preserve">Art. 111</t>
  </si>
  <si>
    <t xml:space="preserve">Según el Artículo 111 del Reglamento de Competiciones, ¿cómo se determina la plantilla de asistentes profesionales de una categoría?</t>
  </si>
  <si>
    <t xml:space="preserve">Es igual al número de árbitros principales de esa categoría.</t>
  </si>
  <si>
    <t xml:space="preserve">Es el doble de los árbitros principales de esa categoría.</t>
  </si>
  <si>
    <t xml:space="preserve">Es la mitad de los árbitros principales de esa categoría.</t>
  </si>
  <si>
    <t xml:space="preserve">El Artículo 111 establece que la plantilla de asistentes profesionales equivale al doble de los árbitros principales de la categoría.</t>
  </si>
  <si>
    <t xml:space="preserve">RC-011</t>
  </si>
  <si>
    <t xml:space="preserve">Art. 112</t>
  </si>
  <si>
    <t xml:space="preserve">¿A qué edad se produce la baja por edad para árbitros no profesionales de 1ª, 2ª y 3ª Federación, según el Artículo 112 del Reglamento de Competiciones?</t>
  </si>
  <si>
    <t xml:space="preserve">38 años cumplidos a 1 de julio.</t>
  </si>
  <si>
    <t xml:space="preserve">40 años cumplidos a 1 de julio.</t>
  </si>
  <si>
    <t xml:space="preserve">42 años cumplidos a 1 de julio.</t>
  </si>
  <si>
    <t xml:space="preserve">El Artículo 112 fija la baja por edad en 40 años cumplidos a 1 de julio para 1ª/2ª/3ª Federación.</t>
  </si>
  <si>
    <t xml:space="preserve">RC-012</t>
  </si>
  <si>
    <t xml:space="preserve">¿Cuál es la edad máxima de baja en el fútbol femenino aficionado, según el Artículo 112 del Reglamento de Competiciones?</t>
  </si>
  <si>
    <t xml:space="preserve">40 años.</t>
  </si>
  <si>
    <t xml:space="preserve">45 años.</t>
  </si>
  <si>
    <t xml:space="preserve">50 años.</t>
  </si>
  <si>
    <t xml:space="preserve">El Artículo 112 establece 45 años como edad máxima de baja en el fútbol femenino aficionado.</t>
  </si>
  <si>
    <t xml:space="preserve">RC-013</t>
  </si>
  <si>
    <t xml:space="preserve">¿Cuál es la edad límite de acceso a 2ª Federación según el Artículo 112 del Reglamento de Competiciones?</t>
  </si>
  <si>
    <t xml:space="preserve">32 años.</t>
  </si>
  <si>
    <t xml:space="preserve">34 años.</t>
  </si>
  <si>
    <t xml:space="preserve">39 años.</t>
  </si>
  <si>
    <t xml:space="preserve">El Artículo 112 fija en 32 años la edad límite de acceso a 2ª Federación.</t>
  </si>
  <si>
    <t xml:space="preserve">RC-014</t>
  </si>
  <si>
    <t xml:space="preserve">Art. 113</t>
  </si>
  <si>
    <t xml:space="preserve">¿Cuál es el plazo para alegar la pérdida de categoría desde la notificación, según el Artículo 113 del Reglamento de Competiciones?</t>
  </si>
  <si>
    <t xml:space="preserve">10 días naturales.</t>
  </si>
  <si>
    <t xml:space="preserve">15 días naturales.</t>
  </si>
  <si>
    <t xml:space="preserve">30 días naturales.</t>
  </si>
  <si>
    <t xml:space="preserve">El Artículo 113 fija el plazo de alegación en 15 días naturales desde la notificación.</t>
  </si>
  <si>
    <t xml:space="preserve">RC-015</t>
  </si>
  <si>
    <t xml:space="preserve">Según el Artículo 113 del Reglamento de Competiciones, ¿qué porcentaje de actuaciones respecto a la media de su categoría determina la pérdida de categoría?</t>
  </si>
  <si>
    <t xml:space="preserve">Menos del 50% de la media de actuaciones.</t>
  </si>
  <si>
    <t xml:space="preserve">Menos del 30% de la media de actuaciones.</t>
  </si>
  <si>
    <t xml:space="preserve">Menos del 70% de la media de actuaciones.</t>
  </si>
  <si>
    <t xml:space="preserve">El Artículo 113 establece que pierde la categoría quien actúe en menos del 50% de la media de actuaciones de su categoría, salvo lesión o enfermedad grave.</t>
  </si>
  <si>
    <t xml:space="preserve">RC-016</t>
  </si>
  <si>
    <t xml:space="preserve">¿En qué plazo aproximado se convoca la repesca para quienes no superan las pruebas físicas/técnicas, según el Artículo 113 del Reglamento de Competiciones?</t>
  </si>
  <si>
    <t xml:space="preserve">30 días.</t>
  </si>
  <si>
    <t xml:space="preserve">60 días.</t>
  </si>
  <si>
    <t xml:space="preserve">El Artículo 113 indica una convocatoria de repesca en un plazo aproximado de 30 días tras no superar las pruebas.</t>
  </si>
  <si>
    <t xml:space="preserve">RC-017</t>
  </si>
  <si>
    <t xml:space="preserve">Art. 114</t>
  </si>
  <si>
    <t xml:space="preserve">Según el Artículo 114 del Reglamento de Competiciones, ¿en qué casos interviene el VAR en 1ª/2ª División?</t>
  </si>
  <si>
    <t xml:space="preserve">En cualquier decisión dudosa del árbitro.</t>
  </si>
  <si>
    <t xml:space="preserve">Solo ante 'error claro y manifiesto' o 'incidente grave inadvertido'.</t>
  </si>
  <si>
    <t xml:space="preserve">Únicamente cuando lo solicita el capitán del equipo perjudicado.</t>
  </si>
  <si>
    <t xml:space="preserve">El Artículo 114 limita la intervención del VAR a error claro y manifiesto o incidente grave inadvertido: gol/no gol, penalti/no penalti, roja directa o confusión de identidad.</t>
  </si>
  <si>
    <t xml:space="preserve">RC-018</t>
  </si>
  <si>
    <t xml:space="preserve">¿Son recurribles por los clubes las decisiones derivadas del uso del VAR, según el Artículo 114 del Reglamento de Competiciones?</t>
  </si>
  <si>
    <t xml:space="preserve">Sí, ante el Comité de Competición.</t>
  </si>
  <si>
    <t xml:space="preserve">No, no son recurribles.</t>
  </si>
  <si>
    <t xml:space="preserve">Sí, pero solo en Copa del Rey.</t>
  </si>
  <si>
    <t xml:space="preserve">El Artículo 114 establece que las decisiones derivadas del uso del VAR no son recurribles por los clubes.</t>
  </si>
  <si>
    <t xml:space="preserve">RC-019</t>
  </si>
  <si>
    <t xml:space="preserve">Art. 116</t>
  </si>
  <si>
    <t xml:space="preserve">¿Qué consecuencia tiene, según el Artículo 116 del Reglamento de Competiciones, que un árbitro aficionado no comparezca o abandone una prueba sin autorización?</t>
  </si>
  <si>
    <t xml:space="preserve">Ninguna consecuencia, si el árbitro lo justifica posteriormente por escrito.</t>
  </si>
  <si>
    <t xml:space="preserve">Suspensión inmediata de designaciones y posible expediente disciplinario.</t>
  </si>
  <si>
    <t xml:space="preserve">Una simple amonestación verbal del CTA, sin más consecuencias.</t>
  </si>
  <si>
    <t xml:space="preserve">El Artículo 116 prevé suspensión inmediata de designaciones y posible expediente disciplinario ante esa conducta.</t>
  </si>
  <si>
    <t xml:space="preserve">RC-020</t>
  </si>
  <si>
    <t xml:space="preserve">Art. 117</t>
  </si>
  <si>
    <t xml:space="preserve">¿Dónde deben pernoctar los árbitros profesionales la víspera del partido en 1ª/2ª División, según el Artículo 117 del Reglamento de Competiciones?</t>
  </si>
  <si>
    <t xml:space="preserve">En su domicilio habitual, con independencia de la distancia al estadio.</t>
  </si>
  <si>
    <t xml:space="preserve">En la misma localidad del partido, salvo autorización o si son VAR/AVAR.</t>
  </si>
  <si>
    <t xml:space="preserve">En cualquier localidad, siempre que lleguen a tiempo al inicio del partido.</t>
  </si>
  <si>
    <t xml:space="preserve">El Artículo 117 obliga a pernoctar la víspera en la misma localidad, salvo autorización o para funciones de VAR/AVAR.</t>
  </si>
  <si>
    <t xml:space="preserve">RC-021</t>
  </si>
  <si>
    <t xml:space="preserve">Art. 121</t>
  </si>
  <si>
    <t xml:space="preserve">¿Cuál es el periodo de vigencia de una licencia arbitral definitiva, según el Artículo 121 del Reglamento de Competiciones?</t>
  </si>
  <si>
    <t xml:space="preserve">Del 1 de enero al 31 de diciembre.</t>
  </si>
  <si>
    <t xml:space="preserve">Del 1 de julio al 30 de junio del año siguiente.</t>
  </si>
  <si>
    <t xml:space="preserve">Del 1 de septiembre al 31 de agosto.</t>
  </si>
  <si>
    <t xml:space="preserve">El Artículo 121 fija la validez de la licencia definitiva del 1 de julio al 30 de junio del año siguiente, debiendo renovarse cada temporada.</t>
  </si>
  <si>
    <t xml:space="preserve">RC-022</t>
  </si>
  <si>
    <t xml:space="preserve">Art. 124</t>
  </si>
  <si>
    <t xml:space="preserve">¿Cuál es el plazo para convalidar una licencia defectuosa desde su rechazo, según el Artículo 124 del Reglamento de Competiciones?</t>
  </si>
  <si>
    <t xml:space="preserve">7 días.</t>
  </si>
  <si>
    <t xml:space="preserve">20 días.</t>
  </si>
  <si>
    <t xml:space="preserve">El Artículo 124 fija en 15 días desde el rechazo el plazo para convalidar una licencia defectuosa.</t>
  </si>
  <si>
    <t xml:space="preserve">RC-023</t>
  </si>
  <si>
    <t xml:space="preserve">Art. 126</t>
  </si>
  <si>
    <t xml:space="preserve">¿Cuántos años como árbitro se exigen como mínimo para acceder a Árbitro Profesional de 1ª División, según el Artículo 126 del Reglamento de Competiciones?</t>
  </si>
  <si>
    <t xml:space="preserve">5 años, con 1 año en 2ª División.</t>
  </si>
  <si>
    <t xml:space="preserve">9 años, con 1 año mínimo en 2ª División.</t>
  </si>
  <si>
    <t xml:space="preserve">12 años, con 2 años en 2ª División.</t>
  </si>
  <si>
    <t xml:space="preserve">El Artículo 126 exige mínimo 9 años como árbitro más 1 año mínimo en 2ª División para acceder a Árbitro Profesional de 1ª División.</t>
  </si>
  <si>
    <t xml:space="preserve">RC-024</t>
  </si>
  <si>
    <t xml:space="preserve">¿Qué certificado de idioma se exige para la licencia profesional según el Artículo 126 del Reglamento de Competiciones?</t>
  </si>
  <si>
    <t xml:space="preserve">Certificado de francés B1.</t>
  </si>
  <si>
    <t xml:space="preserve">Certificado de inglés B1.</t>
  </si>
  <si>
    <t xml:space="preserve">Certificado de inglés B2.</t>
  </si>
  <si>
    <t xml:space="preserve">El Artículo 126 exige certificado de inglés B1, con un periodo de carencia de 2 temporadas.</t>
  </si>
  <si>
    <t xml:space="preserve">RC-025</t>
  </si>
  <si>
    <t xml:space="preserve">Art. 128</t>
  </si>
  <si>
    <t xml:space="preserve">¿Cuál es el rango de edad de acceso, a 1 de julio, para Árbitro de 1ª Federación, según el Artículo 128 del Reglamento de Competiciones?</t>
  </si>
  <si>
    <t xml:space="preserve">18-32 años.</t>
  </si>
  <si>
    <t xml:space="preserve">18-39 años.</t>
  </si>
  <si>
    <t xml:space="preserve">18-44 años.</t>
  </si>
  <si>
    <t xml:space="preserve">El Artículo 128 fija la edad de acceso a Árbitro de 1ª Federación entre 18 y 39 años a 1 de julio.</t>
  </si>
  <si>
    <t xml:space="preserve">RC-026</t>
  </si>
  <si>
    <t xml:space="preserve">¿Cuál es la edad límite de acceso para la primera licencia en 1ª Federación (árbitro o asistente), según el Artículo 128 del Reglamento de Competiciones?</t>
  </si>
  <si>
    <t xml:space="preserve">El Artículo 128 fija en 34 años la edad límite de acceso para la primera licencia en 1ª Federación.</t>
  </si>
  <si>
    <t xml:space="preserve">RC-027</t>
  </si>
  <si>
    <t xml:space="preserve">Art. 130</t>
  </si>
  <si>
    <t xml:space="preserve">¿Cuántos balones reglamentarios como mínimo debe disponer el club titular del campo, según el Artículo 130 del Reglamento de Competiciones?</t>
  </si>
  <si>
    <t xml:space="preserve">2 balones.</t>
  </si>
  <si>
    <t xml:space="preserve">3 balones.</t>
  </si>
  <si>
    <t xml:space="preserve">5 balones.</t>
  </si>
  <si>
    <t xml:space="preserve">El Artículo 130 exige que el club titular del campo disponga de un mínimo de 3 balones reglamentarios.</t>
  </si>
  <si>
    <t xml:space="preserve">RC-028</t>
  </si>
  <si>
    <t xml:space="preserve">Art. 133</t>
  </si>
  <si>
    <t xml:space="preserve">¿Con cuánta antelación mínima debe presentarse el equipo en el recinto deportivo en categoría no profesional, según el Artículo 133 del Reglamento de Competiciones?</t>
  </si>
  <si>
    <t xml:space="preserve">30 minutos antes.</t>
  </si>
  <si>
    <t xml:space="preserve">1 hora antes.</t>
  </si>
  <si>
    <t xml:space="preserve">1 hora y media antes.</t>
  </si>
  <si>
    <t xml:space="preserve">El Artículo 133 exige que en categoría no profesional se presenten al menos 1 hora antes del inicio (1 hora y media en profesional).</t>
  </si>
  <si>
    <t xml:space="preserve">RC-029</t>
  </si>
  <si>
    <t xml:space="preserve">¿Está permitido calentar en el terreno de juego en los minutos previos al inicio, según el Artículo 133 del Reglamento de Competiciones?</t>
  </si>
  <si>
    <t xml:space="preserve">Sí, sin ninguna restricción de tiempo antes del inicio del partido.</t>
  </si>
  <si>
    <t xml:space="preserve">Está prohibido en los 10 minutos previos al inicio; deben estar listos para salir 5 minutos antes.</t>
  </si>
  <si>
    <t xml:space="preserve">Está prohibido durante toda la hora previa al inicio del partido.</t>
  </si>
  <si>
    <t xml:space="preserve">El Artículo 133 prohíbe calentar en el terreno de juego en los 10 minutos previos al inicio, debiendo estar listos para salir 5 minutos antes.</t>
  </si>
  <si>
    <t xml:space="preserve">RC-030</t>
  </si>
  <si>
    <t xml:space="preserve">¿Cuánto tiempo debe transcurrir desde la hora fijada, sin presentarse o con jugadores insuficientes, para tener un equipo por no comparecido, según el Artículo 133 del Reglamento de Competiciones?</t>
  </si>
  <si>
    <t xml:space="preserve">15 minutos.</t>
  </si>
  <si>
    <t xml:space="preserve">20 minutos.</t>
  </si>
  <si>
    <t xml:space="preserve">30 minutos.</t>
  </si>
  <si>
    <t xml:space="preserve">El Artículo 133 establece que se tiene por no comparecido un equipo si transcurren 30 minutos desde la hora fijada sin presentarse o con jugadores insuficientes.</t>
  </si>
  <si>
    <t xml:space="preserve">RC-031</t>
  </si>
  <si>
    <t xml:space="preserve">Art. 135</t>
  </si>
  <si>
    <t xml:space="preserve">¿Cuál es el número mínimo y máximo de uniformes oficiales que debe comunicar un club, según el Artículo 135 del Reglamento de Competiciones?</t>
  </si>
  <si>
    <t xml:space="preserve">Mínimo 1 y máximo 2.</t>
  </si>
  <si>
    <t xml:space="preserve">Mínimo 2 y máximo 3.</t>
  </si>
  <si>
    <t xml:space="preserve">Mínimo 3 y máximo 4.</t>
  </si>
  <si>
    <t xml:space="preserve">El Artículo 135 exige un mínimo de 2 y máximo de 3 uniformes oficiales, comunicados con 15 días de antelación al primer partido.</t>
  </si>
  <si>
    <t xml:space="preserve">RC-032</t>
  </si>
  <si>
    <t xml:space="preserve">Según el Artículo 135 del Reglamento de Competiciones, ¿qué numeración corresponde a los titulares y cuál a los suplentes?</t>
  </si>
  <si>
    <t xml:space="preserve">Del 1 al 11 titulares, del 12 en adelante suplentes.</t>
  </si>
  <si>
    <t xml:space="preserve">Del 1 al 10 titulares, del 11 en adelante suplentes.</t>
  </si>
  <si>
    <t xml:space="preserve">No hay distinción de numeración entre titulares y suplentes.</t>
  </si>
  <si>
    <t xml:space="preserve">El Artículo 135 asigna del 1 al 11 a los titulares y del 12 en adelante a los suplentes.</t>
  </si>
  <si>
    <t xml:space="preserve">RC-033</t>
  </si>
  <si>
    <t xml:space="preserve">Art. 136</t>
  </si>
  <si>
    <t xml:space="preserve">¿Qué es el acta arbitral según el Artículo 136 del Reglamento de Competiciones?</t>
  </si>
  <si>
    <t xml:space="preserve">Un documento meramente informativo sin efectos disciplinarios.</t>
  </si>
  <si>
    <t xml:space="preserve">El documento para examen, calificación y sanción de los hechos de un partido.</t>
  </si>
  <si>
    <t xml:space="preserve">Un resumen técnico elaborado solo por el delegado de campo.</t>
  </si>
  <si>
    <t xml:space="preserve">El Artículo 136 define el acta como el documento para examen, calificación y sanción de los hechos de un partido.</t>
  </si>
  <si>
    <t xml:space="preserve">RC-034</t>
  </si>
  <si>
    <t xml:space="preserve">Art. 137</t>
  </si>
  <si>
    <t xml:space="preserve">¿Quién firma el acta arbitral antes del inicio del partido, según el Artículo 137 del Reglamento de Competiciones?</t>
  </si>
  <si>
    <t xml:space="preserve">Los 2 capitanes y entrenadores/as.</t>
  </si>
  <si>
    <t xml:space="preserve">El árbitro y los delegados.</t>
  </si>
  <si>
    <t xml:space="preserve">Solo el árbitro principal.</t>
  </si>
  <si>
    <t xml:space="preserve">El Artículo 137 establece que antes del partido firman el acta los 2 capitanes y entrenadores/as; al final, el árbitro y los delegados.</t>
  </si>
  <si>
    <t xml:space="preserve">RC-035</t>
  </si>
  <si>
    <t xml:space="preserve">Art. 138</t>
  </si>
  <si>
    <t xml:space="preserve">¿En qué plazo debe el árbitro remitir el original del acta a la RFEF, según el Artículo 138 del Reglamento de Competiciones?</t>
  </si>
  <si>
    <t xml:space="preserve">Dentro de las 12 horas siguientes a la conclusión del partido.</t>
  </si>
  <si>
    <t xml:space="preserve">Dentro de las 24 horas siguientes a la conclusión del partido.</t>
  </si>
  <si>
    <t xml:space="preserve">Dentro de las 48 horas siguientes a la conclusión del partido.</t>
  </si>
  <si>
    <t xml:space="preserve">El Artículo 138 exige remitir el original del acta a la RFEF dentro de las 24 horas siguientes a la conclusión del partido.</t>
  </si>
  <si>
    <t xml:space="preserve">RC-036</t>
  </si>
  <si>
    <t xml:space="preserve">Art. 139</t>
  </si>
  <si>
    <t xml:space="preserve">¿En qué plazo deben remitirse los informes ampliatorios al acta, según el Artículo 139 del Reglamento de Competiciones?</t>
  </si>
  <si>
    <t xml:space="preserve">Dentro de las 24 horas siguientes a la terminación del partido.</t>
  </si>
  <si>
    <t xml:space="preserve">Dentro de las 48 horas siguientes a la terminación del partido.</t>
  </si>
  <si>
    <t xml:space="preserve">Dentro de los 3 días siguientes a la terminación del partido.</t>
  </si>
  <si>
    <t xml:space="preserve">El Artículo 139 exige remitir los informes ampliatorios dentro de las 24 horas siguientes a la terminación del partido.</t>
  </si>
  <si>
    <t xml:space="preserve">RC-037</t>
  </si>
  <si>
    <t xml:space="preserve">Art. 141</t>
  </si>
  <si>
    <t xml:space="preserve">Si un equipo queda con menos de 7 futbolistas por expulsión o lesión durante el partido, ¿qué resultado se establece según el Artículo 141 del Reglamento de Competiciones?</t>
  </si>
  <si>
    <t xml:space="preserve">Se suspende el partido sin resultado, aplazándose a una fecha posterior.</t>
  </si>
  <si>
    <t xml:space="preserve">Resultado de 3-0 a favor del rival, salvo resultado más favorable ya obtenido.</t>
  </si>
  <si>
    <t xml:space="preserve">Se decide por sorteo entre ambos equipos, ante el árbitro y los delegados.</t>
  </si>
  <si>
    <t xml:space="preserve">El Artículo 141 establece un resultado de 3-0 a favor del rival cuando un equipo queda con menos de 7 futbolistas por expulsión o lesión, salvo resultado más favorable ya obtenido.</t>
  </si>
  <si>
    <t xml:space="preserve">RC-038</t>
  </si>
  <si>
    <t xml:space="preserve">Art. 144</t>
  </si>
  <si>
    <t xml:space="preserve">Según el Artículo 144 del Reglamento de Competiciones, ¿cuántas sustituciones máximas se permiten en categoría Juvenil?</t>
  </si>
  <si>
    <t xml:space="preserve">3 sustituciones.</t>
  </si>
  <si>
    <t xml:space="preserve">4 sustituciones.</t>
  </si>
  <si>
    <t xml:space="preserve">5 sustituciones.</t>
  </si>
  <si>
    <t xml:space="preserve">El Artículo 144 fija un máximo de 4 sustituciones permitidas en categoría Juvenil.</t>
  </si>
  <si>
    <t xml:space="preserve">RC-039</t>
  </si>
  <si>
    <t xml:space="preserve">¿Cuántos futbolistas pueden calentar simultáneamente en banda por equipo, según el Artículo 144 del Reglamento de Competiciones, salvo en categoría Juvenil?</t>
  </si>
  <si>
    <t xml:space="preserve">Máximo 3 futbolistas (4 en Juvenil).</t>
  </si>
  <si>
    <t xml:space="preserve">Máximo 5 futbolistas (6 en Juvenil).</t>
  </si>
  <si>
    <t xml:space="preserve">Máximo 2 futbolistas (3 en Juvenil).</t>
  </si>
  <si>
    <t xml:space="preserve">El Artículo 144 fija un máximo de 3 futbolistas por equipo calentando simultáneamente en banda, elevado a 4 en categoría Juvenil.</t>
  </si>
  <si>
    <t xml:space="preserve">RC-041</t>
  </si>
  <si>
    <t xml:space="preserve">Art. 150</t>
  </si>
  <si>
    <t xml:space="preserve">¿Cuántas personas como máximo puede haber en el banquillo técnico adicional, situado a 5 metros del principal, según el Artículo 150 del Reglamento de Competiciones?</t>
  </si>
  <si>
    <t xml:space="preserve">3 personas.</t>
  </si>
  <si>
    <t xml:space="preserve">5 personas.</t>
  </si>
  <si>
    <t xml:space="preserve">7 personas.</t>
  </si>
  <si>
    <t xml:space="preserve">El Artículo 150 fija un máximo de 5 personas en el banquillo técnico adicional, situado a 5 metros del principal.</t>
  </si>
  <si>
    <t xml:space="preserve">RC-042</t>
  </si>
  <si>
    <t xml:space="preserve">Un futbolista es expulsado. Según el Artículo 150 del Reglamento de Competiciones:</t>
  </si>
  <si>
    <t xml:space="preserve">Debe dirigirse a los vestuarios, sin poder presenciar el partido desde la grada.</t>
  </si>
  <si>
    <t xml:space="preserve">Puede presenciar el resto del partido desde la grada de público.</t>
  </si>
  <si>
    <t xml:space="preserve">Puede permanecer en el banquillo, mientras no intervenga en el juego.</t>
  </si>
  <si>
    <t xml:space="preserve">Art. 150.5: «Los que resulten ser expulsados/as, deberán dirigirse a los vestuarios sin posibilidad de presenciar el partido desde la grada». La excepción afecta solo a médicos, Graduado/a en Enfermería y fisioterapeuta, que no pueden seguir en el banquillo pero sí presenciar el partido.</t>
  </si>
  <si>
    <t xml:space="preserve">ReglamentoDeCompeticiones2025.pdf</t>
  </si>
  <si>
    <t xml:space="preserve">RC-043</t>
  </si>
  <si>
    <t xml:space="preserve">Art. 151</t>
  </si>
  <si>
    <t xml:space="preserve">¿Quién no puede ejercer como delegado de campo, según el Artículo 151 del Reglamento de Competiciones?</t>
  </si>
  <si>
    <t xml:space="preserve">Un miembro de la Junta Directiva de la RFEF.</t>
  </si>
  <si>
    <t xml:space="preserve">El entrenador titular del equipo local.</t>
  </si>
  <si>
    <t xml:space="preserve">Cualquier futbolista suplente.</t>
  </si>
  <si>
    <t xml:space="preserve">El Artículo 151 prohíbe que sea delegado de campo un miembro de la Junta Directiva de la RFEF.</t>
  </si>
  <si>
    <t xml:space="preserve">RC-044</t>
  </si>
  <si>
    <t xml:space="preserve">Art. 153</t>
  </si>
  <si>
    <t xml:space="preserve">¿Puede el Presidente del club actuar como delegado según el Artículo 153 del Reglamento de Competiciones?</t>
  </si>
  <si>
    <t xml:space="preserve">Sí, es una función habitual que puede asumir el Presidente del club.</t>
  </si>
  <si>
    <t xml:space="preserve">No, no puede actuar como delegado el/la Presidente/a o Consejero/a Delegado/a del club.</t>
  </si>
  <si>
    <t xml:space="preserve">Sí, siempre que lo autorice expresamente el árbitro antes del partido.</t>
  </si>
  <si>
    <t xml:space="preserve">El Artículo 153 prohíbe que el Presidente o Consejero Delegado del club actúe como delegado, ni tampoco un miembro de la Junta Directiva de la RFEF.</t>
  </si>
  <si>
    <t xml:space="preserve">RC-045</t>
  </si>
  <si>
    <t xml:space="preserve">Art. 154</t>
  </si>
  <si>
    <t xml:space="preserve">¿Qué obligación tienen los capitanes respecto al acta, según el Artículo 154 del Reglamento de Competiciones?</t>
  </si>
  <si>
    <t xml:space="preserve">Firmar la primera parte del acta antes del comienzo del partido.</t>
  </si>
  <si>
    <t xml:space="preserve">Redactar personalmente el informe de incidencias.</t>
  </si>
  <si>
    <t xml:space="preserve">No tienen ninguna obligación relacionada con el acta.</t>
  </si>
  <si>
    <t xml:space="preserve">El Artículo 154 exige que los capitanes firmen la primera parte del acta antes del comienzo del partido.</t>
  </si>
  <si>
    <t xml:space="preserve">RC-046</t>
  </si>
  <si>
    <t xml:space="preserve">Art. 155</t>
  </si>
  <si>
    <t xml:space="preserve">Según el Artículo 155 del Reglamento de Competiciones, ¿cuándo empiezan y terminan las facultades del árbitro?</t>
  </si>
  <si>
    <t xml:space="preserve">Empiezan al pitar el inicio y terminan al pitar el final, sin incluir descansos.</t>
  </si>
  <si>
    <t xml:space="preserve">Empiezan al entrar en el recinto y no terminan hasta que lo abandona, incluidos descansos y suspensiones.</t>
  </si>
  <si>
    <t xml:space="preserve">Solo tiene facultades mientras el balón está en juego.</t>
  </si>
  <si>
    <t xml:space="preserve">El Artículo 155 establece que las facultades del árbitro empiezan al entrar en el recinto y no terminan hasta que lo abandona, incluyendo descansos y suspensiones.</t>
  </si>
  <si>
    <t xml:space="preserve">RC-047</t>
  </si>
  <si>
    <t xml:space="preserve">Si el árbitro principal no puede continuar el partido, ¿quién lo sustituye según el Artículo 155 del Reglamento de Competiciones?</t>
  </si>
  <si>
    <t xml:space="preserve">El cuarto árbitro automáticamente.</t>
  </si>
  <si>
    <t xml:space="preserve">El asistente de superior categoría arbitral.</t>
  </si>
  <si>
    <t xml:space="preserve">Se suspende el partido obligatoriamente.</t>
  </si>
  <si>
    <t xml:space="preserve">El Artículo 155 establece que si el árbitro no puede continuar, lo sustituye el asistente de superior categoría arbitral.</t>
  </si>
  <si>
    <t xml:space="preserve">RC-048</t>
  </si>
  <si>
    <t xml:space="preserve">Art. 156</t>
  </si>
  <si>
    <t xml:space="preserve">Según el Artículo 156 del Reglamento de Competiciones, ¿cuántas personas pueden estar en el terreno de juego sin autorización, sumando futbolistas y equipo arbitral?</t>
  </si>
  <si>
    <t xml:space="preserve">22 futbolistas más árbitros asistentes y 4º árbitro.</t>
  </si>
  <si>
    <t xml:space="preserve">20 futbolistas más árbitros asistentes únicamente.</t>
  </si>
  <si>
    <t xml:space="preserve">24 futbolistas más todo el equipo técnico.</t>
  </si>
  <si>
    <t xml:space="preserve">El Artículo 156 permite en el terreno de juego a 22 futbolistas más árbitros asistentes y 4º árbitro, sin autorización de nadie más.</t>
  </si>
  <si>
    <t xml:space="preserve">RC-049</t>
  </si>
  <si>
    <t xml:space="preserve">Art. 158</t>
  </si>
  <si>
    <t xml:space="preserve">¿Con qué antelación mínima debe personarse el equipo arbitral en el campo, según el Artículo 158 del Reglamento de Competiciones?</t>
  </si>
  <si>
    <t xml:space="preserve">Una hora.</t>
  </si>
  <si>
    <t xml:space="preserve">Hora y media.</t>
  </si>
  <si>
    <t xml:space="preserve">Dos horas.</t>
  </si>
  <si>
    <t xml:space="preserve">El Artículo 158 exige que el equipo arbitral se persone en el campo con una antelación mínima de hora y media.</t>
  </si>
  <si>
    <t xml:space="preserve">RC-050</t>
  </si>
  <si>
    <t xml:space="preserve">Art. 175</t>
  </si>
  <si>
    <t xml:space="preserve">¿En qué categorías es obligatoria la ambulancia según el Artículo 175 del Reglamento de Competiciones?</t>
  </si>
  <si>
    <t xml:space="preserve">Solo en 1ª y 2ª División, sin exigirse en el resto de categorías.</t>
  </si>
  <si>
    <t xml:space="preserve">En campos de 1ª/2ª Federación, 1ª/2ª Fed. Femenina y 1ª División de Fútbol Sala.</t>
  </si>
  <si>
    <t xml:space="preserve">En todas las categorías sin excepción, incluidas las categorías inferiores.</t>
  </si>
  <si>
    <t xml:space="preserve">El Artículo 175 exige ambulancia obligatoria en campos de 1ª/2ª Federación, 1ª/2ª Federación Femenina y 1ª División de Fútbol Sala.</t>
  </si>
  <si>
    <t xml:space="preserve">RC-051</t>
  </si>
  <si>
    <t xml:space="preserve">¿Qué está prohibido sobre el terreno de juego, marcos/redes de porterías y banderines de córner durante el partido, según el Artículo 175 del Reglamento de Competiciones?</t>
  </si>
  <si>
    <t xml:space="preserve">Toda publicidad, sin excepción alguna en esos elementos del terreno de juego.</t>
  </si>
  <si>
    <t xml:space="preserve">Únicamente la publicidad de bebidas alcohólicas y tabaco, no el resto.</t>
  </si>
  <si>
    <t xml:space="preserve">No hay ninguna restricción publicitaria sobre esos elementos del terreno.</t>
  </si>
  <si>
    <t xml:space="preserve">El Artículo 175 prohíbe toda publicidad sobre el terreno de juego, marcos/redes de porterías y banderines de córner durante el partido.</t>
  </si>
  <si>
    <t xml:space="preserve">RC-052</t>
  </si>
  <si>
    <t xml:space="preserve">Art. 183</t>
  </si>
  <si>
    <t xml:space="preserve">¿Qué logotipo es obligatorio en las prendas deportivas fuera de las competiciones profesionales, según el Artículo 183 del Reglamento de Competiciones?</t>
  </si>
  <si>
    <t xml:space="preserve">El logotipo de la Liga Profesional.</t>
  </si>
  <si>
    <t xml:space="preserve">El logotipo de la RFEF.</t>
  </si>
  <si>
    <t xml:space="preserve">No es obligatorio ningún logotipo institucional.</t>
  </si>
  <si>
    <t xml:space="preserve">El Artículo 183 exige el logotipo de la Liga Profesional en competiciones profesionales y de la RFEF en el resto de categorías.</t>
  </si>
  <si>
    <t xml:space="preserve">RC-053</t>
  </si>
  <si>
    <t xml:space="preserve">Art. 184</t>
  </si>
  <si>
    <t xml:space="preserve">¿Qué tipo de publicidad está prohibida en las prendas deportivas según el Artículo 184 del Reglamento de Competiciones?</t>
  </si>
  <si>
    <t xml:space="preserve">La de bebidas alcohólicas o tabaco.</t>
  </si>
  <si>
    <t xml:space="preserve">La de marcas de material deportivo.</t>
  </si>
  <si>
    <t xml:space="preserve">La de entidades bancarias.</t>
  </si>
  <si>
    <t xml:space="preserve">El Artículo 184 prohíbe anunciar bebidas alcohólicas o tabaco, y prohíbe alterar los colores o emblemas del club.</t>
  </si>
  <si>
    <t xml:space="preserve">RC-054</t>
  </si>
  <si>
    <t xml:space="preserve">Art. 185</t>
  </si>
  <si>
    <t xml:space="preserve">¿A partir de qué tamaño se considera publicidad la marca del fabricante de la prenda, según el Artículo 185 del Reglamento de Competiciones?</t>
  </si>
  <si>
    <t xml:space="preserve">A partir de 10 cm².</t>
  </si>
  <si>
    <t xml:space="preserve">A partir de 15 cm².</t>
  </si>
  <si>
    <t xml:space="preserve">A partir de 20 cm².</t>
  </si>
  <si>
    <t xml:space="preserve">El Artículo 185 establece que no se considera publicidad la marca del fabricante si no excede 15 cm² en conjunto.</t>
  </si>
  <si>
    <t xml:space="preserve">RC-055</t>
  </si>
  <si>
    <t xml:space="preserve">¿Qué tipo de contenidos están prohibidos durante los partidos según el Artículo 185 del Reglamento de Competiciones, además de publicidad de otras competiciones sin autorización?</t>
  </si>
  <si>
    <t xml:space="preserve">Contenidos políticos o religiosos.</t>
  </si>
  <si>
    <t xml:space="preserve">Contenidos relacionados con ONGs.</t>
  </si>
  <si>
    <t xml:space="preserve">Contenidos de patrocinadores oficiales de la RFEF.</t>
  </si>
  <si>
    <t xml:space="preserve">El Artículo 185 prohíbe durante los partidos la publicidad de otras competiciones sin autorización de la RFEF, así como los contenidos políticos o religiosos.</t>
  </si>
  <si>
    <t xml:space="preserve">RC-056</t>
  </si>
  <si>
    <t xml:space="preserve">¿Qué artículo del Reglamento de Competiciones lleva por título «Organización arbitral. Requisitos»?</t>
  </si>
  <si>
    <t xml:space="preserve">Artículo 105</t>
  </si>
  <si>
    <t xml:space="preserve">Artículo 106</t>
  </si>
  <si>
    <t xml:space="preserve">Artículo 109</t>
  </si>
  <si>
    <t xml:space="preserve">En el Reglamento de Competiciones, el Artículo 105 se titula «Organización arbitral. Requisitos».</t>
  </si>
  <si>
    <t xml:space="preserve">RC-057</t>
  </si>
  <si>
    <t xml:space="preserve">¿Qué título recibe el Artículo 105 del Reglamento de Competiciones?</t>
  </si>
  <si>
    <t xml:space="preserve">Organización arbitral. Requisitos</t>
  </si>
  <si>
    <t xml:space="preserve">Reparto de copias del acta arbitral</t>
  </si>
  <si>
    <t xml:space="preserve">Los/as delegados/as de los clubs</t>
  </si>
  <si>
    <t xml:space="preserve">RC-058</t>
  </si>
  <si>
    <t xml:space="preserve">¿Qué artículo del Reglamento de Competiciones lleva por título «Régimen de incompatibilidades»?</t>
  </si>
  <si>
    <t xml:space="preserve">Artículo 108</t>
  </si>
  <si>
    <t xml:space="preserve">En el Reglamento de Competiciones, el Artículo 106 se titula «Régimen de incompatibilidades».</t>
  </si>
  <si>
    <t xml:space="preserve">RC-059</t>
  </si>
  <si>
    <t xml:space="preserve">¿Qué título recibe el Artículo 106 del Reglamento de Competiciones?</t>
  </si>
  <si>
    <t xml:space="preserve">Número mínimo de futbolistas</t>
  </si>
  <si>
    <t xml:space="preserve">Régimen de incompatibilidades</t>
  </si>
  <si>
    <t xml:space="preserve">La cancelación de las licencias</t>
  </si>
  <si>
    <t xml:space="preserve">RC-060</t>
  </si>
  <si>
    <t xml:space="preserve">¿Qué artículo del Reglamento de Competiciones lleva por título «Derechos y obligaciones específicas derivadas de la suscripción de la licencia»?</t>
  </si>
  <si>
    <t xml:space="preserve">Artículo 107</t>
  </si>
  <si>
    <t xml:space="preserve">En el Reglamento de Competiciones, el Artículo 107 se titula «Derechos y obligaciones específicas derivadas de la suscripción de la licencia».</t>
  </si>
  <si>
    <t xml:space="preserve">RC-061</t>
  </si>
  <si>
    <t xml:space="preserve">¿Qué título recibe el Artículo 107 del Reglamento de Competiciones?</t>
  </si>
  <si>
    <t xml:space="preserve">Reglas sobre descensos en categorías no profesionales</t>
  </si>
  <si>
    <t xml:space="preserve">Derechos y obligaciones específicas derivadas de la suscripción de la licencia</t>
  </si>
  <si>
    <t xml:space="preserve">Equipos arbitrales en las competiciones profesionales</t>
  </si>
  <si>
    <t xml:space="preserve">RC-062</t>
  </si>
  <si>
    <t xml:space="preserve">¿Qué artículo del Reglamento de Competiciones lleva por título «Suspensión voluntaria de afiliación al colectivo arbitral aficionado»?</t>
  </si>
  <si>
    <t xml:space="preserve">Artículo 110</t>
  </si>
  <si>
    <t xml:space="preserve">En el Reglamento de Competiciones, el Artículo 108 se titula «Suspensión voluntaria de afiliación al colectivo arbitral aficionado».</t>
  </si>
  <si>
    <t xml:space="preserve">RC-063</t>
  </si>
  <si>
    <t xml:space="preserve">¿Qué título recibe el Artículo 108 del Reglamento de Competiciones?</t>
  </si>
  <si>
    <t xml:space="preserve">Suspensión voluntaria de afiliación al colectivo arbitral aficionado</t>
  </si>
  <si>
    <t xml:space="preserve">RC-064</t>
  </si>
  <si>
    <t xml:space="preserve">Art. 109</t>
  </si>
  <si>
    <t xml:space="preserve">¿Qué artículo del Reglamento de Competiciones lleva por título «Valoración»?</t>
  </si>
  <si>
    <t xml:space="preserve">En el Reglamento de Competiciones, el Artículo 109 se titula «Valoración».</t>
  </si>
  <si>
    <t xml:space="preserve">RC-065</t>
  </si>
  <si>
    <t xml:space="preserve">¿Qué título recibe el Artículo 109 del Reglamento de Competiciones?</t>
  </si>
  <si>
    <t xml:space="preserve">Valoración</t>
  </si>
  <si>
    <t xml:space="preserve">Categorías arbitrales</t>
  </si>
  <si>
    <t xml:space="preserve">Las actas arbitrales</t>
  </si>
  <si>
    <t xml:space="preserve">RC-066</t>
  </si>
  <si>
    <t xml:space="preserve">¿Qué artículo del Reglamento de Competiciones lleva por título «Categorías arbitrales»?</t>
  </si>
  <si>
    <t xml:space="preserve">Artículo 111</t>
  </si>
  <si>
    <t xml:space="preserve">Artículo 112</t>
  </si>
  <si>
    <t xml:space="preserve">En el Reglamento de Competiciones, el Artículo 110 se titula «Categorías arbitrales».</t>
  </si>
  <si>
    <t xml:space="preserve">RC-067</t>
  </si>
  <si>
    <t xml:space="preserve">¿Qué título recibe el Artículo 110 del Reglamento de Competiciones?</t>
  </si>
  <si>
    <t xml:space="preserve">Oficiales informadores/as</t>
  </si>
  <si>
    <t xml:space="preserve">RC-068</t>
  </si>
  <si>
    <t xml:space="preserve">¿Qué artículo del Reglamento de Competiciones lleva por título «Plantillas de árbitros asistentes»?</t>
  </si>
  <si>
    <t xml:space="preserve">En el Reglamento de Competiciones, el Artículo 111 se titula «Plantillas de árbitros asistentes».</t>
  </si>
  <si>
    <t xml:space="preserve">RC-069</t>
  </si>
  <si>
    <t xml:space="preserve">¿Qué título recibe el Artículo 111 del Reglamento de Competiciones?</t>
  </si>
  <si>
    <t xml:space="preserve">Plantillas de árbitros asistentes</t>
  </si>
  <si>
    <t xml:space="preserve">RC-070</t>
  </si>
  <si>
    <t xml:space="preserve">¿Qué artículo del Reglamento de Competiciones lleva por título «La baja por edad de los/as árbitros no profesionales»?</t>
  </si>
  <si>
    <t xml:space="preserve">Artículo 114</t>
  </si>
  <si>
    <t xml:space="preserve">En el Reglamento de Competiciones, el Artículo 112 se titula «La baja por edad de los/as árbitros no profesionales».</t>
  </si>
  <si>
    <t xml:space="preserve">RC-071</t>
  </si>
  <si>
    <t xml:space="preserve">¿Qué título recibe el Artículo 112 del Reglamento de Competiciones?</t>
  </si>
  <si>
    <t xml:space="preserve">Condiciones para el correcto desarrollo de los partidos</t>
  </si>
  <si>
    <t xml:space="preserve">Definición de licencia. Requisitos para su obtención</t>
  </si>
  <si>
    <t xml:space="preserve">La baja por edad de los/as árbitros no profesionales</t>
  </si>
  <si>
    <t xml:space="preserve">RC-072</t>
  </si>
  <si>
    <t xml:space="preserve">¿Qué artículo del Reglamento de Competiciones lleva por título «Reglas sobre descensos en categorías no profesionales»?</t>
  </si>
  <si>
    <t xml:space="preserve">Artículo 113</t>
  </si>
  <si>
    <t xml:space="preserve">En el Reglamento de Competiciones, el Artículo 113 se titula «Reglas sobre descensos en categorías no profesionales».</t>
  </si>
  <si>
    <t xml:space="preserve">RC-073</t>
  </si>
  <si>
    <t xml:space="preserve">¿Qué título recibe el Artículo 113 del Reglamento de Competiciones?</t>
  </si>
  <si>
    <t xml:space="preserve">Personas que intervienen en el desarrollo del partido</t>
  </si>
  <si>
    <t xml:space="preserve">Requisitos de acceso a las licencias no profesionales</t>
  </si>
  <si>
    <t xml:space="preserve">RC-074</t>
  </si>
  <si>
    <t xml:space="preserve">¿Qué artículo del Reglamento de Competiciones lleva por título «Equipos arbitrales en las competiciones profesionales»?</t>
  </si>
  <si>
    <t xml:space="preserve">Artículo 116</t>
  </si>
  <si>
    <t xml:space="preserve">En el Reglamento de Competiciones, el Artículo 114 se titula «Equipos arbitrales en las competiciones profesionales».</t>
  </si>
  <si>
    <t xml:space="preserve">RC-075</t>
  </si>
  <si>
    <t xml:space="preserve">¿Qué título recibe el Artículo 114 del Reglamento de Competiciones?</t>
  </si>
  <si>
    <t xml:space="preserve">RC-076</t>
  </si>
  <si>
    <t xml:space="preserve">Art. 115</t>
  </si>
  <si>
    <t xml:space="preserve">¿Qué artículo del Reglamento de Competiciones lleva por título «Oficiales informadores/as»?</t>
  </si>
  <si>
    <t xml:space="preserve">Artículo 115</t>
  </si>
  <si>
    <t xml:space="preserve">En el Reglamento de Competiciones, el Artículo 115 se titula «Oficiales informadores/as».</t>
  </si>
  <si>
    <t xml:space="preserve">RC-077</t>
  </si>
  <si>
    <t xml:space="preserve">¿Qué título recibe el Artículo 115 del Reglamento de Competiciones?</t>
  </si>
  <si>
    <t xml:space="preserve">Firma del acta arbitral</t>
  </si>
  <si>
    <t xml:space="preserve">El/la árbitro: obligaciones</t>
  </si>
  <si>
    <t xml:space="preserve">RC-078</t>
  </si>
  <si>
    <t xml:space="preserve">¿Qué artículo del Reglamento de Competiciones lleva por título «Obligaciones del colectivo arbitral aficionado»?</t>
  </si>
  <si>
    <t xml:space="preserve">En el Reglamento de Competiciones, el Artículo 116 se titula «Obligaciones del colectivo arbitral aficionado».</t>
  </si>
  <si>
    <t xml:space="preserve">RC-079</t>
  </si>
  <si>
    <t xml:space="preserve">¿Qué título recibe el Artículo 116 del Reglamento de Competiciones?</t>
  </si>
  <si>
    <t xml:space="preserve">Obligaciones de los árbitros profesionales</t>
  </si>
  <si>
    <t xml:space="preserve">Obligaciones del colectivo arbitral aficionado</t>
  </si>
  <si>
    <t xml:space="preserve">RC-080</t>
  </si>
  <si>
    <t xml:space="preserve">¿Qué artículo del Reglamento de Competiciones lleva por título «Obligaciones de los árbitros profesionales»?</t>
  </si>
  <si>
    <t xml:space="preserve">Artículo 117</t>
  </si>
  <si>
    <t xml:space="preserve">En el Reglamento de Competiciones, el Artículo 117 se titula «Obligaciones de los árbitros profesionales».</t>
  </si>
  <si>
    <t xml:space="preserve">RC-081</t>
  </si>
  <si>
    <t xml:space="preserve">¿Qué título recibe el Artículo 117 del Reglamento de Competiciones?</t>
  </si>
  <si>
    <t xml:space="preserve">Comparecencia en el recinto deportivo</t>
  </si>
  <si>
    <t xml:space="preserve">RC-082</t>
  </si>
  <si>
    <t xml:space="preserve">¿Qué artículo del Reglamento de Competiciones lleva por título «Definición de licencia. Requisitos para su obtención»?</t>
  </si>
  <si>
    <t xml:space="preserve">Artículo 121</t>
  </si>
  <si>
    <t xml:space="preserve">Artículo 125</t>
  </si>
  <si>
    <t xml:space="preserve">En el Reglamento de Competiciones, el Artículo 121 se titula «Definición de licencia. Requisitos para su obtención».</t>
  </si>
  <si>
    <t xml:space="preserve">RC-083</t>
  </si>
  <si>
    <t xml:space="preserve">¿Qué título recibe el Artículo 121 del Reglamento de Competiciones?</t>
  </si>
  <si>
    <t xml:space="preserve">RC-084</t>
  </si>
  <si>
    <t xml:space="preserve">Art. 122</t>
  </si>
  <si>
    <t xml:space="preserve">¿Qué artículo del Reglamento de Competiciones lleva por título «La cancelación de las licencias»?</t>
  </si>
  <si>
    <t xml:space="preserve">Artículo 123</t>
  </si>
  <si>
    <t xml:space="preserve">Artículo 122</t>
  </si>
  <si>
    <t xml:space="preserve">En el Reglamento de Competiciones, el Artículo 122 se titula «La cancelación de las licencias».</t>
  </si>
  <si>
    <t xml:space="preserve">RC-085</t>
  </si>
  <si>
    <t xml:space="preserve">¿Qué título recibe el Artículo 122 del Reglamento de Competiciones?</t>
  </si>
  <si>
    <t xml:space="preserve">Ampliaciones al acta arbitral</t>
  </si>
  <si>
    <t xml:space="preserve">RC-086</t>
  </si>
  <si>
    <t xml:space="preserve">Art. 123</t>
  </si>
  <si>
    <t xml:space="preserve">¿Qué artículo del Reglamento de Competiciones lleva por título «Clasificación»?</t>
  </si>
  <si>
    <t xml:space="preserve">Artículo 126</t>
  </si>
  <si>
    <t xml:space="preserve">Artículo 124</t>
  </si>
  <si>
    <t xml:space="preserve">En el Reglamento de Competiciones, el Artículo 123 se titula «Clasificación».</t>
  </si>
  <si>
    <t xml:space="preserve">RC-087</t>
  </si>
  <si>
    <t xml:space="preserve">¿Qué título recibe el Artículo 123 del Reglamento de Competiciones?</t>
  </si>
  <si>
    <t xml:space="preserve">Clasificación</t>
  </si>
  <si>
    <t xml:space="preserve">RC-088</t>
  </si>
  <si>
    <t xml:space="preserve">¿Qué artículo del Reglamento de Competiciones lleva por título «Proceso de obtención de las licencias»?</t>
  </si>
  <si>
    <t xml:space="preserve">En el Reglamento de Competiciones, el Artículo 124 se titula «Proceso de obtención de las licencias».</t>
  </si>
  <si>
    <t xml:space="preserve">RC-089</t>
  </si>
  <si>
    <t xml:space="preserve">¿Qué título recibe el Artículo 124 del Reglamento de Competiciones?</t>
  </si>
  <si>
    <t xml:space="preserve">Proceso de obtención de las licencias</t>
  </si>
  <si>
    <t xml:space="preserve">Causas de suspensión de los partidos</t>
  </si>
  <si>
    <t xml:space="preserve">RC-090</t>
  </si>
  <si>
    <t xml:space="preserve">Art. 125</t>
  </si>
  <si>
    <t xml:space="preserve">¿Qué artículo del Reglamento de Competiciones lleva por título «Normativa de aplicación (licencia profesional)»?</t>
  </si>
  <si>
    <t xml:space="preserve">En el Reglamento de Competiciones, el Artículo 125 se titula «Normativa de aplicación (licencia profesional)».</t>
  </si>
  <si>
    <t xml:space="preserve">RC-091</t>
  </si>
  <si>
    <t xml:space="preserve">¿Qué título recibe el Artículo 125 del Reglamento de Competiciones?</t>
  </si>
  <si>
    <t xml:space="preserve">Normativa de aplicación (licencia profesional)</t>
  </si>
  <si>
    <t xml:space="preserve">Requisitos de acceso (licencia profesional)</t>
  </si>
  <si>
    <t xml:space="preserve">RC-092</t>
  </si>
  <si>
    <t xml:space="preserve">¿Qué artículo del Reglamento de Competiciones lleva por título «Requisitos de acceso (licencia profesional)»?</t>
  </si>
  <si>
    <t xml:space="preserve">Artículo 128</t>
  </si>
  <si>
    <t xml:space="preserve">En el Reglamento de Competiciones, el Artículo 126 se titula «Requisitos de acceso (licencia profesional)».</t>
  </si>
  <si>
    <t xml:space="preserve">RC-093</t>
  </si>
  <si>
    <t xml:space="preserve">¿Qué título recibe el Artículo 126 del Reglamento de Competiciones?</t>
  </si>
  <si>
    <t xml:space="preserve">RC-094</t>
  </si>
  <si>
    <t xml:space="preserve">Art. 127</t>
  </si>
  <si>
    <t xml:space="preserve">¿Qué artículo del Reglamento de Competiciones lleva por título «Causas de cancelación de la licencia deportiva profesional»?</t>
  </si>
  <si>
    <t xml:space="preserve">Artículo 127</t>
  </si>
  <si>
    <t xml:space="preserve">Artículo 129</t>
  </si>
  <si>
    <t xml:space="preserve">En el Reglamento de Competiciones, el Artículo 127 se titula «Causas de cancelación de la licencia deportiva profesional».</t>
  </si>
  <si>
    <t xml:space="preserve">RC-095</t>
  </si>
  <si>
    <t xml:space="preserve">¿Qué título recibe el Artículo 127 del Reglamento de Competiciones?</t>
  </si>
  <si>
    <t xml:space="preserve">Causas de cancelación de la licencia deportiva profesional</t>
  </si>
  <si>
    <t xml:space="preserve">RC-096</t>
  </si>
  <si>
    <t xml:space="preserve">¿Qué artículo del Reglamento de Competiciones lleva por título «Requisitos de acceso a las licencias no profesionales»?</t>
  </si>
  <si>
    <t xml:space="preserve">Artículo 130</t>
  </si>
  <si>
    <t xml:space="preserve">En el Reglamento de Competiciones, el Artículo 128 se titula «Requisitos de acceso a las licencias no profesionales».</t>
  </si>
  <si>
    <t xml:space="preserve">RC-097</t>
  </si>
  <si>
    <t xml:space="preserve">¿Qué título recibe el Artículo 128 del Reglamento de Competiciones?</t>
  </si>
  <si>
    <t xml:space="preserve">RC-098</t>
  </si>
  <si>
    <t xml:space="preserve">Art. 129</t>
  </si>
  <si>
    <t xml:space="preserve">¿Qué artículo del Reglamento de Competiciones lleva por título «Reglas de Juego»?</t>
  </si>
  <si>
    <t xml:space="preserve">En el Reglamento de Competiciones, el Artículo 129 se titula «Reglas de Juego».</t>
  </si>
  <si>
    <t xml:space="preserve">RC-099</t>
  </si>
  <si>
    <t xml:space="preserve">¿Qué título recibe el Artículo 129 del Reglamento de Competiciones?</t>
  </si>
  <si>
    <t xml:space="preserve">Reglas de Juego</t>
  </si>
  <si>
    <t xml:space="preserve">RC-100</t>
  </si>
  <si>
    <t xml:space="preserve">¿Qué artículo del Reglamento de Competiciones lleva por título «Balones»?</t>
  </si>
  <si>
    <t xml:space="preserve">En el Reglamento de Competiciones, el Artículo 130 se titula «Balones».</t>
  </si>
  <si>
    <t xml:space="preserve">RC-101</t>
  </si>
  <si>
    <t xml:space="preserve">¿Qué título recibe el Artículo 130 del Reglamento de Competiciones?</t>
  </si>
  <si>
    <t xml:space="preserve">Balones</t>
  </si>
  <si>
    <t xml:space="preserve">Concepto de publicidad</t>
  </si>
  <si>
    <t xml:space="preserve">RC-102</t>
  </si>
  <si>
    <t xml:space="preserve">Art. 131</t>
  </si>
  <si>
    <t xml:space="preserve">¿Qué artículo del Reglamento de Competiciones lleva por título «Condiciones para el correcto desarrollo de los partidos»?</t>
  </si>
  <si>
    <t xml:space="preserve">Artículo 131</t>
  </si>
  <si>
    <t xml:space="preserve">Artículo 133</t>
  </si>
  <si>
    <t xml:space="preserve">En el Reglamento de Competiciones, el Artículo 131 se titula «Condiciones para el correcto desarrollo de los partidos».</t>
  </si>
  <si>
    <t xml:space="preserve">RC-103</t>
  </si>
  <si>
    <t xml:space="preserve">¿Qué título recibe el Artículo 131 del Reglamento de Competiciones?</t>
  </si>
  <si>
    <t xml:space="preserve">RC-104</t>
  </si>
  <si>
    <t xml:space="preserve">¿Qué artículo del Reglamento de Competiciones lleva por título «Comparecencia en el recinto deportivo»?</t>
  </si>
  <si>
    <t xml:space="preserve">Artículo 135</t>
  </si>
  <si>
    <t xml:space="preserve">En el Reglamento de Competiciones, el Artículo 133 se titula «Comparecencia en el recinto deportivo».</t>
  </si>
  <si>
    <t xml:space="preserve">RC-105</t>
  </si>
  <si>
    <t xml:space="preserve">¿Qué título recibe el Artículo 133 del Reglamento de Competiciones?</t>
  </si>
  <si>
    <t xml:space="preserve">RC-106</t>
  </si>
  <si>
    <t xml:space="preserve">¿Qué artículo del Reglamento de Competiciones lleva por título «Uniformes de los/as futbolistas»?</t>
  </si>
  <si>
    <t xml:space="preserve">Artículo 136</t>
  </si>
  <si>
    <t xml:space="preserve">Artículo 137</t>
  </si>
  <si>
    <t xml:space="preserve">En el Reglamento de Competiciones, el Artículo 135 se titula «Uniformes de los/as futbolistas».</t>
  </si>
  <si>
    <t xml:space="preserve">RC-107</t>
  </si>
  <si>
    <t xml:space="preserve">¿Qué título recibe el Artículo 135 del Reglamento de Competiciones?</t>
  </si>
  <si>
    <t xml:space="preserve">Uniformes de los/as futbolistas</t>
  </si>
  <si>
    <t xml:space="preserve">RC-108</t>
  </si>
  <si>
    <t xml:space="preserve">¿Qué artículo del Reglamento de Competiciones lleva por título «Las actas arbitrales»?</t>
  </si>
  <si>
    <t xml:space="preserve">Artículo 138</t>
  </si>
  <si>
    <t xml:space="preserve">En el Reglamento de Competiciones, el Artículo 136 se titula «Las actas arbitrales».</t>
  </si>
  <si>
    <t xml:space="preserve">RC-109</t>
  </si>
  <si>
    <t xml:space="preserve">¿Qué título recibe el Artículo 136 del Reglamento de Competiciones?</t>
  </si>
  <si>
    <t xml:space="preserve">RC-110</t>
  </si>
  <si>
    <t xml:space="preserve">¿Qué artículo del Reglamento de Competiciones lleva por título «Firma del acta arbitral»?</t>
  </si>
  <si>
    <t xml:space="preserve">Artículo 139</t>
  </si>
  <si>
    <t xml:space="preserve">En el Reglamento de Competiciones, el Artículo 137 se titula «Firma del acta arbitral».</t>
  </si>
  <si>
    <t xml:space="preserve">RC-111</t>
  </si>
  <si>
    <t xml:space="preserve">¿Qué título recibe el Artículo 137 del Reglamento de Competiciones?</t>
  </si>
  <si>
    <t xml:space="preserve">El/la árbitro: funciones</t>
  </si>
  <si>
    <t xml:space="preserve">RC-112</t>
  </si>
  <si>
    <t xml:space="preserve">¿Qué artículo del Reglamento de Competiciones lleva por título «Reparto de copias del acta arbitral»?</t>
  </si>
  <si>
    <t xml:space="preserve">En el Reglamento de Competiciones, el Artículo 138 se titula «Reparto de copias del acta arbitral».</t>
  </si>
  <si>
    <t xml:space="preserve">RC-113</t>
  </si>
  <si>
    <t xml:space="preserve">¿Qué título recibe el Artículo 138 del Reglamento de Competiciones?</t>
  </si>
  <si>
    <t xml:space="preserve">RC-114</t>
  </si>
  <si>
    <t xml:space="preserve">¿Qué artículo del Reglamento de Competiciones lleva por título «Ampliaciones al acta arbitral»?</t>
  </si>
  <si>
    <t xml:space="preserve">Artículo 141</t>
  </si>
  <si>
    <t xml:space="preserve">En el Reglamento de Competiciones, el Artículo 139 se titula «Ampliaciones al acta arbitral».</t>
  </si>
  <si>
    <t xml:space="preserve">RC-115</t>
  </si>
  <si>
    <t xml:space="preserve">¿Qué título recibe el Artículo 139 del Reglamento de Competiciones?</t>
  </si>
  <si>
    <t xml:space="preserve">RC-116</t>
  </si>
  <si>
    <t xml:space="preserve">¿Qué artículo del Reglamento de Competiciones lleva por título «Número mínimo de futbolistas»?</t>
  </si>
  <si>
    <t xml:space="preserve">En el Reglamento de Competiciones, el Artículo 141 se titula «Número mínimo de futbolistas».</t>
  </si>
  <si>
    <t xml:space="preserve">RC-117</t>
  </si>
  <si>
    <t xml:space="preserve">¿Qué título recibe el Artículo 141 del Reglamento de Competiciones?</t>
  </si>
  <si>
    <t xml:space="preserve">El/la Oficial informador/a</t>
  </si>
  <si>
    <t xml:space="preserve">RC-118</t>
  </si>
  <si>
    <t xml:space="preserve">¿Qué artículo del Reglamento de Competiciones lleva por título «Sustituciones permitidas durante el partido»?</t>
  </si>
  <si>
    <t xml:space="preserve">Artículo 144</t>
  </si>
  <si>
    <t xml:space="preserve">Artículo 150</t>
  </si>
  <si>
    <t xml:space="preserve">En el Reglamento de Competiciones, el Artículo 144 se titula «Sustituciones permitidas durante el partido».</t>
  </si>
  <si>
    <t xml:space="preserve">RC-119</t>
  </si>
  <si>
    <t xml:space="preserve">¿Qué título recibe el Artículo 144 del Reglamento de Competiciones?</t>
  </si>
  <si>
    <t xml:space="preserve">El/la delegado/a de campo o de pista</t>
  </si>
  <si>
    <t xml:space="preserve">Sustituciones permitidas durante el partido</t>
  </si>
  <si>
    <t xml:space="preserve">RC-120</t>
  </si>
  <si>
    <t xml:space="preserve">¿Qué artículo del Reglamento de Competiciones lleva por título «Personas que intervienen en el desarrollo del partido»?</t>
  </si>
  <si>
    <t xml:space="preserve">Artículo 153</t>
  </si>
  <si>
    <t xml:space="preserve">Artículo 155</t>
  </si>
  <si>
    <t xml:space="preserve">En el Reglamento de Competiciones, el Artículo 150 se titula «Personas que intervienen en el desarrollo del partido».</t>
  </si>
  <si>
    <t xml:space="preserve">RC-121</t>
  </si>
  <si>
    <t xml:space="preserve">¿Qué título recibe el Artículo 150 del Reglamento de Competiciones?</t>
  </si>
  <si>
    <t xml:space="preserve">RC-122</t>
  </si>
  <si>
    <t xml:space="preserve">¿Qué artículo del Reglamento de Competiciones lleva por título «El/la delegado/a de campo o de pista»?</t>
  </si>
  <si>
    <t xml:space="preserve">Artículo 151</t>
  </si>
  <si>
    <t xml:space="preserve">En el Reglamento de Competiciones, el Artículo 151 se titula «El/la delegado/a de campo o de pista».</t>
  </si>
  <si>
    <t xml:space="preserve">RC-123</t>
  </si>
  <si>
    <t xml:space="preserve">¿Qué título recibe el Artículo 151 del Reglamento de Competiciones?</t>
  </si>
  <si>
    <t xml:space="preserve">RC-124</t>
  </si>
  <si>
    <t xml:space="preserve">Art. 152</t>
  </si>
  <si>
    <t xml:space="preserve">¿Qué artículo del Reglamento de Competiciones lleva por título «El/la Oficial informador/a»?</t>
  </si>
  <si>
    <t xml:space="preserve">Artículo 152</t>
  </si>
  <si>
    <t xml:space="preserve">En el Reglamento de Competiciones, el Artículo 152 se titula «El/la Oficial informador/a».</t>
  </si>
  <si>
    <t xml:space="preserve">RC-125</t>
  </si>
  <si>
    <t xml:space="preserve">¿Qué título recibe el Artículo 152 del Reglamento de Competiciones?</t>
  </si>
  <si>
    <t xml:space="preserve">RC-126</t>
  </si>
  <si>
    <t xml:space="preserve">¿Qué artículo del Reglamento de Competiciones lleva por título «Los/as delegados/as de los clubs»?</t>
  </si>
  <si>
    <t xml:space="preserve">Artículo 154</t>
  </si>
  <si>
    <t xml:space="preserve">En el Reglamento de Competiciones, el Artículo 153 se titula «Los/as delegados/as de los clubs».</t>
  </si>
  <si>
    <t xml:space="preserve">RC-127</t>
  </si>
  <si>
    <t xml:space="preserve">¿Qué título recibe el Artículo 153 del Reglamento de Competiciones?</t>
  </si>
  <si>
    <t xml:space="preserve">RC-128</t>
  </si>
  <si>
    <t xml:space="preserve">¿Qué artículo del Reglamento de Competiciones lleva por título «Los/as capitanes/as de los equipos»?</t>
  </si>
  <si>
    <t xml:space="preserve">En el Reglamento de Competiciones, el Artículo 154 se titula «Los/as capitanes/as de los equipos».</t>
  </si>
  <si>
    <t xml:space="preserve">RC-129</t>
  </si>
  <si>
    <t xml:space="preserve">¿Qué título recibe el Artículo 154 del Reglamento de Competiciones?</t>
  </si>
  <si>
    <t xml:space="preserve">Los/as capitanes/as de los equipos</t>
  </si>
  <si>
    <t xml:space="preserve">Publicidad en prendas deportivas</t>
  </si>
  <si>
    <t xml:space="preserve">RC-130</t>
  </si>
  <si>
    <t xml:space="preserve">¿Qué artículo del Reglamento de Competiciones lleva por título «El/la árbitro: funciones»?</t>
  </si>
  <si>
    <t xml:space="preserve">Artículo 156</t>
  </si>
  <si>
    <t xml:space="preserve">En el Reglamento de Competiciones, el Artículo 155 se titula «El/la árbitro: funciones».</t>
  </si>
  <si>
    <t xml:space="preserve">RC-131</t>
  </si>
  <si>
    <t xml:space="preserve">¿Qué título recibe el Artículo 155 del Reglamento de Competiciones?</t>
  </si>
  <si>
    <t xml:space="preserve">Tamaño de la publicidad</t>
  </si>
  <si>
    <t xml:space="preserve">RC-132</t>
  </si>
  <si>
    <t xml:space="preserve">¿Qué artículo del Reglamento de Competiciones lleva por título «El/la árbitro: obligaciones»?</t>
  </si>
  <si>
    <t xml:space="preserve">Artículo 158</t>
  </si>
  <si>
    <t xml:space="preserve">En el Reglamento de Competiciones, el Artículo 156 se titula «El/la árbitro: obligaciones».</t>
  </si>
  <si>
    <t xml:space="preserve">RC-133</t>
  </si>
  <si>
    <t xml:space="preserve">¿Qué título recibe el Artículo 156 del Reglamento de Competiciones?</t>
  </si>
  <si>
    <t xml:space="preserve">RC-134</t>
  </si>
  <si>
    <t xml:space="preserve">¿Qué artículo del Reglamento de Competiciones lleva por título «Causas de suspensión de los partidos»?</t>
  </si>
  <si>
    <t xml:space="preserve">En el Reglamento de Competiciones, el Artículo 158 se titula «Causas de suspensión de los partidos».</t>
  </si>
  <si>
    <t xml:space="preserve">RC-135</t>
  </si>
  <si>
    <t xml:space="preserve">¿Qué título recibe el Artículo 158 del Reglamento de Competiciones?</t>
  </si>
  <si>
    <t xml:space="preserve">RC-136</t>
  </si>
  <si>
    <t xml:space="preserve">¿Qué artículo del Reglamento de Competiciones lleva por título «Condiciones del terreno de juego y de las instalaciones deportivas»?</t>
  </si>
  <si>
    <t xml:space="preserve">Artículo 183</t>
  </si>
  <si>
    <t xml:space="preserve">Artículo 175</t>
  </si>
  <si>
    <t xml:space="preserve">En el Reglamento de Competiciones, el Artículo 175 se titula «Condiciones del terreno de juego y de las instalaciones deportivas».</t>
  </si>
  <si>
    <t xml:space="preserve">RC-137</t>
  </si>
  <si>
    <t xml:space="preserve">¿Qué título recibe el Artículo 175 del Reglamento de Competiciones?</t>
  </si>
  <si>
    <t xml:space="preserve">Condiciones del terreno de juego y de las instalaciones deportivas</t>
  </si>
  <si>
    <t xml:space="preserve">RC-138</t>
  </si>
  <si>
    <t xml:space="preserve">¿Qué artículo del Reglamento de Competiciones lleva por título «Publicidad en prendas deportivas»?</t>
  </si>
  <si>
    <t xml:space="preserve">En el Reglamento de Competiciones, el Artículo 183 se titula «Publicidad en prendas deportivas».</t>
  </si>
  <si>
    <t xml:space="preserve">RC-139</t>
  </si>
  <si>
    <t xml:space="preserve">¿Qué título recibe el Artículo 183 del Reglamento de Competiciones?</t>
  </si>
  <si>
    <t xml:space="preserve">RC-140</t>
  </si>
  <si>
    <t xml:space="preserve">¿Qué artículo del Reglamento de Competiciones lleva por título «Tamaño de la publicidad»?</t>
  </si>
  <si>
    <t xml:space="preserve">Artículo 184</t>
  </si>
  <si>
    <t xml:space="preserve">En el Reglamento de Competiciones, el Artículo 184 se titula «Tamaño de la publicidad».</t>
  </si>
  <si>
    <t xml:space="preserve">RC-141</t>
  </si>
  <si>
    <t xml:space="preserve">¿Qué título recibe el Artículo 184 del Reglamento de Competiciones?</t>
  </si>
  <si>
    <t xml:space="preserve">RC-142</t>
  </si>
  <si>
    <t xml:space="preserve">¿Qué artículo del Reglamento de Competiciones lleva por título «Concepto de publicidad»?</t>
  </si>
  <si>
    <t xml:space="preserve">Artículo 185</t>
  </si>
  <si>
    <t xml:space="preserve">En el Reglamento de Competiciones, el Artículo 185 se titula «Concepto de publicidad».</t>
  </si>
  <si>
    <t xml:space="preserve">RC-143</t>
  </si>
  <si>
    <t xml:space="preserve">¿Qué título recibe el Artículo 185 del Reglamento de Competiciones?</t>
  </si>
  <si>
    <t xml:space="preserve">RC-144</t>
  </si>
  <si>
    <t xml:space="preserve">Según el Artículo 105 del Reglamento de Competiciones, ¿cuáles son los requisitos generales exigidos a un árbitro?</t>
  </si>
  <si>
    <t xml:space="preserve">No superar la edad límite, superar las pruebas técnicas, físicas y médicas, tener licencia y estar al corriente de cuotas.</t>
  </si>
  <si>
    <t xml:space="preserve">No superar la edad límite, superar las pruebas técnicas y físicas, tener licencia y estar al corriente de cuotas.</t>
  </si>
  <si>
    <t xml:space="preserve">No superar la edad límite, superar las pruebas técnicas, físicas y médicas, tener licencia y acreditar formación universitaria.</t>
  </si>
  <si>
    <t xml:space="preserve">El Artículo 105 exige no superar la edad límite, superar las pruebas técnicas, físicas y médicas, tener licencia y estar al corriente de cuotas.</t>
  </si>
  <si>
    <t xml:space="preserve">RC-145</t>
  </si>
  <si>
    <t xml:space="preserve">Además de la incompatibilidad con otra licencia futbolística y con las apuestas, ¿qué otras dos incompatibilidades establece el Artículo 106 del Reglamento de Competiciones?</t>
  </si>
  <si>
    <t xml:space="preserve">Ocupar cargos en órganos de la RFEF o autonómicos que comprometan la imparcialidad, y arbitrar en competiciones ajenas a la estructura federativa sin autorización del CTA.</t>
  </si>
  <si>
    <t xml:space="preserve">Ocupar cargos en órganos de la RFEF o autonómicos que comprometan la imparcialidad, y arbitrar en competiciones ajenas a la estructura federativa sin comunicarlo al club.</t>
  </si>
  <si>
    <t xml:space="preserve">Ocupar cargos directivos en un club de cualquier categoría, y arbitrar en competiciones ajenas a la estructura federativa sin autorización del CTA.</t>
  </si>
  <si>
    <t xml:space="preserve">El Artículo 106 también declara incompatible ocupar cargos en órganos de la RFEF o autonómicos que comprometan la imparcialidad, y arbitrar en competiciones ajenas a la estructura federativa sin autorización del CTA.</t>
  </si>
  <si>
    <t xml:space="preserve">RC-146</t>
  </si>
  <si>
    <t xml:space="preserve">Además de la obligación de someterse a controles de dopaje, ¿qué derecho reconoce el Artículo 107 del Reglamento de Competiciones a los árbitros?</t>
  </si>
  <si>
    <t xml:space="preserve">Derecho a prestaciones de la Mutualidad de Previsión Social de Futbolistas Españoles.</t>
  </si>
  <si>
    <t xml:space="preserve">Derecho a prestaciones de la Seguridad Social en régimen especial de deportistas.</t>
  </si>
  <si>
    <t xml:space="preserve">Derecho a prestaciones de la Mutualidad de Previsión Social de Árbitros Profesionales.</t>
  </si>
  <si>
    <t xml:space="preserve">El Artículo 107 reconoce el derecho a prestaciones de la Mutualidad de Previsión Social de Futbolistas Españoles, además de la obligación de someterse a controles de dopaje.</t>
  </si>
  <si>
    <t xml:space="preserve">RC-147</t>
  </si>
  <si>
    <t xml:space="preserve">Según el Artículo 109 del Reglamento de Competiciones, ¿qué establece el CTA al inicio de temporada y qué se tiene en cuenta para la valoración?</t>
  </si>
  <si>
    <t xml:space="preserve">Criterios de valoración con igualdad entre colegiados/as, teniendo en cuenta las evaluaciones de los Oficiales Informadores/as y de la Comisión Técnica del CTA.</t>
  </si>
  <si>
    <t xml:space="preserve">Criterios de valoración con igualdad entre colegiados/as, teniendo en cuenta las evaluaciones de los clubes y de los Oficiales Informadores/as.</t>
  </si>
  <si>
    <t xml:space="preserve">Criterios de valoración por categorías, teniendo en cuenta las evaluaciones de los Oficiales Informadores/as y de la Comisión Técnica del CTA.</t>
  </si>
  <si>
    <t xml:space="preserve">El Artículo 109 dispone que el CTA establece criterios de valoración al inicio de temporada, considerando las evaluaciones de Oficiales Informadores/as y de la Comisión Técnica del CTA.</t>
  </si>
  <si>
    <t xml:space="preserve">RC-148</t>
  </si>
  <si>
    <t xml:space="preserve">Además del número de descensos y ascensos, ¿qué otros dos límites de plantilla establece el Artículo 110 del Reglamento de Competiciones?</t>
  </si>
  <si>
    <t xml:space="preserve">Máximo 24 árbitras y 24 árbitras asistentes en 1ª Federación Femenina, y plantilla mínima de 15 Asistentes de Vídeo.</t>
  </si>
  <si>
    <t xml:space="preserve">Máximo 24 árbitras y 24 árbitras asistentes en 1ª Federación Femenina, y plantilla mínima de 12 Asistentes de Vídeo.</t>
  </si>
  <si>
    <t xml:space="preserve">Máximo 20 árbitras y 20 árbitras asistentes en 1ª Federación Femenina, y plantilla mínima de 15 Asistentes de Vídeo.</t>
  </si>
  <si>
    <t xml:space="preserve">El Artículo 110 fija un máximo de 24 árbitras y 24 árbitras asistentes en 1ª Federación Femenina, y una plantilla mínima de 15 Asistentes de Vídeo.</t>
  </si>
  <si>
    <t xml:space="preserve">RC-149</t>
  </si>
  <si>
    <t xml:space="preserve">Además de que la plantilla de asistentes profesionales sea el doble de los árbitros principales, ¿qué otras dos reglas establece el Artículo 111 del Reglamento de Competiciones?</t>
  </si>
  <si>
    <t xml:space="preserve">Se subdividen en grupos de cuatro, y en partidos de un árbitro internacional uno de los asistentes debe ser también internacional, si es posible.</t>
  </si>
  <si>
    <t xml:space="preserve">Se subdividen en grupos de cinco, y en partidos de un árbitro internacional uno de los asistentes debe ser también internacional, si es posible.</t>
  </si>
  <si>
    <t xml:space="preserve">Se subdividen en grupos de cuatro, y en partidos de un árbitro internacional los dos asistentes deben ser también internacionales, si es posible.</t>
  </si>
  <si>
    <t xml:space="preserve">El Artículo 111 establece que los asistentes se subdividen en grupos de cuatro, y que en partidos de un árbitro internacional uno de los asistentes debe ser también internacional, si es posible.</t>
  </si>
  <si>
    <t xml:space="preserve">RC-150</t>
  </si>
  <si>
    <t xml:space="preserve">Según el Artículo 112 del Reglamento de Competiciones, ¿cuáles son las edades límite de acceso a las siguientes categorías: 2ª División, 1ª División de Fútbol Femenino y 1ª Federación?</t>
  </si>
  <si>
    <t xml:space="preserve">39 años (2ª División), 44 años (1ª División Fútbol Femenino) y 34 años (1ª Federación).</t>
  </si>
  <si>
    <t xml:space="preserve">39 años (2ª División), 34 años (1ª División Fútbol Femenino) y 44 años (1ª Federación).</t>
  </si>
  <si>
    <t xml:space="preserve">44 años (2ª División), 39 años (1ª División Fútbol Femenino) y 34 años (1ª Federación).</t>
  </si>
  <si>
    <t xml:space="preserve">El Artículo 112 fija las edades límite de acceso en 39 años (2ª División), 44 años (1ª División Fútbol Femenino), 34 años (1ª Federación) y 32 años (2ª Federación).</t>
  </si>
  <si>
    <t xml:space="preserve">RC-151</t>
  </si>
  <si>
    <t xml:space="preserve">Según el Artículo 113 del Reglamento de Competiciones, ¿antes de qué fecha deben realizarse el cambio de Comité de Árbitros (3ª Federación) y los traslados?</t>
  </si>
  <si>
    <t xml:space="preserve">Antes del 31 de diciembre de la temporada en curso.</t>
  </si>
  <si>
    <t xml:space="preserve">Antes del 31 de enero de la temporada en curso.</t>
  </si>
  <si>
    <t xml:space="preserve">Antes del 15 de diciembre de la temporada en curso.</t>
  </si>
  <si>
    <t xml:space="preserve">El Artículo 113 exige que el cambio de Comité de Árbitros (3ª Federación) y los traslados se realicen antes del 31 de diciembre de la temporada en curso.</t>
  </si>
  <si>
    <t xml:space="preserve">RC-152</t>
  </si>
  <si>
    <t xml:space="preserve">Según el Artículo 115 del Reglamento de Competiciones, ¿cómo se compone el cuerpo de Oficiales Informadores/as y con qué funciones es incompatible?</t>
  </si>
  <si>
    <t xml:space="preserve">50 miembros en fútbol profesional y mínimo 120 en el resto de categorías, seleccionados por el CTA y aprobados por el/la Presidente/a de la RFEF; incompatible con la función arbitral nacional y con actuar como periodista o comentarista.</t>
  </si>
  <si>
    <t xml:space="preserve">50 miembros en fútbol profesional y mínimo 100 en el resto de categorías, seleccionados por el CTA y aprobados por el/la Presidente/a de la RFEF; incompatible con la función arbitral nacional y con actuar como periodista o comentarista.</t>
  </si>
  <si>
    <t xml:space="preserve">50 miembros en fútbol profesional y mínimo 120 en el resto de categorías, seleccionados por el CTA y aprobados por la Junta Directiva de la RFEF; incompatible con la función arbitral nacional y con actuar como periodista o comentarista.</t>
  </si>
  <si>
    <t xml:space="preserve">El Artículo 115 fija un cuerpo de 50 miembros en fútbol profesional (mínimo 120 en el resto), seleccionados por el CTA y aprobados por el/la Presidente/a de la RFEF, con función incompatible con la arbitral nacional y con el periodismo.</t>
  </si>
  <si>
    <t xml:space="preserve">RC-153</t>
  </si>
  <si>
    <t xml:space="preserve">Además de pernoctar en la localidad del partido, ¿qué otras dos obligaciones impone el Artículo 117 del Reglamento de Competiciones a los árbitros profesionales?</t>
  </si>
  <si>
    <t xml:space="preserve">Tener un contrato de trabajo con la RFEF de una temporada (del 1 de julio al 30 de junio siguiente) y comunicar al Comité Técnico su programa de entrenamiento.</t>
  </si>
  <si>
    <t xml:space="preserve">Tener un contrato de trabajo con la RFEF de dos temporadas (del 1 de julio al 30 de junio del segundo año) y comunicar al Comité Técnico su programa de entrenamiento.</t>
  </si>
  <si>
    <t xml:space="preserve">Tener un contrato de trabajo con la RFEF de una temporada (del 1 de julio al 30 de junio siguiente) y comunicar al Comité Técnico su calendario de descansos.</t>
  </si>
  <si>
    <t xml:space="preserve">El Artículo 117 exige un contrato de trabajo con la RFEF de una temporada (1 de julio a 30 de junio) y comunicar al Comité Técnico el programa, lugar, día y hora de entrenamiento.</t>
  </si>
  <si>
    <t xml:space="preserve">RC-154</t>
  </si>
  <si>
    <t xml:space="preserve">Según el Artículo 121 del Reglamento de Competiciones, ¿cuál es el requisito previo para obtener la licencia arbitral?</t>
  </si>
  <si>
    <t xml:space="preserve">La afiliación al Comité Técnico de Árbitros mediante colegiación.</t>
  </si>
  <si>
    <t xml:space="preserve">La afiliación a la federación autonómica correspondiente mediante colegiación.</t>
  </si>
  <si>
    <t xml:space="preserve">La afiliación al Comité Técnico de Árbitros mediante superación de las pruebas físicas.</t>
  </si>
  <si>
    <t xml:space="preserve">El Artículo 121 exige como requisito previo la afiliación al Comité Técnico de Árbitros mediante colegiación.</t>
  </si>
  <si>
    <t xml:space="preserve">RC-155</t>
  </si>
  <si>
    <t xml:space="preserve">Según el Artículo 122 del Reglamento de Competiciones, ¿cuáles son las causas de cancelación de las licencias arbitrales?</t>
  </si>
  <si>
    <t xml:space="preserve">Baja concedida por el CTA, imposibilidad total permanente, expiración o resolución del contrato (profesionales) y acuerdo de los órganos competentes.</t>
  </si>
  <si>
    <t xml:space="preserve">Baja concedida por el CTA, imposibilidad total temporal, expiración o resolución del contrato (profesionales) y acuerdo de los órganos competentes.</t>
  </si>
  <si>
    <t xml:space="preserve">Baja concedida por el club, imposibilidad total permanente, expiración o resolución del contrato (profesionales) y acuerdo de los órganos competentes.</t>
  </si>
  <si>
    <t xml:space="preserve">El Artículo 122 recoge como causas de cancelación la baja concedida por el CTA, la imposibilidad total permanente, la expiración o resolución del contrato (para profesionales) y el acuerdo de los órganos competentes.</t>
  </si>
  <si>
    <t xml:space="preserve">RC-156</t>
  </si>
  <si>
    <t xml:space="preserve">Según el Artículo 123 del Reglamento de Competiciones, ¿cómo se clasifican las licencias arbitrales?</t>
  </si>
  <si>
    <t xml:space="preserve">En profesionales (1ª/2ª División, Asistentes de Vídeo y 1ª División de Fútbol Femenino) y aficionadas (el resto de árbitros, asistentes y Oficiales Informadores de categoría nacional).</t>
  </si>
  <si>
    <t xml:space="preserve">En profesionales (1ª/2ª División y 1ª División de Fútbol Femenino) y aficionadas (el resto de árbitros, asistentes, Asistentes de Vídeo y Oficiales Informadores de categoría nacional).</t>
  </si>
  <si>
    <t xml:space="preserve">En profesionales (1ª/2ª División, Asistentes de Vídeo y 1ª Federación) y aficionadas (el resto de árbitros, asistentes y Oficiales Informadores de categoría nacional).</t>
  </si>
  <si>
    <t xml:space="preserve">El Artículo 123 clasifica las licencias en profesionales (adscritos a 1ª/2ª División, Asistentes de Vídeo y 1ª División de Fútbol Femenino) y aficionadas (resto de categoría nacional).</t>
  </si>
  <si>
    <t xml:space="preserve">RC-157</t>
  </si>
  <si>
    <t xml:space="preserve">Según el Artículo 125 del Reglamento de Competiciones, ¿por qué se rige el régimen contractual de los árbitros con licencia profesional?</t>
  </si>
  <si>
    <t xml:space="preserve">Por la legislación vigente.</t>
  </si>
  <si>
    <t xml:space="preserve">Por el convenio colectivo de la RFEF vigente.</t>
  </si>
  <si>
    <t xml:space="preserve">Por lo que fije el Comité Técnico de Árbitros.</t>
  </si>
  <si>
    <t xml:space="preserve">El Artículo 125 establece que el régimen contractual de los árbitros con licencia profesional se rige por la legislación vigente.</t>
  </si>
  <si>
    <t xml:space="preserve">RC-158</t>
  </si>
  <si>
    <t xml:space="preserve">Según el Artículo 126 del Reglamento de Competiciones, ¿qué años mínimos de experiencia se exigen para Árbitro Asistente Profesional de 1ª División y para Árbitro Asistente Profesional de 2ª División, respectivamente?</t>
  </si>
  <si>
    <t xml:space="preserve">5 años (más 1 en 2ª División como asistente) y 3 años (más 1 en 1ª/2ª Federación).</t>
  </si>
  <si>
    <t xml:space="preserve">5 años (más 1 en 2ª División como asistente) y 3 años (más 1 en 3ª Federación).</t>
  </si>
  <si>
    <t xml:space="preserve">9 años (más 1 en 2ª División como asistente) y 3 años (más 1 en 1ª/2ª Federación).</t>
  </si>
  <si>
    <t xml:space="preserve">El Artículo 126 exige un mínimo de 5 años (más 1 en 2ª División de asistente) para Árbitro Asistente Profesional de 1ª División, y 3 años (más 1 en 1ª/2ª Federación) para el de 2ª División.</t>
  </si>
  <si>
    <t xml:space="preserve">RC-159</t>
  </si>
  <si>
    <t xml:space="preserve">Según el Artículo 127 del Reglamento de Competiciones, ¿cuáles son las causas de cancelación de la licencia deportiva profesional?</t>
  </si>
  <si>
    <t xml:space="preserve">No ser adscrito por el CTA, no reunir requisitos, no superar las pruebas, imposibilidad permanente, fin de contrato o sanción disciplinaria.</t>
  </si>
  <si>
    <t xml:space="preserve">No ser adscrito por el CTA, no reunir requisitos, no superar las pruebas, imposibilidad temporal, fin de contrato o sanción disciplinaria.</t>
  </si>
  <si>
    <t xml:space="preserve">No ser adscrito por el CTA, no reunir requisitos, no superar las pruebas, imposibilidad permanente o sanción disciplinaria.</t>
  </si>
  <si>
    <t xml:space="preserve">El Artículo 127 recoge como causas no ser adscrito por el CTA, no reunir requisitos, no superar las pruebas, la imposibilidad permanente, el fin de contrato o la sanción disciplinaria.</t>
  </si>
  <si>
    <t xml:space="preserve">RC-160</t>
  </si>
  <si>
    <t xml:space="preserve">Según el Artículo 128 del Reglamento de Competiciones, ¿cuántos años mínimos de experiencia se exigen para Árbitro de 2ª Federación y para Árbitro Asistente de 2ª Federación, respectivamente?</t>
  </si>
  <si>
    <t xml:space="preserve">4 años (más 1 en 3ª Federación) y 2 años (más 15 partidos en 3ª Federación).</t>
  </si>
  <si>
    <t xml:space="preserve">4 años (más 1 en 3ª Federación) y 2 años (más 10 partidos en 3ª Federación).</t>
  </si>
  <si>
    <t xml:space="preserve">5 años (más 1 en 3ª Federación) y 2 años (más 15 partidos en 3ª Federación).</t>
  </si>
  <si>
    <t xml:space="preserve">El Artículo 128 exige un mínimo de 4 años (más 1 en 3ª Federación) para Árbitro de 2ª Federación, y 2 años (más 15 partidos en 3ª Federación) para Árbitro Asistente de 2ª Federación.</t>
  </si>
  <si>
    <t xml:space="preserve">RC-161</t>
  </si>
  <si>
    <t xml:space="preserve">Según el Artículo 129 del Reglamento de Competiciones, ¿a quién corresponde la interpretación de dudas en las competiciones estatales profesionales?</t>
  </si>
  <si>
    <t xml:space="preserve">A la Junta Directiva de la RFEF.</t>
  </si>
  <si>
    <t xml:space="preserve">Al Comité Técnico de Árbitros de la RFEF.</t>
  </si>
  <si>
    <t xml:space="preserve">A la Comisión Delegada de la RFEF.</t>
  </si>
  <si>
    <t xml:space="preserve">El Artículo 129 atribuye la interpretación de dudas en competiciones estatales profesionales a la Junta Directiva de la RFEF.</t>
  </si>
  <si>
    <t xml:space="preserve">RC-162</t>
  </si>
  <si>
    <t xml:space="preserve">Según el Artículo 131 del Reglamento de Competiciones, ¿qué deben garantizar los clubes para el correcto desarrollo de los partidos?</t>
  </si>
  <si>
    <t xml:space="preserve">Corrección, servicios y presencia (o solicitud) de fuerza pública.</t>
  </si>
  <si>
    <t xml:space="preserve">Corrección, servicios y presencia de personal sanitario.</t>
  </si>
  <si>
    <t xml:space="preserve">Seguridad, servicios y presencia (o solicitud) de fuerza pública.</t>
  </si>
  <si>
    <t xml:space="preserve">El Artículo 131 exige a los clubes garantizar corrección, servicios y presencia o solicitud de fuerza pública.</t>
  </si>
  <si>
    <t xml:space="preserve">RC-163</t>
  </si>
  <si>
    <t xml:space="preserve">Además de la numeración de titulares y suplentes, ¿qué otras dos exigencias establece el Artículo 135 del Reglamento de Competiciones?</t>
  </si>
  <si>
    <t xml:space="preserve">Enviar la relación de dorsales a la RFEF 10 días antes del inicio de la competición, y llevar el número en el pantalón con 10 cm de altura, abajo a la derecha.</t>
  </si>
  <si>
    <t xml:space="preserve">Enviar la relación de dorsales a la RFEF 15 días antes del inicio de la competición, y llevar el número en el pantalón con 10 cm de altura, abajo a la derecha.</t>
  </si>
  <si>
    <t xml:space="preserve">Enviar la relación de dorsales a la RFEF 10 días antes del inicio de la competición, y llevar el número en el pantalón con 10 cm de altura, abajo a la izquierda.</t>
  </si>
  <si>
    <t xml:space="preserve">El Artículo 135 exige remitir la relación de dorsales a la RFEF con 10 días de antelación, y llevar el número en el pantalón con 10 cm de altura, abajo a la derecha.</t>
  </si>
  <si>
    <t xml:space="preserve">RC-164</t>
  </si>
  <si>
    <t xml:space="preserve">Según el Artículo 136 del Reglamento de Competiciones, ¿qué datos debe recoger el acta arbitral?</t>
  </si>
  <si>
    <t xml:space="preserve">Datos del partido, alineaciones y cargos, resultado y goleadores, sustituciones, amonestaciones/expulsiones, incidentes y estado de las instalaciones.</t>
  </si>
  <si>
    <t xml:space="preserve">Datos del partido, alineaciones y cargos, resultado y goleadores, sustituciones, amonestaciones/expulsiones e incidentes.</t>
  </si>
  <si>
    <t xml:space="preserve">Datos del partido, alineaciones y cargos, resultado y goleadores, sustituciones, amonestaciones/expulsiones, incidentes y asistencia de público.</t>
  </si>
  <si>
    <t xml:space="preserve">El Artículo 136 exige que el acta recoja los datos del partido, alineaciones y cargos, resultado y goleadores, sustituciones, amonestaciones/expulsiones, incidentes y estado de las instalaciones.</t>
  </si>
  <si>
    <t xml:space="preserve">RC-165</t>
  </si>
  <si>
    <t xml:space="preserve">Según el Artículo 137 del Reglamento de Competiciones, ¿es necesaria la firma del acta en categorías con tramitación electrónica, y a quién se remite una copia adicional en 1ª/2ª División?</t>
  </si>
  <si>
    <t xml:space="preserve">No es necesaria la firma, y se remite copia adicional a la Liga Nacional de Fútbol Profesional.</t>
  </si>
  <si>
    <t xml:space="preserve">Sigue siendo necesaria la firma, y se remite copia adicional a la Liga Nacional de Fútbol Profesional.</t>
  </si>
  <si>
    <t xml:space="preserve">No es necesaria la firma, y se remite copia adicional a la federación autonómica correspondiente.</t>
  </si>
  <si>
    <t xml:space="preserve">El Artículo 137 exime de la firma en categorías con tramitación electrónica, y prevé una copia adicional a la Liga Nacional de Fútbol Profesional (1ª/2ª División) o a la Liga Profesional de Fútbol Femenino (1ª División Femenina).</t>
  </si>
  <si>
    <t xml:space="preserve">RC-166</t>
  </si>
  <si>
    <t xml:space="preserve">Según el Artículo 144 del Reglamento de Competiciones, ¿cuál es el número máximo de suplentes con carácter general, salvo lo que fijen las Normas de cada competición?</t>
  </si>
  <si>
    <t xml:space="preserve">5 suplentes.</t>
  </si>
  <si>
    <t xml:space="preserve">El Artículo 144 fija en 5 el número máximo de suplentes, salvo lo que determinen las Normas de cada competición (1ª/2ª División, Federación, Copas, Supercopa).</t>
  </si>
  <si>
    <t xml:space="preserve">RC-167</t>
  </si>
  <si>
    <t xml:space="preserve">Según el Artículo 150 del Reglamento de Competiciones, ¿quiénes pueden ocupar el banquillo de un equipo en fútbol 11?</t>
  </si>
  <si>
    <t xml:space="preserve">Delegado/a, entrenador/a titular, hasta 2 auxiliares, especialista de porteros, preparador/a físico/a, médico/a, enfermero/a, fisioterapeuta, suplentes y sustituidos.</t>
  </si>
  <si>
    <t xml:space="preserve">Delegado/a, entrenador/a titular, hasta 3 auxiliares, especialista de porteros, preparador/a físico/a, médico/a, enfermero/a, fisioterapeuta, suplentes y sustituidos.</t>
  </si>
  <si>
    <t xml:space="preserve">Delegado/a, entrenador/a titular, hasta 2 auxiliares, especialista de porteros, preparador/a físico/a, médico/a, enfermero/a, fisioterapeuta y suplentes.</t>
  </si>
  <si>
    <t xml:space="preserve">El Artículo 150 detalla que el banquillo puede incluir al delegado/a, entrenador/a titular, hasta 2 auxiliares, especialista de porteros, preparador/a físico/a, médico/a, enfermero/a, fisioterapeuta, suplentes y sustituidos.</t>
  </si>
  <si>
    <t xml:space="preserve">RC-168</t>
  </si>
  <si>
    <t xml:space="preserve">Según el Artículo 151 del Reglamento de Competiciones, ¿quién designa al delegado/a de campo o de pista para cada partido?</t>
  </si>
  <si>
    <t xml:space="preserve">El club titular del terreno de juego o pabellón.</t>
  </si>
  <si>
    <t xml:space="preserve">El club visitante, de acuerdo con el club titular.</t>
  </si>
  <si>
    <t xml:space="preserve">La federación autonómica correspondiente al terreno de juego.</t>
  </si>
  <si>
    <t xml:space="preserve">El Artículo 151 establece que el delegado/a de campo lo designa el club titular del terreno de juego o pabellón para cada partido.</t>
  </si>
  <si>
    <t xml:space="preserve">RC-169</t>
  </si>
  <si>
    <t xml:space="preserve">Según el Artículo 152 del Reglamento de Competiciones, ¿qué acceso tiene el/la Oficial Informador/a y qué debe hacer ante el equipo arbitral?</t>
  </si>
  <si>
    <t xml:space="preserve">Tiene libre acceso a las dependencias de las instalaciones deportivas y debe identificarse ante el equipo arbitral y los delegados/as.</t>
  </si>
  <si>
    <t xml:space="preserve">Tiene libre acceso a las dependencias de las instalaciones deportivas y debe identificarse ante los delegados/as, pero no ante el equipo arbitral.</t>
  </si>
  <si>
    <t xml:space="preserve">Tiene acceso a las dependencias de las instalaciones deportivas previa autorización del club local y debe identificarse ante el equipo arbitral y los delegados/as.</t>
  </si>
  <si>
    <t xml:space="preserve">El Artículo 152 concede al Oficial Informador/a libre acceso a las dependencias de las instalaciones, con la obligación de identificarse ante el equipo arbitral y los delegados/as.</t>
  </si>
  <si>
    <t xml:space="preserve">RC-170</t>
  </si>
  <si>
    <t xml:space="preserve">Según el Artículo 153 del Reglamento de Competiciones, ¿cuáles son las funciones de los/las delegados/as de los clubs?</t>
  </si>
  <si>
    <t xml:space="preserve">Identificarse ante el árbitro, presentar licencias, cuidar el pago de derechos de arbitraje, firmar el acta e informar de incidencias.</t>
  </si>
  <si>
    <t xml:space="preserve">Identificarse ante el árbitro, presentar licencias, abonar el pago de derechos de arbitraje, firmar el acta e informar de incidencias.</t>
  </si>
  <si>
    <t xml:space="preserve">Identificarse ante el árbitro, presentar licencias, cuidar el pago de derechos de arbitraje, firmar el acta y elegir la alineación.</t>
  </si>
  <si>
    <t xml:space="preserve">El Artículo 153 asigna a los delegados/as las funciones de identificarse ante el árbitro, presentar licencias, cuidar el pago de derechos de arbitraje, firmar el acta e informar de incidencias.</t>
  </si>
  <si>
    <t xml:space="preserve">RC-171</t>
  </si>
  <si>
    <t xml:space="preserve">Según el Artículo 154 del Reglamento de Competiciones, ¿qué representación tienen los/las capitanes/as en el terreno de juego?</t>
  </si>
  <si>
    <t xml:space="preserve">Son la única representación autorizada del equipo en el terreno de juego.</t>
  </si>
  <si>
    <t xml:space="preserve">Comparten la representación del equipo en el terreno de juego con el entrenador.</t>
  </si>
  <si>
    <t xml:space="preserve">Son la única representación autorizada del equipo ante el Comité de Competición.</t>
  </si>
  <si>
    <t xml:space="preserve">El Artículo 154 establece que los/las capitanes/as son la única representación autorizada del equipo en el terreno de juego.</t>
  </si>
  <si>
    <t xml:space="preserve">RC-172</t>
  </si>
  <si>
    <t xml:space="preserve">Según el Artículo 156 del Reglamento de Competiciones, ¿qué debe hacer el árbitro antes y después del partido?</t>
  </si>
  <si>
    <t xml:space="preserve">Antes: inspeccionar el terreno, los balones y las licencias, y ordenar la salida de los equipos. Después: redactar el acta de forma fiel, concisa, clara, objetiva y completa.</t>
  </si>
  <si>
    <t xml:space="preserve">Antes: inspeccionar el terreno, los balones y las licencias, y ordenar la salida de los equipos. Después: redactar el acta de forma fiel, concisa, clara y objetiva, sin incluir el estado de las instalaciones.</t>
  </si>
  <si>
    <t xml:space="preserve">Antes: inspeccionar el terreno y los balones, y ordenar la salida de los equipos. Después: redactar el acta de forma fiel, concisa, clara, objetiva y completa.</t>
  </si>
  <si>
    <t xml:space="preserve">El Artículo 156 obliga al árbitro, antes del partido, a inspeccionar terreno, balones y licencias, y ordenar la salida de los equipos; y después del partido, a redactar el acta de forma fiel, concisa, clara, objetiva y completa.</t>
  </si>
  <si>
    <t xml:space="preserve">RC-173</t>
  </si>
  <si>
    <t xml:space="preserve">Según el Artículo 158 del Reglamento de Competiciones, ¿cuáles son las causas de suspensión de los partidos?</t>
  </si>
  <si>
    <t xml:space="preserve">Mal estado del terreno, inferioridad numérica, incidentes de público, insubordinación o retirada de un equipo, y fuerza mayor.</t>
  </si>
  <si>
    <t xml:space="preserve">Mal estado del terreno, inferioridad numérica, incidentes de público, insubordinación o retirada de un equipo, y falta de puntualidad de un equipo.</t>
  </si>
  <si>
    <t xml:space="preserve">Mal estado del terreno, inferioridad numérica, incidentes de público, lesión del árbitro y fuerza mayor.</t>
  </si>
  <si>
    <t xml:space="preserve">El Artículo 158 recoge como causas de suspensión el mal estado del terreno, la inferioridad numérica, los incidentes de público, la insubordinación o retirada de un equipo, y la fuerza mayor.</t>
  </si>
  <si>
    <t xml:space="preserve">RC-174</t>
  </si>
  <si>
    <t xml:space="preserve">Según el Artículo 175 del Reglamento de Competiciones, ¿con qué debe contar el terreno de juego y las instalaciones deportivas?</t>
  </si>
  <si>
    <t xml:space="preserve">Paso protegido a vestuarios, vestuarios independientes con agua caliente y fría, vallas de separación fijas, clínica de urgencia y zona de control antidopaje.</t>
  </si>
  <si>
    <t xml:space="preserve">Paso protegido a vestuarios, vestuarios independientes con agua caliente y fría, vallas de separación móviles, clínica de urgencia y zona de control antidopaje.</t>
  </si>
  <si>
    <t xml:space="preserve">Paso protegido a vestuarios, vestuarios compartidos con agua caliente y fría, vallas de separación fijas, clínica de urgencia y zona de control antidopaje.</t>
  </si>
  <si>
    <t xml:space="preserve">El Artículo 175 exige paso protegido a vestuarios, vestuarios independientes con agua caliente y fría, vallas de separación fijas, clínica de urgencia y zona de control antidopaje.</t>
  </si>
  <si>
    <t xml:space="preserve">RC-175</t>
  </si>
  <si>
    <t xml:space="preserve">Además de prohibir la publicidad de bebidas alcohólicas o tabaco, ¿qué más establece el Artículo 184 del Reglamento de Competiciones sobre la publicidad en las prendas deportivas?</t>
  </si>
  <si>
    <t xml:space="preserve">Solo puede incluir el emblema/símbolo de la marca comercial y, debajo, palabras o siglas alusivas, y no puede alterar los colores o emblemas del club.</t>
  </si>
  <si>
    <t xml:space="preserve">Solo puede incluir el emblema/símbolo de la marca comercial y, debajo, palabras o siglas alusivas, y puede alterar los colores del club si se acuerda con la RFEF.</t>
  </si>
  <si>
    <t xml:space="preserve">Solo puede incluir el emblema/símbolo de la marca comercial y, encima, palabras o siglas alusivas, y no puede alterar los colores o emblemas del club.</t>
  </si>
  <si>
    <t xml:space="preserve">El Artículo 184 limita la publicidad al emblema/símbolo de la marca y, debajo, palabras o siglas alusivas, sin que pueda alterar los colores o emblemas del club.</t>
  </si>
  <si>
    <t xml:space="preserve">RC-183</t>
  </si>
  <si>
    <t xml:space="preserve">Según el Artículo 111 del Reglamento de Competiciones, ¿cómo se subdividen los árbitros asistentes profesionales?</t>
  </si>
  <si>
    <t xml:space="preserve">En grupos de cuatro.</t>
  </si>
  <si>
    <t xml:space="preserve">En grupos de dos.</t>
  </si>
  <si>
    <t xml:space="preserve">En grupos de seis.</t>
  </si>
  <si>
    <t xml:space="preserve">El Artículo 111 establece que los árbitros asistentes profesionales se subdividen en grupos de cuatro.</t>
  </si>
  <si>
    <t xml:space="preserve">RC-187</t>
  </si>
  <si>
    <t xml:space="preserve">Según el Artículo 115 del Reglamento de Competiciones, ¿cuántos miembros componen el cuerpo de Oficiales Informadores en fútbol profesional?</t>
  </si>
  <si>
    <t xml:space="preserve">50 miembros.</t>
  </si>
  <si>
    <t xml:space="preserve">30 miembros.</t>
  </si>
  <si>
    <t xml:space="preserve">100 miembros.</t>
  </si>
  <si>
    <t xml:space="preserve">El Artículo 115 fija en 50 miembros el cuerpo de Oficiales Informadores en fútbol profesional.</t>
  </si>
  <si>
    <t xml:space="preserve">RC-189</t>
  </si>
  <si>
    <t xml:space="preserve">Según el Artículo 117 del Reglamento de Competiciones, ¿cuál es la duración del contrato de trabajo de un árbitro profesional con la RFEF?</t>
  </si>
  <si>
    <t xml:space="preserve">Una temporada, del 1 de julio al 30 de junio siguiente.</t>
  </si>
  <si>
    <t xml:space="preserve">Dos temporadas consecutivas, renovable automáticamente.</t>
  </si>
  <si>
    <t xml:space="preserve">Indefinida, salvo rescisión expresa.</t>
  </si>
  <si>
    <t xml:space="preserve">El Artículo 117 fija la duración del contrato de trabajo de un árbitro profesional en una temporada, del 1 de julio al 30 de junio siguiente.</t>
  </si>
  <si>
    <t xml:space="preserve">RC-195</t>
  </si>
  <si>
    <t xml:space="preserve">Según el Artículo 133 del Reglamento de Competiciones, ¿en qué plazo previo al inicio del partido está prohibido calentar sobre el terreno de juego?</t>
  </si>
  <si>
    <t xml:space="preserve">En los 10 minutos previos al inicio.</t>
  </si>
  <si>
    <t xml:space="preserve">En los 30 minutos previos al inicio.</t>
  </si>
  <si>
    <t xml:space="preserve">En los 5 minutos previos al inicio.</t>
  </si>
  <si>
    <t xml:space="preserve">El Artículo 133 prohíbe calentar sobre el terreno de juego en los 10 minutos previos al inicio del partido.</t>
  </si>
  <si>
    <t xml:space="preserve">RC-196</t>
  </si>
  <si>
    <t xml:space="preserve">Según el Artículo 133 del Reglamento de Competiciones, ¿a partir de qué momento se considera a un equipo no comparecido?</t>
  </si>
  <si>
    <t xml:space="preserve">Si transcurren 30 minutos desde la hora fijada sin presentarse o con jugadores insuficientes.</t>
  </si>
  <si>
    <t xml:space="preserve">Si transcurren 15 minutos desde la hora fijada sin presentarse.</t>
  </si>
  <si>
    <t xml:space="preserve">Si transcurre 1 hora desde la hora fijada sin presentarse.</t>
  </si>
  <si>
    <t xml:space="preserve">El Artículo 133 considera no comparecido a un equipo si transcurren 30 minutos desde la hora fijada sin presentarse o con jugadores insuficientes.</t>
  </si>
  <si>
    <t xml:space="preserve">RJ1-001</t>
  </si>
  <si>
    <t xml:space="preserve">reglas</t>
  </si>
  <si>
    <t xml:space="preserve">Regla 1</t>
  </si>
  <si>
    <t xml:space="preserve">Durante un partido en el que se utiliza el VAR, un miembro del cuerpo técnico intenta comunicarse por radio con el AVAR sin estar autorizado para ello. ¿Qué establece la Regla 1 al respecto?</t>
  </si>
  <si>
    <t xml:space="preserve">Que solo las personas autorizadas podrán entrar en la sala de vídeo o comunicarse con el VAR, el AVAR o el técnico de repeticiones.</t>
  </si>
  <si>
    <t xml:space="preserve">Que solo las personas autorizadas podrán entrar en la sala de vídeo, pudiendo comunicarse con el VAR, el AVAR o el técnico de repeticiones los miembros del cuerpo técnico.</t>
  </si>
  <si>
    <t xml:space="preserve">Que solo las personas autorizadas podrán comunicarse con el VAR, el AVAR o el técnico de repeticiones, pudiendo entrar en la sala de vídeo los miembros del cuerpo técnico.</t>
  </si>
  <si>
    <t xml:space="preserve">Durante el partido, únicamente las personas autorizadas podrán entrar en la sala de vídeo o comunicarse con el VAR, el AVAR o el técnico de repeticiones.</t>
  </si>
  <si>
    <t xml:space="preserve">Regla 1 / Árbitros asistentes de vídeo (VAR)</t>
  </si>
  <si>
    <t xml:space="preserve">ReglasDelJuego26-27.pdf</t>
  </si>
  <si>
    <t xml:space="preserve">RJ1-002</t>
  </si>
  <si>
    <t xml:space="preserve">¿Qué establece la Regla 1 sobre el cumplimiento de un programa de calidad para las porterías empleadas en competiciones oficiales auspiciadas por la FIFA o las confederaciones?</t>
  </si>
  <si>
    <t xml:space="preserve">Se recomienda que cumplan los criterios del Programa de calidad de la FIFA de porterías de fútbol.</t>
  </si>
  <si>
    <t xml:space="preserve">Es obligatorio que cumplan los criterios del Programa de calidad de la FIFA de porterías de fútbol.</t>
  </si>
  <si>
    <t xml:space="preserve">No existe ninguna referencia normativa sobre programas de calidad para las porterías.</t>
  </si>
  <si>
    <t xml:space="preserve">La Regla 1 recomienda, sin imponerlo como obligación, que las porterías empleadas en competiciones oficiales auspiciadas por la FIFA o las confederaciones cumplan los criterios del Programa de calidad de la FIFA de porterías de fútbol.</t>
  </si>
  <si>
    <t xml:space="preserve">Regla 1 / Porterías</t>
  </si>
  <si>
    <t xml:space="preserve">RJ1-003</t>
  </si>
  <si>
    <t xml:space="preserve">¿Cómo describe la Regla 1 la composición de una portería respecto a los postes de los banderines de esquina?</t>
  </si>
  <si>
    <t xml:space="preserve">Dos postes verticales equidistantes de los postes de los banderines de esquina, unidos por un travesaño horizontal.</t>
  </si>
  <si>
    <t xml:space="preserve">Dos postes verticales situados a la misma distancia entre sí que los postes de los banderines de esquina.</t>
  </si>
  <si>
    <t xml:space="preserve">Dos postes verticales alineados con los postes de los banderines de esquina, sin travesaño obligatorio.</t>
  </si>
  <si>
    <t xml:space="preserve">Una portería consta de dos postes verticales, equidistantes de los postes de los banderines de esquina y unidos en la parte superior por un travesaño horizontal.</t>
  </si>
  <si>
    <t xml:space="preserve">RJ1-004</t>
  </si>
  <si>
    <t xml:space="preserve">Un club fabrica los postes de su portería con un material no homologado que, además, resulta peligroso para los jugadores. ¿Qué exige la Regla 1 sobre los materiales de postes y travesaño?</t>
  </si>
  <si>
    <t xml:space="preserve">Que estén fabricados con materiales homologados y no constituyan ningún peligro.</t>
  </si>
  <si>
    <t xml:space="preserve">Que estén fabricados con materiales homologados, aunque puedan suponer cierto riesgo si el club lo asume.</t>
  </si>
  <si>
    <t xml:space="preserve">Que el material sea decidido libremente por el club, sin exigencia de homologación.</t>
  </si>
  <si>
    <t xml:space="preserve">Los postes y el travesaño deberán estar fabricados con materiales homologados y no deberán constituir ningún peligro.</t>
  </si>
  <si>
    <t xml:space="preserve">RJ1-005</t>
  </si>
  <si>
    <t xml:space="preserve">¿En qué momento debe el árbitro comprobar el correcto funcionamiento de la DAG, según la Regla 1?</t>
  </si>
  <si>
    <t xml:space="preserve">Antes del partido, según lo estipulado en el manual de pruebas.</t>
  </si>
  <si>
    <t xml:space="preserve">Antes del partido, salvo que el árbitro lo considere innecesario, según lo estipulado en el manual de pruebas.</t>
  </si>
  <si>
    <t xml:space="preserve">Durante el descanso, antes de iniciar la segunda parte, según lo estipulado en el manual de pruebas.</t>
  </si>
  <si>
    <t xml:space="preserve">Cuando se vaya a hacer uso de la DAG, el árbitro deberá comprobar su correcto funcionamiento antes del partido, según se estipula en el manual de pruebas.</t>
  </si>
  <si>
    <t xml:space="preserve">Regla 1 / Detección automática de goles</t>
  </si>
  <si>
    <t xml:space="preserve">RJ1-006</t>
  </si>
  <si>
    <t xml:space="preserve">Si se utiliza la DAG en competición, ¿a qué deben extenderse las garantías exigidas a los organizadores sobre el cumplimiento del Programa de calidad de la FIFA?</t>
  </si>
  <si>
    <t xml:space="preserve">Al sistema completo, incluidos los posibles cambios autorizados en los marcos de las porterías o en la tecnología usada en los balones.</t>
  </si>
  <si>
    <t xml:space="preserve">Al dispositivo instalado en la línea de meta, incluidos los posibles cambios autorizados en los marcos de las porterías, pero no a la tecnología usada en los balones.</t>
  </si>
  <si>
    <t xml:space="preserve">Al sistema completo, excluidos los posibles cambios autorizados en los marcos de las porterías o en la tecnología usada en los balones.</t>
  </si>
  <si>
    <t xml:space="preserve">Los organizadores deberán garantizar que el sistema, incluidos los posibles cambios autorizados en los marcos de las porterías o en la tecnología usada en los balones, cumpla con los requisitos del Programa de calidad de la FIFA.</t>
  </si>
  <si>
    <t xml:space="preserve">RJ1-007</t>
  </si>
  <si>
    <t xml:space="preserve">¿Hasta cuándo se prohíbe la publicidad comercial en el terreno de juego una vez finalizado el descanso, según la Regla 1?</t>
  </si>
  <si>
    <t xml:space="preserve">Desde que los equipos vuelven a entrar en el terreno de juego hasta el término del partido.</t>
  </si>
  <si>
    <t xml:space="preserve">Desde que los equipos vuelven a entrar en el terreno de juego hasta que se reanuda el juego.</t>
  </si>
  <si>
    <t xml:space="preserve">Desde que se reanuda el juego tras el descanso hasta el término del partido.</t>
  </si>
  <si>
    <t xml:space="preserve">La prohibición de publicidad rige también desde el momento en que los equipos vuelven a entrar en el terreno de juego hasta el término del partido.</t>
  </si>
  <si>
    <t xml:space="preserve">Regla 1 / Publicidad comercial</t>
  </si>
  <si>
    <t xml:space="preserve">RJ1-008</t>
  </si>
  <si>
    <t xml:space="preserve">¿A qué tipo de partidos se relaciona particularmente el área técnica, según la Regla 1?</t>
  </si>
  <si>
    <t xml:space="preserve">A los disputados en estadios que cuentan con un área específica con asientos para el cuerpo técnico, los suplentes y los jugadores sustituidos.</t>
  </si>
  <si>
    <t xml:space="preserve">A los disputados en estadios que cuentan con un área específica con asientos para el cuerpo técnico y los suplentes, con exclusión de los jugadores sustituidos.</t>
  </si>
  <si>
    <t xml:space="preserve">A los disputados en competiciones internacionales organizadas por la FIFA en estadios que cuentan con un área específica con asientos.</t>
  </si>
  <si>
    <t xml:space="preserve">El área técnica se relaciona en particular con los partidos disputados en estadios que cuentan con un área específica con asientos para el cuerpo técnico, los suplentes y los jugadores sustituidos.</t>
  </si>
  <si>
    <t xml:space="preserve">Regla 1 / Área técnica</t>
  </si>
  <si>
    <t xml:space="preserve">RJ1-010</t>
  </si>
  <si>
    <t xml:space="preserve">Un club solicita disputar sus partidos sobre una superficie completamente artificial. ¿Es posible según la Regla 1?</t>
  </si>
  <si>
    <t xml:space="preserve">Sí, siempre que lo permita el reglamento de la competición.</t>
  </si>
  <si>
    <t xml:space="preserve">No, la superficie completamente artificial solo se permite si lo autoriza la FIFA para cada partido.</t>
  </si>
  <si>
    <t xml:space="preserve">Sí, siempre que lo permita el árbitro antes del inicio de cada partido.</t>
  </si>
  <si>
    <t xml:space="preserve">La Regla 1 permite una superficie completamente artificial si lo autoriza el reglamento de la competición.</t>
  </si>
  <si>
    <t xml:space="preserve">Regla 1 / Superficie de juego</t>
  </si>
  <si>
    <t xml:space="preserve">RJ1-011</t>
  </si>
  <si>
    <t xml:space="preserve">Un campo combina césped natural con fibras artificiales integradas en el mismo terreno. ¿Qué condición exige la Regla 1 para que este sistema híbrido sea válido?</t>
  </si>
  <si>
    <t xml:space="preserve">Que el reglamento de la competición lo permita expresamente.</t>
  </si>
  <si>
    <t xml:space="preserve">Que lo autorice el árbitro antes de cada partido concreto.</t>
  </si>
  <si>
    <t xml:space="preserve">Que el club lo comunique a la federación con 15 días de antelación.</t>
  </si>
  <si>
    <t xml:space="preserve">La combinación integrada de materiales artificiales y naturales (sistema híbrido) requiere que el reglamento de la competición lo permita.</t>
  </si>
  <si>
    <t xml:space="preserve">RJ1-013</t>
  </si>
  <si>
    <t xml:space="preserve">En partidos internacionales de competición de clubes disputados sobre superficie artificial, ¿qué debe cumplir dicha superficie según la Regla 1?</t>
  </si>
  <si>
    <t xml:space="preserve">Los requisitos del Programa de calidad de la FIFA de césped artificial, salvo dispensa especial del IFAB.</t>
  </si>
  <si>
    <t xml:space="preserve">Los requisitos del Programa de calidad de la FIFA de césped artificial, salvo dispensa especial de la federación anfitriona.</t>
  </si>
  <si>
    <t xml:space="preserve">Los requisitos que determine la federación anfitriona del partido, salvo dispensa especial del IFAB.</t>
  </si>
  <si>
    <t xml:space="preserve">Las superficies artificiales en partidos internacionales de clubes deben cumplir el Programa de calidad de la FIFA de césped artificial, salvo dispensa del IFAB.</t>
  </si>
  <si>
    <t xml:space="preserve">RJ1-016</t>
  </si>
  <si>
    <t xml:space="preserve">En una superficie artificial coexisten las líneas de demarcación de fútbol con las de otro deporte. ¿Qué exige la Regla 1 para que esto sea admisible?</t>
  </si>
  <si>
    <t xml:space="preserve">Que las líneas del otro deporte sean de un color diferente y se distingan claramente de las de fútbol.</t>
  </si>
  <si>
    <t xml:space="preserve">Que las líneas del otro deporte se borren antes de cada partido de fútbol.</t>
  </si>
  <si>
    <t xml:space="preserve">Que ambos deportes utilicen exactamente el mismo grosor de línea para evitar confusión.</t>
  </si>
  <si>
    <t xml:space="preserve">En superficies artificiales se permite la coexistencia con otras líneas siempre que sean de color diferente y se distingan claramente de las de fútbol.</t>
  </si>
  <si>
    <t xml:space="preserve">Regla 1 / Marcación del terreno</t>
  </si>
  <si>
    <t xml:space="preserve">RJ1-017</t>
  </si>
  <si>
    <t xml:space="preserve">¿Cuál es la anchura máxima permitida para las líneas que marcan el terreno de juego?</t>
  </si>
  <si>
    <t xml:space="preserve">12 cm.</t>
  </si>
  <si>
    <t xml:space="preserve">Todas las líneas deberán tener la misma anchura, como máximo 12 cm.</t>
  </si>
  <si>
    <t xml:space="preserve">RJ1-018</t>
  </si>
  <si>
    <t xml:space="preserve">¿Qué anchura deben tener las líneas de meta en relación con los postes y el travesaño?</t>
  </si>
  <si>
    <t xml:space="preserve">La misma anchura que los postes y el travesaño.</t>
  </si>
  <si>
    <t xml:space="preserve">La mitad de la anchura de los postes y el travesaño.</t>
  </si>
  <si>
    <t xml:space="preserve">El doble de la anchura de los postes y el travesaño.</t>
  </si>
  <si>
    <t xml:space="preserve">Las líneas de meta tendrán la misma anchura que los postes y el travesaño.</t>
  </si>
  <si>
    <t xml:space="preserve">RJ1-019</t>
  </si>
  <si>
    <t xml:space="preserve">Durante un partido, un jugador realiza marcas no autorizadas sobre el terreno de juego y el árbitro se percata de ello mientras el balón sigue en juego. ¿Cuándo debe amonestarlo?</t>
  </si>
  <si>
    <t xml:space="preserve">En cuanto el balón deje de estar en juego.</t>
  </si>
  <si>
    <t xml:space="preserve">De inmediato, deteniendo el juego en ese mismo instante.</t>
  </si>
  <si>
    <t xml:space="preserve">Al finalizar el partido, reflejándolo en el acta.</t>
  </si>
  <si>
    <t xml:space="preserve">Si el árbitro se percata de las marcas no autorizadas durante el partido, amonestará al infractor por conducta antideportiva en cuanto el balón deje de estar en juego.</t>
  </si>
  <si>
    <t xml:space="preserve">RJ1-020</t>
  </si>
  <si>
    <t xml:space="preserve">¿Con qué material se puede realizar la marcación del terreno de juego según la Regla 1?</t>
  </si>
  <si>
    <t xml:space="preserve">Con material artificial, siempre que no represente peligro alguno.</t>
  </si>
  <si>
    <t xml:space="preserve">Con material artificial, siempre que lo autorice el árbitro y no represente peligro alguno.</t>
  </si>
  <si>
    <t xml:space="preserve">Con material natural, sin que pueda utilizarse material artificial aunque no represente peligro alguno.</t>
  </si>
  <si>
    <t xml:space="preserve">Se podrá utilizar material artificial para la marcación de terrenos naturales si esto no supone un peligro.</t>
  </si>
  <si>
    <t xml:space="preserve">RJ1-021</t>
  </si>
  <si>
    <t xml:space="preserve">¿Cuáles son las dimensiones mínima y máxima de la línea de banda en partidos no internacionales?</t>
  </si>
  <si>
    <t xml:space="preserve">Mínimo 90 m y máximo 120 m.</t>
  </si>
  <si>
    <t xml:space="preserve">Mínimo 100 m y máximo 110 m.</t>
  </si>
  <si>
    <t xml:space="preserve">Mínimo 45 m y máximo 90 m.</t>
  </si>
  <si>
    <t xml:space="preserve">La Regla 1 fija la línea de banda entre 90 m (mínimo) y 120 m (máximo) en competiciones no internacionales.</t>
  </si>
  <si>
    <t xml:space="preserve">Regla 1 / Dimensiones</t>
  </si>
  <si>
    <t xml:space="preserve">RJ1-022</t>
  </si>
  <si>
    <t xml:space="preserve">¿Cuáles son las dimensiones mínima y máxima de la línea de meta en partidos no internacionales?</t>
  </si>
  <si>
    <t xml:space="preserve">Mínimo 64 m y máximo 75 m.</t>
  </si>
  <si>
    <t xml:space="preserve">Mínimo 50 m y máximo 100 m.</t>
  </si>
  <si>
    <t xml:space="preserve">La línea de meta debe medir entre 45 m (mínimo) y 90 m (máximo) en competiciones no internacionales.</t>
  </si>
  <si>
    <t xml:space="preserve">RJ1-023</t>
  </si>
  <si>
    <t xml:space="preserve">Un organizador de competición no internacional fija un terreno de 95 m de línea de banda por 95 m de línea de meta. ¿Es reglamentario?</t>
  </si>
  <si>
    <t xml:space="preserve">No, porque la línea de banda siempre debe ser de mayor longitud que la línea de meta.</t>
  </si>
  <si>
    <t xml:space="preserve">Sí, ambas medidas están dentro de los límites permitidos y no existe más restricción.</t>
  </si>
  <si>
    <t xml:space="preserve">No, porque la línea de meta no puede superar los 90 m bajo ninguna circunstancia.</t>
  </si>
  <si>
    <t xml:space="preserve">La Regla 1 exige que la longitud de la línea de banda sea siempre superior a la de la línea de meta, con independencia de que ambas medidas estén dentro de rango.</t>
  </si>
  <si>
    <t xml:space="preserve">RJ1-024</t>
  </si>
  <si>
    <t xml:space="preserve">¿Cuáles son las dimensiones mínima y máxima de la línea de banda para partidos internacionales?</t>
  </si>
  <si>
    <t xml:space="preserve">Mínimo 95 m y máximo 115 m.</t>
  </si>
  <si>
    <t xml:space="preserve">En partidos internacionales, la línea de banda debe medir entre 100 m (mínimo) y 110 m (máximo).</t>
  </si>
  <si>
    <t xml:space="preserve">Regla 1 / Dimensiones en partidos internacionales</t>
  </si>
  <si>
    <t xml:space="preserve">RJ1-025</t>
  </si>
  <si>
    <t xml:space="preserve">¿Cuáles son las dimensiones mínima y máxima de la línea de meta para partidos internacionales?</t>
  </si>
  <si>
    <t xml:space="preserve">Mínimo 60 m y máximo 80 m.</t>
  </si>
  <si>
    <t xml:space="preserve">En partidos internacionales, la línea de meta debe medir entre 64 m (mínimo) y 75 m (máximo).</t>
  </si>
  <si>
    <t xml:space="preserve">RJ1-026</t>
  </si>
  <si>
    <t xml:space="preserve">Según la Regla 1, las medidas del terreno de juego se toman:</t>
  </si>
  <si>
    <t xml:space="preserve">Desde el borde exterior de las líneas de demarcación.</t>
  </si>
  <si>
    <t xml:space="preserve">Desde el centro de las líneas de demarcación.</t>
  </si>
  <si>
    <t xml:space="preserve">Desde el borde interior de las líneas de demarcación.</t>
  </si>
  <si>
    <t xml:space="preserve">Las medidas parten del exterior de las líneas de demarcación, puesto que la propia línea forma parte del área que delimita.</t>
  </si>
  <si>
    <t xml:space="preserve">RJ1-027</t>
  </si>
  <si>
    <t xml:space="preserve">¿Cómo se mide la distancia del punto penal a la línea de meta?</t>
  </si>
  <si>
    <t xml:space="preserve">Desde el centro del punto penal hasta el borde exterior de la línea de meta.</t>
  </si>
  <si>
    <t xml:space="preserve">Desde el borde interior del punto penal hasta el borde interior de la línea de meta.</t>
  </si>
  <si>
    <t xml:space="preserve">Desde el centro del punto penal hasta el centro de la línea de meta.</t>
  </si>
  <si>
    <t xml:space="preserve">La distancia del punto penal se mide desde el centro de este hasta el borde externo de la línea de meta.</t>
  </si>
  <si>
    <t xml:space="preserve">RJ1-028</t>
  </si>
  <si>
    <t xml:space="preserve">¿A qué distancia de cada poste de la portería se trazan las líneas perpendiculares que delimitan el área de meta?</t>
  </si>
  <si>
    <t xml:space="preserve">A 5,5 m de la parte interior de cada poste.</t>
  </si>
  <si>
    <t xml:space="preserve">A 16,5 m de la parte interior de cada poste.</t>
  </si>
  <si>
    <t xml:space="preserve">A 6 m de la parte exterior de cada poste.</t>
  </si>
  <si>
    <t xml:space="preserve">Las líneas del área de meta se trazan a 5,5 m de la parte interior de cada poste de la portería.</t>
  </si>
  <si>
    <t xml:space="preserve">Regla 1 / Área de meta</t>
  </si>
  <si>
    <t xml:space="preserve">RJ1-029</t>
  </si>
  <si>
    <t xml:space="preserve">¿Cuánto se adentran en el terreno de juego las líneas que delimitan el área de meta?</t>
  </si>
  <si>
    <t xml:space="preserve">5,5 m.</t>
  </si>
  <si>
    <t xml:space="preserve">16,5 m.</t>
  </si>
  <si>
    <t xml:space="preserve">9,15 m.</t>
  </si>
  <si>
    <t xml:space="preserve">Las líneas del área de meta se adentran 5,5 m en el terreno de juego antes de unirse con una línea paralela a la de meta.</t>
  </si>
  <si>
    <t xml:space="preserve">RJ1-030</t>
  </si>
  <si>
    <t xml:space="preserve">¿A qué distancia de cada poste de la portería se trazan las líneas perpendiculares que delimitan el área penal?</t>
  </si>
  <si>
    <t xml:space="preserve">A 18 m de la parte exterior de cada poste.</t>
  </si>
  <si>
    <t xml:space="preserve">Las líneas del área penal se trazan a 16,5 m de la parte interior de cada poste de la portería.</t>
  </si>
  <si>
    <t xml:space="preserve">Regla 1 / Área penal</t>
  </si>
  <si>
    <t xml:space="preserve">RJ1-031</t>
  </si>
  <si>
    <t xml:space="preserve">¿A qué distancia, equidistante de ambos postes, se marca el punto penal dentro del área penal?</t>
  </si>
  <si>
    <t xml:space="preserve">A 11 m de distancia.</t>
  </si>
  <si>
    <t xml:space="preserve">A 9,15 m de distancia.</t>
  </si>
  <si>
    <t xml:space="preserve">A 16,5 m de distancia.</t>
  </si>
  <si>
    <t xml:space="preserve">El punto penal se marca a 11 m de distancia, equidistante de los dos postes.</t>
  </si>
  <si>
    <t xml:space="preserve">RJ1-032</t>
  </si>
  <si>
    <t xml:space="preserve">¿Con qué radio se traza el arco situado en el exterior del área penal, desde el centro del punto penal?</t>
  </si>
  <si>
    <t xml:space="preserve">11 m.</t>
  </si>
  <si>
    <t xml:space="preserve">El arco exterior del área penal se traza con un radio de 9,15 m desde el centro del punto penal.</t>
  </si>
  <si>
    <t xml:space="preserve">RJ1-033</t>
  </si>
  <si>
    <t xml:space="preserve">¿Con qué radio se marca el cuadrante que delimita el área de esquina?</t>
  </si>
  <si>
    <t xml:space="preserve">1 m desde el banderín de esquina.</t>
  </si>
  <si>
    <t xml:space="preserve">5,5 m desde el banderín de esquina.</t>
  </si>
  <si>
    <t xml:space="preserve">9,15 m desde el banderín de esquina.</t>
  </si>
  <si>
    <t xml:space="preserve">El área de esquina se marca trazando un cuadrante en el interior del terreno de juego con un radio de 1 m desde el banderín de esquina.</t>
  </si>
  <si>
    <t xml:space="preserve">Regla 1 / Área de esquina</t>
  </si>
  <si>
    <t xml:space="preserve">RJ1-034</t>
  </si>
  <si>
    <t xml:space="preserve">¿Cuál es la altura mínima que debe tener el poste del banderín de esquina?</t>
  </si>
  <si>
    <t xml:space="preserve">1,5 m.</t>
  </si>
  <si>
    <t xml:space="preserve">1,2 m.</t>
  </si>
  <si>
    <t xml:space="preserve">2 m.</t>
  </si>
  <si>
    <t xml:space="preserve">El poste del banderín de esquina, no puntiagudo, debe tener una altura mínima de 1,5 m.</t>
  </si>
  <si>
    <t xml:space="preserve">Regla 1 / Postes de banderines</t>
  </si>
  <si>
    <t xml:space="preserve">RJ1-035</t>
  </si>
  <si>
    <t xml:space="preserve">Un club instala postes de banderín de esquina con forma puntiaguda para mejorar su visibilidad. ¿Es reglamentario?</t>
  </si>
  <si>
    <t xml:space="preserve">No, no pueden ser puntiagudos.</t>
  </si>
  <si>
    <t xml:space="preserve">Sí, si se respeta la altura mínima de 1,5 m.</t>
  </si>
  <si>
    <t xml:space="preserve">Sí, si el poste supera los 2 m de altura.</t>
  </si>
  <si>
    <t xml:space="preserve">El poste del banderín de esquina es obligatorio, no puede ser puntiagudo y debe tener una terminación redondeada.</t>
  </si>
  <si>
    <t xml:space="preserve">RJ1-036</t>
  </si>
  <si>
    <t xml:space="preserve">¿Es obligatorio colocar banderines en los extremos de la línea central del terreno de juego?</t>
  </si>
  <si>
    <t xml:space="preserve">No, su colocación es opcional.</t>
  </si>
  <si>
    <t xml:space="preserve">Sí, son obligatorios igual que los de las esquinas.</t>
  </si>
  <si>
    <t xml:space="preserve">Sí, pero en competiciones profesionales.</t>
  </si>
  <si>
    <t xml:space="preserve">A diferencia de los banderines de esquina (obligatorios), los banderines en los extremos de la línea central son opcionales.</t>
  </si>
  <si>
    <t xml:space="preserve">RJ1-037</t>
  </si>
  <si>
    <t xml:space="preserve">Si se colocan banderines en los extremos de la línea central, ¿a qué distancia mínima de la línea de banda deben situarse y en qué posición respecto al terreno de juego?</t>
  </si>
  <si>
    <t xml:space="preserve">A una distancia mínima de 1 m de la línea de banda, en el exterior del terreno de juego.</t>
  </si>
  <si>
    <t xml:space="preserve">A una distancia mínima de 5,5 m de la línea de banda, en el interior del terreno de juego.</t>
  </si>
  <si>
    <t xml:space="preserve">A una distancia mínima de 1,5 m de la línea de banda, sobre la propia línea de banda.</t>
  </si>
  <si>
    <t xml:space="preserve">Los banderines opcionales de la línea central se colocan a una distancia mínima de 1 m de la línea de banda y en el exterior del terreno de juego.</t>
  </si>
  <si>
    <t xml:space="preserve">RJ1-038</t>
  </si>
  <si>
    <t xml:space="preserve">¿Con qué radio se traza la circunferencia alrededor del punto central del terreno de juego?</t>
  </si>
  <si>
    <t xml:space="preserve">Alrededor del punto central se traza una circunferencia con un radio de 9,15 m, formando el círculo central.</t>
  </si>
  <si>
    <t xml:space="preserve">RJ1-039</t>
  </si>
  <si>
    <t xml:space="preserve">¿A qué distancia del arco de esquina se pueden realizar marcaciones opcionales fuera del terreno de juego, en perpendicular a las líneas de meta y de banda?</t>
  </si>
  <si>
    <t xml:space="preserve">1 m.</t>
  </si>
  <si>
    <t xml:space="preserve">Se podrán realizar marcaciones fuera del terreno de juego, a 9,15 m del arco de esquina, en perpendicular a las líneas de meta y de banda.</t>
  </si>
  <si>
    <t xml:space="preserve">RJ1-040</t>
  </si>
  <si>
    <t xml:space="preserve">¿Hasta qué distancia se extiende el área técnica a cada lado del banquillo, según la Regla 1?</t>
  </si>
  <si>
    <t xml:space="preserve">1 m a cada lado del banquillo.</t>
  </si>
  <si>
    <t xml:space="preserve">5,5 m a cada lado del banquillo.</t>
  </si>
  <si>
    <t xml:space="preserve">No existe límite lateral definido, queda a criterio del club.</t>
  </si>
  <si>
    <t xml:space="preserve">El área técnica se extenderá únicamente 1 m a cada lado del banquillo.</t>
  </si>
  <si>
    <t xml:space="preserve">RJ1-041</t>
  </si>
  <si>
    <t xml:space="preserve">¿Hasta qué distancia de la línea de banda se extiende el área técnica?</t>
  </si>
  <si>
    <t xml:space="preserve">1 m de distancia de la línea de banda.</t>
  </si>
  <si>
    <t xml:space="preserve">5,5 m de distancia de la línea de banda.</t>
  </si>
  <si>
    <t xml:space="preserve">9,15 m de distancia de la línea de banda.</t>
  </si>
  <si>
    <t xml:space="preserve">El área técnica se extenderá hasta 1 m de distancia de la línea de banda.</t>
  </si>
  <si>
    <t xml:space="preserve">RJ1-042</t>
  </si>
  <si>
    <t xml:space="preserve">¿Quién determina el número de personas autorizadas a ocupar el área técnica?</t>
  </si>
  <si>
    <t xml:space="preserve">El reglamento de la competición.</t>
  </si>
  <si>
    <t xml:space="preserve">El árbitro principal, de forma discrecional antes de cada partido.</t>
  </si>
  <si>
    <t xml:space="preserve">El delegado de campo del equipo local.</t>
  </si>
  <si>
    <t xml:space="preserve">El número de personas autorizadas en el área técnica estará determinado por el reglamento de la competición.</t>
  </si>
  <si>
    <t xml:space="preserve">RJ1-043</t>
  </si>
  <si>
    <t xml:space="preserve">El fisioterapeuta de un equipo abandona el área técnica y entra en el terreno de juego para atender a un jugador lesionado. Según la Regla 1, puede hacerlo:</t>
  </si>
  <si>
    <t xml:space="preserve">Con el permiso del árbitro.</t>
  </si>
  <si>
    <t xml:space="preserve">Con el permiso del cuarto árbitro.</t>
  </si>
  <si>
    <t xml:space="preserve">Con el permiso del árbitro asistente más cercano.</t>
  </si>
  <si>
    <t xml:space="preserve">Los ocupantes del área técnica deben permanecer dentro de sus límites salvo circunstancias especiales, como que el fisioterapeuta o el médico deba entrar en el terreno de juego con permiso del árbitro para atender a un jugador lesionado.</t>
  </si>
  <si>
    <t xml:space="preserve">RJ1-044</t>
  </si>
  <si>
    <t xml:space="preserve">Durante un partido, dos miembros del cuerpo técnico del mismo equipo dan instrucciones tácticas a la vez desde el área técnica. ¿Es esto conforme a la Regla 1?</t>
  </si>
  <si>
    <t xml:space="preserve">No, una sola persona a la vez puede dar instrucciones tácticas desde el área técnica.</t>
  </si>
  <si>
    <t xml:space="preserve">No, una sola persona a la vez puede dar instrucciones tácticas, y debe ser el entrenador titular.</t>
  </si>
  <si>
    <t xml:space="preserve">Sí, dos personas a la vez pueden dar instrucciones tácticas desde el área técnica.</t>
  </si>
  <si>
    <t xml:space="preserve">La Regla 1 establece que solamente podrá dar instrucciones tácticas desde el área técnica una persona a la vez.</t>
  </si>
  <si>
    <t xml:space="preserve">RJ1-045</t>
  </si>
  <si>
    <t xml:space="preserve">¿Qué obligación tienen los ocupantes del área técnica respecto a su identificación, según la Regla 1?</t>
  </si>
  <si>
    <t xml:space="preserve">Deberán identificarse antes del inicio del partido, de conformidad con el reglamento de la competición.</t>
  </si>
  <si>
    <t xml:space="preserve">Deberán identificarse antes del inicio del partido, ante el árbitro, de conformidad con las Reglas de Juego.</t>
  </si>
  <si>
    <t xml:space="preserve">Deberán identificarse durante el descanso, de conformidad con el reglamento de la competición.</t>
  </si>
  <si>
    <t xml:space="preserve">Los ocupantes del área técnica deberán identificarse antes del inicio del partido, de conformidad con el reglamento de la competición.</t>
  </si>
  <si>
    <t xml:space="preserve">RJ1-046</t>
  </si>
  <si>
    <t xml:space="preserve">¿Cuál es la distancia reglamentaria entre la parte interior de los postes de la portería?</t>
  </si>
  <si>
    <t xml:space="preserve">7,32 m.</t>
  </si>
  <si>
    <t xml:space="preserve">7,34 m.</t>
  </si>
  <si>
    <t xml:space="preserve">8 m.</t>
  </si>
  <si>
    <t xml:space="preserve">La distancia entre la parte interior de los postes será de 7,32 m.</t>
  </si>
  <si>
    <t xml:space="preserve">RJ1-047</t>
  </si>
  <si>
    <t xml:space="preserve">¿Cuál es la distancia reglamentaria entre el borde inferior del travesaño y el suelo?</t>
  </si>
  <si>
    <t xml:space="preserve">2,44 m.</t>
  </si>
  <si>
    <t xml:space="preserve">2,42 m.</t>
  </si>
  <si>
    <t xml:space="preserve">2,50 m.</t>
  </si>
  <si>
    <t xml:space="preserve">La distancia del borde inferior del travesaño al suelo será de 2,44 m.</t>
  </si>
  <si>
    <t xml:space="preserve">RJ1-049</t>
  </si>
  <si>
    <t xml:space="preserve">¿Cuál es la anchura máxima permitida para los postes y el travesaño de la portería?</t>
  </si>
  <si>
    <t xml:space="preserve">Los postes y el travesaño deberán tener la misma anchura y espesor, como máximo 12 cm.</t>
  </si>
  <si>
    <t xml:space="preserve">RJ1-050</t>
  </si>
  <si>
    <t xml:space="preserve">¿Qué formas se admiten reglamentariamente para los postes y el travesaño de la portería?</t>
  </si>
  <si>
    <t xml:space="preserve">Cuadrada, rectangular, redonda, elíptica o una combinación de estas formas.</t>
  </si>
  <si>
    <t xml:space="preserve">Cuadrada, rectangular o redonda, quedando excluida la forma elíptica y cualquier combinación de formas.</t>
  </si>
  <si>
    <t xml:space="preserve">Cuadrada, rectangular, redonda o elíptica, sin que puedan combinarse entre sí.</t>
  </si>
  <si>
    <t xml:space="preserve">Los postes y el travesaño deberán tener la misma forma, ya sea cuadrada, rectangular, redonda, elíptica o una combinación de estas formas, en ambas porterías.</t>
  </si>
  <si>
    <t xml:space="preserve">RJ1-051</t>
  </si>
  <si>
    <t xml:space="preserve">Durante un partido, el travesaño de una portería se rompe. El árbitro...</t>
  </si>
  <si>
    <t xml:space="preserve">Detiene el juego hasta que el travesaño sea reparado o devuelto a su posición.</t>
  </si>
  <si>
    <t xml:space="preserve">Permite que el juego continúe sin travesaño hasta el siguiente descanso.</t>
  </si>
  <si>
    <t xml:space="preserve">Suspende el partido sin esperar a que el travesaño sea reparado.</t>
  </si>
  <si>
    <t xml:space="preserve">Si el travesaño se rompiera o se saliera de su sitio, se detendrá el juego hasta que haya sido reparado o devuelto a su posición original.</t>
  </si>
  <si>
    <t xml:space="preserve">RJ1-052</t>
  </si>
  <si>
    <t xml:space="preserve">Tras romperse el travesaño de una portería, el juego se detiene y finalmente puede repararse. ¿Cómo se reanuda el partido?</t>
  </si>
  <si>
    <t xml:space="preserve">Con un balón a tierra, al no haberse cometido ninguna infracción.</t>
  </si>
  <si>
    <t xml:space="preserve">Con un saque de meta a favor del equipo defensor, al haber salido el balón.</t>
  </si>
  <si>
    <t xml:space="preserve">Con un tiro libre indirecto a favor del equipo que estaba en posesión del balón.</t>
  </si>
  <si>
    <t xml:space="preserve">El juego se reanudará con un balón a tierra una vez reparado o devuelto a su posición original el travesaño.</t>
  </si>
  <si>
    <t xml:space="preserve">RJ1-053</t>
  </si>
  <si>
    <t xml:space="preserve">El travesaño de una portería se rompe durante el partido y resulta imposible repararlo ni sustituirlo reglamentariamente. ¿Qué debe hacer el árbitro?</t>
  </si>
  <si>
    <t xml:space="preserve">Suspender el partido, al no poder repararse ni sustituirse el travesaño reglamentariamente.</t>
  </si>
  <si>
    <t xml:space="preserve">Continuar el partido con una cuerda tensada en su lugar, al no poder repararse ni sustituirse el travesaño.</t>
  </si>
  <si>
    <t xml:space="preserve">Reanudar el partido con un balón a tierra, al no poder repararse ni sustituirse el travesaño.</t>
  </si>
  <si>
    <t xml:space="preserve">Si no fuera posible reparar el travesaño, se deberá suspender el partido, no estando permitido sustituirlo por una cuerda u otro material flexible o peligroso.</t>
  </si>
  <si>
    <t xml:space="preserve">RJ1-054</t>
  </si>
  <si>
    <t xml:space="preserve">Un club, ante la rotura del travesaño, propone sustituirlo temporalmente por una cuerda tensada entre los postes. ¿Lo permite la Regla 1?</t>
  </si>
  <si>
    <t xml:space="preserve">No, está expresamente prohibido sustituir el travesaño por una cuerda o material flexible o peligroso.</t>
  </si>
  <si>
    <t xml:space="preserve">No, salvo que la cuerda esté correctamente tensada y no represente peligro alguno para los jugadores.</t>
  </si>
  <si>
    <t xml:space="preserve">Sí, con autorización del árbitro y en categorías no profesionales.</t>
  </si>
  <si>
    <t xml:space="preserve">No está permitido colocar una cuerda ni ningún otro material flexible o peligroso para sustituir el travesaño.</t>
  </si>
  <si>
    <t xml:space="preserve">RJ1-055</t>
  </si>
  <si>
    <t xml:space="preserve">¿Son obligatorias las redes de las porterías?</t>
  </si>
  <si>
    <t xml:space="preserve">No necesariamente: depende de la competición y, si se colocan, deben estar bien sujetas.</t>
  </si>
  <si>
    <t xml:space="preserve">Sí, en todas las competiciones, y deben estar bien sujetas sin molestar al guardameta.</t>
  </si>
  <si>
    <t xml:space="preserve">No, en ninguna competición, y si se colocan no tienen que cumplir ninguna condición.</t>
  </si>
  <si>
    <t xml:space="preserve">La Regla 1 dice que «se podrán enganchar redes en las porterías» y que deberán estar sujetas de manera adecuada para que no molesten al guardameta. El Reglamento de Competiciones de la RFEF (Art. 175.1) obliga a colocarlas en sus competiciones.</t>
  </si>
  <si>
    <t xml:space="preserve">RJ1-056</t>
  </si>
  <si>
    <t xml:space="preserve">Si se colocan redes en la portería, ¿qué condición exige la Regla 1 respecto a su sujeción?</t>
  </si>
  <si>
    <t xml:space="preserve">Que estén sujetas de manera adecuada para que no molesten al guardameta.</t>
  </si>
  <si>
    <t xml:space="preserve">Que estén sujetas a los postes y al travesaño de manera que no molesten a los jugadores.</t>
  </si>
  <si>
    <t xml:space="preserve">Que estén sujetas de manera adecuada para que no molesten al guardameta, y sean del mismo color que los postes.</t>
  </si>
  <si>
    <t xml:space="preserve">Las redes deberán estar sujetas de manera adecuada, para que no molesten al guardameta.</t>
  </si>
  <si>
    <t xml:space="preserve">RJ1-057</t>
  </si>
  <si>
    <t xml:space="preserve">¿Qué exige la Regla 1 respecto al anclaje de las porterías, incluidas las portátiles?</t>
  </si>
  <si>
    <t xml:space="preserve">Que estén ancladas firmemente en el suelo, incluidas las portátiles.</t>
  </si>
  <si>
    <t xml:space="preserve">Que estén ancladas firmemente en el suelo, salvo las portátiles, que deben tener ruedas.</t>
  </si>
  <si>
    <t xml:space="preserve">Que estén ancladas firmemente en el suelo, excepto en partidos de categorías no profesionales.</t>
  </si>
  <si>
    <t xml:space="preserve">Por motivos de seguridad, las porterías, incluso las portátiles, deberán estar ancladas firmemente en el suelo.</t>
  </si>
  <si>
    <t xml:space="preserve">RJ1-059</t>
  </si>
  <si>
    <t xml:space="preserve">¿Para qué finalidad puede emplearse un sistema de Detección Automática de Goles (DAG)?</t>
  </si>
  <si>
    <t xml:space="preserve">Para verificar si se ha anotado un gol y apoyar la decisión del árbitro.</t>
  </si>
  <si>
    <t xml:space="preserve">Para verificar si se ha anotado un gol y sustituir la decisión del árbitro.</t>
  </si>
  <si>
    <t xml:space="preserve">Para verificar si se ha anotado un gol y apoyar la decisión del árbitro, así como las faltas dentro del área penal.</t>
  </si>
  <si>
    <t xml:space="preserve">Los sistemas de DAG pueden usarse para verificar si se ha anotado un gol y apoyar la decisión del árbitro.</t>
  </si>
  <si>
    <t xml:space="preserve">RJ1-061</t>
  </si>
  <si>
    <t xml:space="preserve">¿A qué se aplica exclusivamente el sistema DAG según sus principios?</t>
  </si>
  <si>
    <t xml:space="preserve">Únicamente a la línea de meta, para determinar si se ha anotado un gol.</t>
  </si>
  <si>
    <t xml:space="preserve">A todas las líneas del terreno de juego, para determinar salidas de balón.</t>
  </si>
  <si>
    <t xml:space="preserve">A la línea de meta y a la línea de banda conjuntamente.</t>
  </si>
  <si>
    <t xml:space="preserve">El sistema DAG se aplicará únicamente a la línea de meta y solo para determinar si se ha anotado un gol.</t>
  </si>
  <si>
    <t xml:space="preserve">RJ1-062</t>
  </si>
  <si>
    <t xml:space="preserve">¿En qué plazo máximo debe el dispositivo DAG confirmar automáticamente si se ha anotado un gol?</t>
  </si>
  <si>
    <t xml:space="preserve">Un segundo.</t>
  </si>
  <si>
    <t xml:space="preserve">Tres segundos.</t>
  </si>
  <si>
    <t xml:space="preserve">Cinco segundos.</t>
  </si>
  <si>
    <t xml:space="preserve">El dispositivo deberá indicar y confirmar automáticamente la anotación de un gol en un tiempo máximo de un segundo.</t>
  </si>
  <si>
    <t xml:space="preserve">RJ1-063</t>
  </si>
  <si>
    <t xml:space="preserve">¿A quién se transmite la información de la DAG cuando confirma un gol?</t>
  </si>
  <si>
    <t xml:space="preserve">Al equipo arbitral, aunque también se podrá transmitir a la sala de vídeo.</t>
  </si>
  <si>
    <t xml:space="preserve">Al equipo arbitral y a los delegados de ambos equipos, aunque también se podrá transmitir a la sala de vídeo.</t>
  </si>
  <si>
    <t xml:space="preserve">Al equipo arbitral, aunque también se podrá transmitir a la pantalla gigante del estadio.</t>
  </si>
  <si>
    <t xml:space="preserve">El dato se transmitirá solamente al equipo arbitral (reloj, vibración y señal visual, o auricular), y también se podrá transmitir a la sala de vídeo.</t>
  </si>
  <si>
    <t xml:space="preserve">RJ1-064</t>
  </si>
  <si>
    <t xml:space="preserve">Antes de un partido en el que se va a utilizar la DAG, el árbitro comprueba su funcionamiento y detecta que no opera según lo dispuesto en el manual de pruebas. ¿Qué debe hacer?</t>
  </si>
  <si>
    <t xml:space="preserve">No utilizar la DAG y comunicarlo a las autoridades competentes.</t>
  </si>
  <si>
    <t xml:space="preserve">Utilizarla igualmente, dejando constancia de la incidencia en el acta del partido.</t>
  </si>
  <si>
    <t xml:space="preserve">Posponer el inicio del partido hasta que el fabricante repare el sistema in situ.</t>
  </si>
  <si>
    <t xml:space="preserve">Si el dispositivo no funcionara según lo dispuesto en el manual de pruebas, el árbitro no podrá utilizar la DAG y se lo comunicará a las autoridades competentes.</t>
  </si>
  <si>
    <t xml:space="preserve">RJ1-065</t>
  </si>
  <si>
    <t xml:space="preserve">¿Qué requisito técnico deben cumplir los sistemas de DAG utilizados en competición según la Regla 1?</t>
  </si>
  <si>
    <t xml:space="preserve">Los requisitos del Programa de calidad de la FIFA de sistemas de detección automática de goles.</t>
  </si>
  <si>
    <t xml:space="preserve">Los requisitos del Programa de calidad de la FIFA de balones y de superficies de juego.</t>
  </si>
  <si>
    <t xml:space="preserve">Los requisitos que fije el reglamento de la competición sobre sistemas de detección automática de goles.</t>
  </si>
  <si>
    <t xml:space="preserve">Los organizadores deben garantizar que el sistema cumpla con los requisitos del Programa de calidad de la FIFA de sistemas de detección automática de goles.</t>
  </si>
  <si>
    <t xml:space="preserve">RJ1-066</t>
  </si>
  <si>
    <t xml:space="preserve">¿Se permite publicidad comercial, real o virtual, sobre el propio terreno de juego durante el tiempo que los equipos permanecen en él?</t>
  </si>
  <si>
    <t xml:space="preserve">No, no se permite publicidad comercial alguna, ni real ni virtual, en el terreno de juego.</t>
  </si>
  <si>
    <t xml:space="preserve">No, no se permite publicidad comercial real, aunque sí virtual, en el terreno de juego.</t>
  </si>
  <si>
    <t xml:space="preserve">Sí, se permite publicidad comercial real o virtual, salvo en el círculo central y las áreas.</t>
  </si>
  <si>
    <t xml:space="preserve">No se permite publicidad comercial alguna, ya sea real o virtual, en el terreno de juego, desde que los equipos entran hasta que lo abandonan.</t>
  </si>
  <si>
    <t xml:space="preserve">RJ1-067</t>
  </si>
  <si>
    <t xml:space="preserve">¿Está permitida la publicidad en las redes de la portería y en los postes de los banderines de esquina?</t>
  </si>
  <si>
    <t xml:space="preserve">No, está expresamente prohibida la publicidad en las porterías, las redes y los banderines de esquina y sus postes.</t>
  </si>
  <si>
    <t xml:space="preserve">Está prohibida en las porterías y las redes, pero se permite en los banderines de esquina y sus postes.</t>
  </si>
  <si>
    <t xml:space="preserve">Se permite en las redes y en los banderines de esquina y sus postes, pero no en las porterías.</t>
  </si>
  <si>
    <t xml:space="preserve">Está prohibida la publicidad en las porterías, las redes, los banderines de esquina y sus postes.</t>
  </si>
  <si>
    <t xml:space="preserve">RJ1-068</t>
  </si>
  <si>
    <t xml:space="preserve">¿Se puede fijar una cámara o un micrófono directamente sobre la red de la portería?</t>
  </si>
  <si>
    <t xml:space="preserve">No, en las porterías, redes y banderines de esquina no se podrá fijar ningún material externo como cámaras o micrófonos.</t>
  </si>
  <si>
    <t xml:space="preserve">No, en las porterías y redes no se podrá fijar ningún material externo, aunque sí en los banderines de esquina.</t>
  </si>
  <si>
    <t xml:space="preserve">Sí, se podrán fijar cámaras o micrófonos cuando el organizador de la competición lo autorice.</t>
  </si>
  <si>
    <t xml:space="preserve">En las porterías, las redes y los banderines de esquina (y sus postes) no se podrá fijar ningún material externo, como cámaras o micrófonos.</t>
  </si>
  <si>
    <t xml:space="preserve">RJ1-069</t>
  </si>
  <si>
    <t xml:space="preserve">¿A qué distancia mínima de las líneas de demarcación del terreno de juego está prohibida la publicidad en el suelo?</t>
  </si>
  <si>
    <t xml:space="preserve">Está prohibida la publicidad en el suelo a una distancia de 1 m de las líneas de demarcación del terreno de juego.</t>
  </si>
  <si>
    <t xml:space="preserve">RJ1-070</t>
  </si>
  <si>
    <t xml:space="preserve">¿A qué distancia mínima de las líneas de banda debe hallarse la publicidad vertical según la Regla 1?</t>
  </si>
  <si>
    <t xml:space="preserve">Al menos 1 m de las líneas de banda.</t>
  </si>
  <si>
    <t xml:space="preserve">Al menos 5,5 m de las líneas de banda.</t>
  </si>
  <si>
    <t xml:space="preserve">Al menos 9,15 m de las líneas de banda.</t>
  </si>
  <si>
    <t xml:space="preserve">La publicidad vertical deberá hallarse al menos a 1 m de las líneas de banda.</t>
  </si>
  <si>
    <t xml:space="preserve">RJ1-071</t>
  </si>
  <si>
    <t xml:space="preserve">¿Desde qué momento hasta cuál se prohíbe la publicidad comercial en el terreno de juego durante la primera parte, según la Regla 1?</t>
  </si>
  <si>
    <t xml:space="preserve">Desde que los equipos entran en el terreno de juego hasta que lo abandonan en el descanso.</t>
  </si>
  <si>
    <t xml:space="preserve">Desde que los equipos entran en el terreno de juego hasta que se reanuda el juego tras el descanso.</t>
  </si>
  <si>
    <t xml:space="preserve">Desde el pitido inicial hasta que los equipos abandonan el terreno de juego en el descanso.</t>
  </si>
  <si>
    <t xml:space="preserve">La prohibición rige desde el momento en que los equipos entran en el terreno de juego hasta que lo abandonan en el descanso del medio tiempo.</t>
  </si>
  <si>
    <t xml:space="preserve">RJ1-072</t>
  </si>
  <si>
    <t xml:space="preserve">¿Está prohibida la publicidad comercial en el área técnica y en el área de revisión del VAR?</t>
  </si>
  <si>
    <t xml:space="preserve">Sí, la prohibición de publicidad alcanza también al área técnica y al área de revisión.</t>
  </si>
  <si>
    <t xml:space="preserve">No, en el área técnica y en el área de revisión la publicidad está permitida.</t>
  </si>
  <si>
    <t xml:space="preserve">La prohibición de publicidad alcanza al área técnica, pero no al área de revisión.</t>
  </si>
  <si>
    <t xml:space="preserve">La prohibición de publicidad comercial se extiende al terreno de juego, al área técnica y al área de revisión.</t>
  </si>
  <si>
    <t xml:space="preserve">RJ1-073</t>
  </si>
  <si>
    <t xml:space="preserve">Durante el tiempo de juego, ¿está permitida la reproducción de emblemas de clubes sobre el terreno de juego?</t>
  </si>
  <si>
    <t xml:space="preserve">No, queda prohibida la reproducción real o virtual de logotipos o emblemas de clubes, entre otras entidades, sobre el terreno de juego durante el tiempo de juego.</t>
  </si>
  <si>
    <t xml:space="preserve">No, queda prohibida la reproducción real, aunque no la virtual, de logotipos o emblemas de clubes sobre el terreno de juego durante el tiempo de juego.</t>
  </si>
  <si>
    <t xml:space="preserve">Sí, se permite la reproducción del emblema del club local, pero no la del equipo visitante, sobre el terreno de juego durante el tiempo de juego.</t>
  </si>
  <si>
    <t xml:space="preserve">Durante el tiempo de juego, queda prohibida en el terreno de juego la reproducción real o virtual de logotipos o emblemas de la FIFA, confederaciones, federaciones, competiciones, clubes u otras entidades.</t>
  </si>
  <si>
    <t xml:space="preserve">Regla 1 / Logotipos y emblemas</t>
  </si>
  <si>
    <t xml:space="preserve">RJ1-074</t>
  </si>
  <si>
    <t xml:space="preserve">¿En qué elemento del terreno de juego sí están permitidos los logotipos o emblemas durante el tiempo de juego?</t>
  </si>
  <si>
    <t xml:space="preserve">En los banderines de esquina.</t>
  </si>
  <si>
    <t xml:space="preserve">En las redes de la portería.</t>
  </si>
  <si>
    <t xml:space="preserve">En los postes y el travesaño de la portería.</t>
  </si>
  <si>
    <t xml:space="preserve">Los logotipos y emblemas están prohibidos en el terreno de juego, las redes de portería, las porterías y los postes de los banderines de esquina, pero sí están permitidos en los banderines de esquina.</t>
  </si>
  <si>
    <t xml:space="preserve">RJ1-075</t>
  </si>
  <si>
    <t xml:space="preserve">En un partido donde se utiliza el VAR, ¿qué instalaciones exige como mínimo la Regla 1?</t>
  </si>
  <si>
    <t xml:space="preserve">Una sala de vídeo y al menos un área de revisión.</t>
  </si>
  <si>
    <t xml:space="preserve">Una sala de vídeo y al menos dos áreas de revisión.</t>
  </si>
  <si>
    <t xml:space="preserve">Un área de revisión, sin que sea necesaria la sala de vídeo.</t>
  </si>
  <si>
    <t xml:space="preserve">En los partidos donde se utilice el VAR, se deberá contar con una sala de vídeo y al menos con un área de revisión.</t>
  </si>
  <si>
    <t xml:space="preserve">RJ1-076</t>
  </si>
  <si>
    <t xml:space="preserve">¿Dónde puede estar ubicada la sala de vídeo utilizada por el VAR según la Regla 1?</t>
  </si>
  <si>
    <t xml:space="preserve">En el mismo estadio, cerca de este, o en un emplazamiento más alejado.</t>
  </si>
  <si>
    <t xml:space="preserve">En el mismo estadio o cerca de este, pero no en un emplazamiento más alejado.</t>
  </si>
  <si>
    <t xml:space="preserve">Cerca del estadio o en un emplazamiento más alejado, pero no en el mismo estadio.</t>
  </si>
  <si>
    <t xml:space="preserve">La sala de vídeo estará ubicada en el mismo estadio, cerca de este o en un emplazamiento más alejado.</t>
  </si>
  <si>
    <t xml:space="preserve">RJ1-077</t>
  </si>
  <si>
    <t xml:space="preserve">Un suplente, sin ser miembro del equipo arbitral, accede a la sala de vídeo durante el partido. ¿Qué decisión debe tomar el árbitro?</t>
  </si>
  <si>
    <t xml:space="preserve">Lo expulsa, ya que será expulsado todo jugador, suplente, jugador sustituido o miembro del cuerpo técnico que acceda a la sala de vídeo.</t>
  </si>
  <si>
    <t xml:space="preserve">Lo amonesta, dejando constancia del acceso en el acta del partido, ya que solo será expulsado el miembro del cuerpo técnico que acceda a la sala de vídeo.</t>
  </si>
  <si>
    <t xml:space="preserve">No adopta medida disciplinaria, si el acceso fue breve y el suplente no llegó a intervenir en la revisión.</t>
  </si>
  <si>
    <t xml:space="preserve">Será expulsado todo jugador, suplente, jugador sustituido o miembro del cuerpo técnico que acceda a la sala de vídeo.</t>
  </si>
  <si>
    <t xml:space="preserve">RJ1-078</t>
  </si>
  <si>
    <t xml:space="preserve">¿Qué características debe cumplir el área de revisión del VAR según la Regla 1?</t>
  </si>
  <si>
    <t xml:space="preserve">Estar situada en un lugar visible fuera del terreno de juego y claramente marcada.</t>
  </si>
  <si>
    <t xml:space="preserve">Estar situada en un lugar visible dentro del terreno de juego y claramente marcada.</t>
  </si>
  <si>
    <t xml:space="preserve">Estar situada en un lugar visible fuera del terreno de juego, junto al área técnica de cada equipo.</t>
  </si>
  <si>
    <t xml:space="preserve">El área de revisión estará situada en un lugar visible fuera del terreno de juego y claramente marcada.</t>
  </si>
  <si>
    <t xml:space="preserve">RJ1-079</t>
  </si>
  <si>
    <t xml:space="preserve">Un miembro del cuerpo técnico entra en el área de revisión del VAR. ¿Qué decisión toma el árbitro?</t>
  </si>
  <si>
    <t xml:space="preserve">Lo amonesta.</t>
  </si>
  <si>
    <t xml:space="preserve">Lo expulsa.</t>
  </si>
  <si>
    <t xml:space="preserve">No toma medida disciplinaria alguna.</t>
  </si>
  <si>
    <t xml:space="preserve">Se amonestará a todos aquellos jugadores, suplentes, jugadores sustituidos o miembros del cuerpo técnico que entren en el área de revisión.</t>
  </si>
  <si>
    <t xml:space="preserve">RJ1-080</t>
  </si>
  <si>
    <t xml:space="preserve">Además de la distancia respecto a las líneas de banda, ¿a qué distancia de la línea de meta debe hallarse la publicidad vertical según la Regla 1?</t>
  </si>
  <si>
    <t xml:space="preserve">A la misma distancia de la línea de meta que la profundidad de las redes de la portería.</t>
  </si>
  <si>
    <t xml:space="preserve">A una distancia fija de 5,5 m de la línea de meta, con independencia de la profundidad de las redes.</t>
  </si>
  <si>
    <t xml:space="preserve">A una distancia fija de 9,15 m de la línea de meta.</t>
  </si>
  <si>
    <t xml:space="preserve">La publicidad vertical deberá hallarse, respecto a la línea de meta, a la misma distancia que la profundidad de las redes de la portería.</t>
  </si>
  <si>
    <t xml:space="preserve">Regla 1.12</t>
  </si>
  <si>
    <t xml:space="preserve">RJ1-081</t>
  </si>
  <si>
    <t xml:space="preserve">¿A qué distancia mínima de la red de la portería debe hallarse la publicidad vertical según la Regla 1?</t>
  </si>
  <si>
    <t xml:space="preserve">1 m de la red de la portería.</t>
  </si>
  <si>
    <t xml:space="preserve">5,5 m de la red de la portería.</t>
  </si>
  <si>
    <t xml:space="preserve">No existe ninguna distancia mínima exigida respecto a la red de la portería.</t>
  </si>
  <si>
    <t xml:space="preserve">La publicidad vertical deberá hallarse al menos a 1 m (1 yd) de la red de la portería.</t>
  </si>
  <si>
    <t xml:space="preserve">RJ1-082</t>
  </si>
  <si>
    <t xml:space="preserve">Según la Regla 1, para partidos internacionales, ¿cuáles son los límites de longitud y anchura del terreno de juego?</t>
  </si>
  <si>
    <t xml:space="preserve">Longitud máxima 110, mínima 105, y anchura máxima 74, mínima 64.</t>
  </si>
  <si>
    <t xml:space="preserve">Longitud máxima 110, mínima 100, y anchura máxima 75, mínima 64.</t>
  </si>
  <si>
    <t xml:space="preserve">Longitud máxima 120, mínima 90, y anchura máxima 90, mínima 45.</t>
  </si>
  <si>
    <t xml:space="preserve">Para partidos internacionales, la Regla 1 fija longitud entre 100 y 110 m, y anchura entre 64 y 75 m.</t>
  </si>
  <si>
    <t xml:space="preserve">RJ1-083</t>
  </si>
  <si>
    <t xml:space="preserve">Elige la respuesta más completa y correcta. Las redes de las porterías:</t>
  </si>
  <si>
    <t xml:space="preserve">Son obligatorias y deben estar sujetas a las porterías y al suelo, sin molestar al guardameta.</t>
  </si>
  <si>
    <t xml:space="preserve">Pueden ser obligatorias o no según la competición y, si se usan, deben estar sujetas sin molestar al guardameta.</t>
  </si>
  <si>
    <t xml:space="preserve">No son obligatorias y, si se usan, deben estar sujetas a las porterías y al suelo, sin molestar al guardameta.</t>
  </si>
  <si>
    <t xml:space="preserve">Según la Regla 1, «se podrán enganchar redes» (no son obligatorias por las Reglas de Juego) y deben estar sujetas de manera adecuada. El Reglamento de Competiciones de la RFEF (Art. 175.1) establece que en sus competiciones «deberán colocarse, obligatoriamente». Por tanto, depende del reglamento de la competición.</t>
  </si>
  <si>
    <t xml:space="preserve">RJ1-084</t>
  </si>
  <si>
    <t xml:space="preserve">¿Se permite publicidad comercial en las redes de las porterías durante el tiempo de juego?</t>
  </si>
  <si>
    <t xml:space="preserve">No, está prohibida la publicidad comercial en las redes de las porterías.</t>
  </si>
  <si>
    <t xml:space="preserve">Sí, está permitida la publicidad comercial en las redes de las porterías.</t>
  </si>
  <si>
    <t xml:space="preserve">Sí, aunque con algunas excepciones fijadas por el reglamento de la competición.</t>
  </si>
  <si>
    <t xml:space="preserve">La normativa de publicidad prohíbe la publicidad comercial en las redes de las porterías durante el tiempo de juego.</t>
  </si>
  <si>
    <t xml:space="preserve">RJ1-085</t>
  </si>
  <si>
    <t xml:space="preserve">¿Cuáles son las dimensiones reglamentarias de la portería?</t>
  </si>
  <si>
    <t xml:space="preserve">7,32 metros de longitud y 2,44 metros de alto.</t>
  </si>
  <si>
    <t xml:space="preserve">7,32 metros de longitud y 2,42 metros de alto.</t>
  </si>
  <si>
    <t xml:space="preserve">7,34 metros de longitud y 2,42 metros de alto.</t>
  </si>
  <si>
    <t xml:space="preserve">Las dimensiones reglamentarias de la portería son 7,32 metros de longitud (ancho entre postes) y 2,44 metros de alto.</t>
  </si>
  <si>
    <t xml:space="preserve">RJ1-086</t>
  </si>
  <si>
    <t xml:space="preserve">¿Qué elementos deben figurar obligatoriamente marcados en el terreno de juego según la Regla 1?</t>
  </si>
  <si>
    <t xml:space="preserve">Las líneas perimetrales, el círculo central, las áreas de penal y de meta, y el punto de penal, entre otros.</t>
  </si>
  <si>
    <t xml:space="preserve">Las líneas perimetrales, el círculo central y las áreas de penal, aunque no es obligatorio marcar el área de meta ni el punto de penal.</t>
  </si>
  <si>
    <t xml:space="preserve">Las líneas perimetrales, el círculo central y las áreas de meta, aunque no es obligatorio marcar las áreas de penal ni el punto de penal.</t>
  </si>
  <si>
    <t xml:space="preserve">La Regla 1 exige el marcado de las líneas perimetrales, círculo central, áreas de penal y de meta, punto de penal, arco del área, entre otros elementos.</t>
  </si>
  <si>
    <t xml:space="preserve">RJ1-087</t>
  </si>
  <si>
    <t xml:space="preserve">Durante la inspección previa al partido, el árbitro comprueba que el área técnica de un equipo es más amplia de lo habitual, sin que suponga ningún riesgo. El árbitro...</t>
  </si>
  <si>
    <t xml:space="preserve">Lo permite: sus dimensiones pueden variar según el estadio.</t>
  </si>
  <si>
    <t xml:space="preserve">Obliga a reducirla a las medidas fijas que marca la Regla 1.</t>
  </si>
  <si>
    <t xml:space="preserve">No permite que comience el partido hasta que se corrija.</t>
  </si>
  <si>
    <t xml:space="preserve">Las dimensiones del área técnica pueden variar en función del diseño del estadio, siempre que quede claramente identificada.</t>
  </si>
  <si>
    <t xml:space="preserve">RJ1-088</t>
  </si>
  <si>
    <t xml:space="preserve">¿Qué ocurre si, por el diseño del estadio, el asiento más próximo del banquillo se encuentra a menos de 1 metro de la línea de banda?</t>
  </si>
  <si>
    <t xml:space="preserve">El área técnica no podrá extenderse más allá de esa distancia respecto a la línea de banda.</t>
  </si>
  <si>
    <t xml:space="preserve">El partido no podrá disputarse en ese estadio hasta modificar la instalación.</t>
  </si>
  <si>
    <t xml:space="preserve">El árbitro deberá reubicar el banquillo a una distancia mínima antes del inicio del partido.</t>
  </si>
  <si>
    <t xml:space="preserve">El área técnica se extiende, por lo general, 1 metro a cada lado de la zona reservada y hasta 1 metro de la línea de banda, salvo que el diseño del estadio limite esa distancia.</t>
  </si>
  <si>
    <t xml:space="preserve">RJ1-089</t>
  </si>
  <si>
    <t xml:space="preserve">Un club solicita disputar un partido sobre una superficie totalmente artificial, sin que el reglamento de la competición lo autorice. ¿Es posible?</t>
  </si>
  <si>
    <t xml:space="preserve">No, porque depende de que lo autorice el reglamento de la competición.</t>
  </si>
  <si>
    <t xml:space="preserve">Sí, si el club lo comunica al árbitro antes del inicio del partido.</t>
  </si>
  <si>
    <t xml:space="preserve">Sí, porque la superficie de juego la decide el club organizador.</t>
  </si>
  <si>
    <t xml:space="preserve">El terreno de juego podrá ser de césped natural, artificial o una combinación de ambos, según lo permita el reglamento de la competición.</t>
  </si>
  <si>
    <t xml:space="preserve">RJ1-090</t>
  </si>
  <si>
    <t xml:space="preserve">Un organizador quiere emplear la tecnología de detección automática de goles (DAG) en un partido de una competición nacional. ¿Qué requisito debe cumplirse?</t>
  </si>
  <si>
    <t xml:space="preserve">Que el sistema cumpla los requisitos del Programa de calidad de la FIFA.</t>
  </si>
  <si>
    <t xml:space="preserve">Que lo autorice el árbitro antes del inicio del partido.</t>
  </si>
  <si>
    <t xml:space="preserve">Que ambos equipos den su conformidad por escrito antes del partido.</t>
  </si>
  <si>
    <t xml:space="preserve">Cualquier sistema de detección automática de goles debe cumplir los requisitos del Programa de calidad de la FIFA correspondiente.</t>
  </si>
  <si>
    <t xml:space="preserve">RJ1-091</t>
  </si>
  <si>
    <t xml:space="preserve">¿En qué plazo máximo debe el sistema de detección automática de goles (DAG) confirmar automáticamente que se ha anotado un gol?</t>
  </si>
  <si>
    <t xml:space="preserve">En un máximo de un segundo.</t>
  </si>
  <si>
    <t xml:space="preserve">En un máximo de tres segundos.</t>
  </si>
  <si>
    <t xml:space="preserve">En un máximo de cinco segundos.</t>
  </si>
  <si>
    <t xml:space="preserve">El dispositivo de DAG debe indicar si se ha anotado un gol de manera inmediata y confirmarlo automáticamente en un tiempo máximo de un segundo.</t>
  </si>
  <si>
    <t xml:space="preserve">RJ1-092</t>
  </si>
  <si>
    <t xml:space="preserve">Un club inserta un logotipo virtual de un patrocinador en el círculo central, visible solo por televisión, durante el tiempo de juego. ¿Está permitido?</t>
  </si>
  <si>
    <t xml:space="preserve">No, la publicidad virtual tampoco está permitida sobre el terreno de juego.</t>
  </si>
  <si>
    <t xml:space="preserve">Sí, porque no es visible para los espectadores presentes en el estadio.</t>
  </si>
  <si>
    <t xml:space="preserve">Sí, si el patrocinador no coincide con el de ninguno de los equipos.</t>
  </si>
  <si>
    <t xml:space="preserve">Queda prohibida la reproducción real o virtual de logotipos, emblemas o publicidad comercial sobre el terreno de juego durante el tiempo de juego.</t>
  </si>
  <si>
    <t xml:space="preserve">RJ1-095</t>
  </si>
  <si>
    <t xml:space="preserve">¿Puede el organizador de un partido instalar publicidad comercial en el área técnica?</t>
  </si>
  <si>
    <t xml:space="preserve">No, la prohibición de publicidad incluye también el área técnica.</t>
  </si>
  <si>
    <t xml:space="preserve">Sí, la prohibición de publicidad no incluye el área técnica.</t>
  </si>
  <si>
    <t xml:space="preserve">Sí, si el patrocinador coincide con el de ambos equipos.</t>
  </si>
  <si>
    <t xml:space="preserve">No se permite publicidad comercial, real o virtual, en el terreno de juego, en el área que abarcan las redes de portería, en el área técnica o en el área de revisión.</t>
  </si>
  <si>
    <t xml:space="preserve">RJ1-097</t>
  </si>
  <si>
    <t xml:space="preserve">Durante la inspección previa al partido, el árbitro detecta que el círculo central no está correctamente marcado. El árbitro...</t>
  </si>
  <si>
    <t xml:space="preserve">Puede exigir que se corrija antes de autorizar el inicio del partido.</t>
  </si>
  <si>
    <t xml:space="preserve">Suspende el partido por la deficiencia en el marcado del terreno.</t>
  </si>
  <si>
    <t xml:space="preserve">Permite el inicio, pues el círculo central no es una línea obligatoria.</t>
  </si>
  <si>
    <t xml:space="preserve">El árbitro, durante la inspección previa, puede exigir la corrección de defectos en el marcaje antes de autorizar el inicio del partido.</t>
  </si>
  <si>
    <t xml:space="preserve">RJ1-099</t>
  </si>
  <si>
    <t xml:space="preserve">¿Puede utilizarse un balón con tecnología de detección de fuera de juego que no cumpla las especificaciones generales de la Regla 2?</t>
  </si>
  <si>
    <t xml:space="preserve">No, debe cumplir igualmente las especificaciones de la Regla 2.</t>
  </si>
  <si>
    <t xml:space="preserve">Sí, la tecnología incorporada le exime de esas especificaciones.</t>
  </si>
  <si>
    <t xml:space="preserve">Sí, si el organizador de la competición lo autoriza expresamente.</t>
  </si>
  <si>
    <t xml:space="preserve">La incorporación de tecnología al balón no exime del cumplimiento del resto de especificaciones exigidas por la Regla 2.</t>
  </si>
  <si>
    <t xml:space="preserve">RJ1-101</t>
  </si>
  <si>
    <t xml:space="preserve">Un organizador quiere fijar cámaras a la red de una portería para retransmitir el partido. ¿Está permitido?</t>
  </si>
  <si>
    <t xml:space="preserve">No, no se puede fijar ningún material externo a las porterías ni a las redes.</t>
  </si>
  <si>
    <t xml:space="preserve">Sí, si la cámara no interfiere en el desarrollo normal del juego.</t>
  </si>
  <si>
    <t xml:space="preserve">Sí, si el árbitro lo autoriza antes del inicio del partido.</t>
  </si>
  <si>
    <t xml:space="preserve">Queda prohibido fijar cualquier material externo, como cámaras o micrófonos, a las porterías, redes y banderines de esquina.</t>
  </si>
  <si>
    <t xml:space="preserve">RJ1-102</t>
  </si>
  <si>
    <t xml:space="preserve">¿Con qué radio se traza el cuadrante del área de esquina en el interior del terreno de juego?</t>
  </si>
  <si>
    <t xml:space="preserve">Con un radio de 1 m desde el banderín de esquina.</t>
  </si>
  <si>
    <t xml:space="preserve">Con un radio de 1,5 m desde el banderín de esquina.</t>
  </si>
  <si>
    <t xml:space="preserve">Con un radio de 9,15 m desde el banderín de esquina.</t>
  </si>
  <si>
    <t xml:space="preserve">RJ1-103</t>
  </si>
  <si>
    <t xml:space="preserve">La tecnología de detección semiautomatizada del fuera de juego, implantada conforme a los requisitos exigidos:</t>
  </si>
  <si>
    <t xml:space="preserve">Asiste al equipo arbitral, pero no sustituye su función.</t>
  </si>
  <si>
    <t xml:space="preserve">Sustituye la decisión del árbitro asistente en el fuera de juego.</t>
  </si>
  <si>
    <t xml:space="preserve">Puede usarla cualquier competición sin requisito técnico alguno.</t>
  </si>
  <si>
    <t xml:space="preserve">La tecnología semiautomatizada para la detección de fuera de juego se implementa conforme a determinados requisitos técnicos y asiste al equipo arbitral en su decisión, sin sustituir por completo su función.</t>
  </si>
  <si>
    <t xml:space="preserve">RJ1-104</t>
  </si>
  <si>
    <t xml:space="preserve">¿Es obligatorio que todos los estadios de una misma competición tengan idénticas dimensiones de terreno de juego?</t>
  </si>
  <si>
    <t xml:space="preserve">No necesariamente, siempre que cada terreno respete los márgenes mínimos y máximos que fije el reglamento de la competición.</t>
  </si>
  <si>
    <t xml:space="preserve">Sí, todos los terrenos de juego de una misma competición deben tener exactamente las mismas dimensiones.</t>
  </si>
  <si>
    <t xml:space="preserve">No, cada club puede establecer libremente las dimensiones de su terreno, sin ningún límite.</t>
  </si>
  <si>
    <t xml:space="preserve">Las dimensiones del terreno de juego pueden variar entre los márgenes mínimo y máximo que fije el reglamento de la competición.</t>
  </si>
  <si>
    <t xml:space="preserve">RJ1-106</t>
  </si>
  <si>
    <t xml:space="preserve">Un club instala en la grada una pantalla que reproduce en directo las comunicaciones con el VAR. ¿Está permitido?</t>
  </si>
  <si>
    <t xml:space="preserve">No, salvo que se autorice conforme a las directrices de la FIFA.</t>
  </si>
  <si>
    <t xml:space="preserve">Sí, cada club puede mostrar libremente esas imágenes.</t>
  </si>
  <si>
    <t xml:space="preserve">Sí, si el árbitro lo autoriza antes de comenzar el partido.</t>
  </si>
  <si>
    <t xml:space="preserve">Las pantallas del estadio no pueden utilizarse para retransmitir las comunicaciones con el VAR, salvo lo que autoricen expresamente las directrices de la FIFA y el Manual del VAR.</t>
  </si>
  <si>
    <t xml:space="preserve">RJ1-108</t>
  </si>
  <si>
    <t xml:space="preserve">Un terreno de juego mide 100 m de longitud y 62 m de anchura, dentro de los márgenes generales de la Regla 1, pero el reglamento de la competición fija unos márgenes más estrechos. ¿Es válido para un partido de esa competición?</t>
  </si>
  <si>
    <t xml:space="preserve">No necesariamente: prevalecen los márgenes que fije el reglamento de la competición.</t>
  </si>
  <si>
    <t xml:space="preserve">Sí, basta con que respete los márgenes generales que establece la Regla 1.</t>
  </si>
  <si>
    <t xml:space="preserve">Sí, porque la competición no puede fijar márgenes distintos a los de la Regla 1.</t>
  </si>
  <si>
    <t xml:space="preserve">Las dimensiones del terreno de juego deben respetar los márgenes que fije el reglamento de la competición cuando este establece unos propios, que pueden ser más estrechos que los márgenes generales admitidos.</t>
  </si>
  <si>
    <t xml:space="preserve">RJ1-111</t>
  </si>
  <si>
    <t xml:space="preserve">Una sala de vídeo está situada en un edificio a varios kilómetros del estadio, con una conexión adecuada con el árbitro. ¿Cumple lo que establece la Regla 1 sobre su ubicación?</t>
  </si>
  <si>
    <t xml:space="preserve">Sí, puede estar en el estadio, cerca de él o en un emplazamiento más alejado.</t>
  </si>
  <si>
    <t xml:space="preserve">No, la sala de vídeo debe estar dentro del recinto del propio estadio.</t>
  </si>
  <si>
    <t xml:space="preserve">No, debe estar a una distancia máxima de unos cientos de metros del estadio.</t>
  </si>
  <si>
    <t xml:space="preserve">La sala de vídeo puede estar situada en el mismo estadio, cerca de este o en un emplazamiento más alejado, siempre que se cumplan el resto de requisitos técnicos exigidos.</t>
  </si>
  <si>
    <t xml:space="preserve">RJ1-112</t>
  </si>
  <si>
    <t xml:space="preserve">Durante la inspección previa al partido, el árbitro comprueba que la red de una de las porterías está rasgada en una zona amplia. El árbitro...</t>
  </si>
  <si>
    <t xml:space="preserve">Puede exigir su reparación o sustitución antes de autorizar el inicio.</t>
  </si>
  <si>
    <t xml:space="preserve">No puede exigir nada, al no ser las redes un elemento obligatorio.</t>
  </si>
  <si>
    <t xml:space="preserve">Suspende el partido sin dar opción a corregir la deficiencia.</t>
  </si>
  <si>
    <t xml:space="preserve">Entre las obligaciones del árbitro antes del partido está inspeccionar el terreno de juego y sus elementos, pudiendo exigir la corrección de deficiencias como esta antes de autorizar el inicio del encuentro.</t>
  </si>
  <si>
    <t xml:space="preserve">RJ1-114</t>
  </si>
  <si>
    <t xml:space="preserve">Un terreno de juego cuenta con césped híbrido, que combina fibras naturales y artificiales entrelazadas. ¿Se ajusta esto a lo que permite la Regla 1 sobre el tipo de superficie?</t>
  </si>
  <si>
    <t xml:space="preserve">Sí, el terreno de juego puede ser de césped natural, artificial o una combinación de ambos, lo que incluye sistemas híbridos, siempre que lo permita el reglamento de la competición.</t>
  </si>
  <si>
    <t xml:space="preserve">No, un sistema híbrido no está contemplado entre los tipos de superficie que permite la Regla 1, que solo admite césped natural o artificial de forma independiente.</t>
  </si>
  <si>
    <t xml:space="preserve">Sí, sin que sea necesaria ninguna autorización del reglamento de la competición para este tipo concreto de superficie.</t>
  </si>
  <si>
    <t xml:space="preserve">La Regla 1 permite que el terreno de juego sea de césped natural, artificial o una combinación de ambos (lo que incluye los sistemas híbridos), siempre que lo permita el reglamento de la competición.</t>
  </si>
  <si>
    <t xml:space="preserve">RJ2-001</t>
  </si>
  <si>
    <t xml:space="preserve">Regla 2</t>
  </si>
  <si>
    <t xml:space="preserve">¿Pueden los capitanes proponer al árbitro el cambio de balón durante el transcurso del juego?</t>
  </si>
  <si>
    <t xml:space="preserve">Sí, pero será potestad del árbitro atender o no la petición.</t>
  </si>
  <si>
    <t xml:space="preserve">Sí, y el árbitro está obligado a comprobarlo y cambiarlo.</t>
  </si>
  <si>
    <t xml:space="preserve">No, el balón solo puede cambiarse por iniciativa del árbitro.</t>
  </si>
  <si>
    <t xml:space="preserve">Los capitanes pueden proponer el cambio de balón, pero corresponde al árbitro decidir si atiende o no dicha petición.</t>
  </si>
  <si>
    <t xml:space="preserve">RJ2-003</t>
  </si>
  <si>
    <t xml:space="preserve">¿Cuál es la circunferencia reglamentaria del balón?</t>
  </si>
  <si>
    <t xml:space="preserve">Entre 68 y 70 cm.</t>
  </si>
  <si>
    <t xml:space="preserve">Entre 64 y 66 cm.</t>
  </si>
  <si>
    <t xml:space="preserve">Entre 70 y 72 cm.</t>
  </si>
  <si>
    <t xml:space="preserve">La circunferencia del balón debe estar comprendida entre 68 y 70 cm.</t>
  </si>
  <si>
    <t xml:space="preserve">Regla 2 / Características y medidas</t>
  </si>
  <si>
    <t xml:space="preserve">RJ2-004</t>
  </si>
  <si>
    <t xml:space="preserve">¿Cuál es el peso reglamentario del balón al comienzo del partido?</t>
  </si>
  <si>
    <t xml:space="preserve">Entre 410 y 450 g.</t>
  </si>
  <si>
    <t xml:space="preserve">Entre 400 y 440 g.</t>
  </si>
  <si>
    <t xml:space="preserve">Entre 420 y 460 g.</t>
  </si>
  <si>
    <t xml:space="preserve">El balón debe tener un peso comprendido entre 410 y 450 g al comienzo del partido.</t>
  </si>
  <si>
    <t xml:space="preserve">RJ2-005</t>
  </si>
  <si>
    <t xml:space="preserve">¿Cuál es la presión reglamentaria del balón al nivel del mar?</t>
  </si>
  <si>
    <t xml:space="preserve">Entre 0,6 y 1,1 atmósferas.</t>
  </si>
  <si>
    <t xml:space="preserve">Entre 0,4 y 0,9 atmósferas.</t>
  </si>
  <si>
    <t xml:space="preserve">Entre 1,0 y 1,5 atmósferas.</t>
  </si>
  <si>
    <t xml:space="preserve">La presión del balón debe ser equivalente a 0,6–1,1 atmósferas al nivel del mar.</t>
  </si>
  <si>
    <t xml:space="preserve">RJ2-006</t>
  </si>
  <si>
    <t xml:space="preserve">Un delegado presenta un balón cuyo peso al inicio del partido es de 405 g, dentro de una circunferencia de 69 cm. ¿Es reglamentario?</t>
  </si>
  <si>
    <t xml:space="preserve">No, porque el peso no alcanza el mínimo de 410 g exigido al comienzo del partido.</t>
  </si>
  <si>
    <t xml:space="preserve">Sí, porque el peso solo se exige a partir de la segunda parte del encuentro.</t>
  </si>
  <si>
    <t xml:space="preserve">Sí, porque la circunferencia está dentro del rango permitido y basta con ello.</t>
  </si>
  <si>
    <t xml:space="preserve">El balón debe pesar entre 410 y 450 g al comienzo del partido; con 405 g queda por debajo del mínimo exigido.</t>
  </si>
  <si>
    <t xml:space="preserve">RJ2-007</t>
  </si>
  <si>
    <t xml:space="preserve">En partidos de competición oficial organizados bajo los auspicios de la FIFA o las confederaciones, ¿qué deben cumplir los balones utilizados?</t>
  </si>
  <si>
    <t xml:space="preserve">Los criterios del Programa de calidad de la FIFA de balones de fútbol y portar uno de sus sellos de calidad.</t>
  </si>
  <si>
    <t xml:space="preserve">Los criterios del Programa de calidad de la FIFA de balones de fútbol, sin necesidad de portar ningún sello de calidad.</t>
  </si>
  <si>
    <t xml:space="preserve">Los criterios que fije cada federación nacional de fútbol y portar uno de sus sellos de calidad.</t>
  </si>
  <si>
    <t xml:space="preserve">Todos los balones utilizados en partidos de competición oficial de la FIFA o confederaciones deben cumplir los criterios del Programa de calidad de la FIFA de balones de fútbol y portar uno de sus sellos de calidad.</t>
  </si>
  <si>
    <t xml:space="preserve">RJ2-008</t>
  </si>
  <si>
    <t xml:space="preserve">¿Qué indican los distintivos o sellos de calidad que puede portar un balón?</t>
  </si>
  <si>
    <t xml:space="preserve">Que el balón ha sido examinado oficialmente y cumple los requisitos técnicos mínimos estipulados en la Regla 2.</t>
  </si>
  <si>
    <t xml:space="preserve">Que el balón ha sido examinado oficialmente y cumple los requisitos técnicos máximos estipulados en la Regla 2.</t>
  </si>
  <si>
    <t xml:space="preserve">Que el balón ha sido fabricado en un país autorizado por la FIFA y cumple los requisitos técnicos mínimos de la Regla 2.</t>
  </si>
  <si>
    <t xml:space="preserve">Estos distintivos indican que el balón ha sido examinado oficialmente y cumple los requisitos técnicos mínimos estipulados en la Regla 2 y aprobados por el IFAB.</t>
  </si>
  <si>
    <t xml:space="preserve">RJ2-009</t>
  </si>
  <si>
    <t xml:space="preserve">¿Pueden las federaciones nacionales de fútbol exigir en sus competiciones el uso de balones con sello de calidad?</t>
  </si>
  <si>
    <t xml:space="preserve">Sí, en las competiciones de las federaciones nacionales se podrá exigir el uso de balones que lleven uno de estos distintivos.</t>
  </si>
  <si>
    <t xml:space="preserve">No, esa exigencia está reservada a la FIFA y a las confederaciones continentales de fútbol.</t>
  </si>
  <si>
    <t xml:space="preserve">Sí, en las competiciones de las federaciones nacionales de categorías profesionales masculinas de máximo nivel.</t>
  </si>
  <si>
    <t xml:space="preserve">En las competiciones de las federaciones nacionales de fútbol, se podrá exigir el uso de balones que lleven uno de estos distintivos de calidad.</t>
  </si>
  <si>
    <t xml:space="preserve">RJ2-010</t>
  </si>
  <si>
    <t xml:space="preserve">En un partido de competición oficial bajo los auspicios de una federación nacional, ¿qué publicidad comercial está permitida en el balón?</t>
  </si>
  <si>
    <t xml:space="preserve">El logotipo o emblema de la competición o su organizador, y la marca registrada autorizada del fabricante.</t>
  </si>
  <si>
    <t xml:space="preserve">El logotipo o emblema de la competición o su organizador, y el de los patrocinadores del club local.</t>
  </si>
  <si>
    <t xml:space="preserve">El logotipo o emblema de la federación nacional, y la marca registrada autorizada del fabricante.</t>
  </si>
  <si>
    <t xml:space="preserve">Está prohibida toda publicidad comercial en el balón, con excepción del logotipo o emblema de la competición o su organizador y la marca registrada autorizada del fabricante.</t>
  </si>
  <si>
    <t xml:space="preserve">RJ2-011</t>
  </si>
  <si>
    <t xml:space="preserve">¿Quién puede restringir el tamaño y el número de las marcas autorizadas del fabricante en el balón?</t>
  </si>
  <si>
    <t xml:space="preserve">El fabricante del balón.</t>
  </si>
  <si>
    <t xml:space="preserve">El árbitro principal, antes del inicio de cada partido.</t>
  </si>
  <si>
    <t xml:space="preserve">El reglamento de la competición podrá restringir el tamaño y el número de dichas marcas.</t>
  </si>
  <si>
    <t xml:space="preserve">RJ2-012</t>
  </si>
  <si>
    <t xml:space="preserve">Durante el juego habitual, el balón pierde sus propiedades y no puede seguir utilizándose. ¿Qué debe hacer el árbitro?</t>
  </si>
  <si>
    <t xml:space="preserve">Detener el juego y reanudarlo con un balón a tierra.</t>
  </si>
  <si>
    <t xml:space="preserve">Detener el juego y reanudarlo con un saque de banda a favor del equipo que tenía la posesión.</t>
  </si>
  <si>
    <t xml:space="preserve">Permitir que el juego continúe hasta la siguiente interrupción natural.</t>
  </si>
  <si>
    <t xml:space="preserve">Si el balón perdiera sus propiedades y no pudiera seguir utilizándose, se detendrá el juego y se reanudará con un balón a tierra.</t>
  </si>
  <si>
    <t xml:space="preserve">Regla 2 / Sustitución de un balón defectuoso</t>
  </si>
  <si>
    <t xml:space="preserve">RJ2-015</t>
  </si>
  <si>
    <t xml:space="preserve">Durante la ejecución de un tiro penal, el balón queda defectuoso mientras se desplaza hacia adelante, antes de tocar a ningún jugador, el poste o el travesaño, y el guardameta llega a detenerlo. ¿Qué decisión toma el árbitro?</t>
  </si>
  <si>
    <t xml:space="preserve">Ordena repetir el lanzamiento.</t>
  </si>
  <si>
    <t xml:space="preserve">Concede un balón a tierra al guardameta.</t>
  </si>
  <si>
    <t xml:space="preserve">Concede un saque de meta.</t>
  </si>
  <si>
    <t xml:space="preserve">Si el balón queda defectuoso en el lanzamiento de un tiro penal (o de la tanda de penales) mientras se desplaza hacia adelante, antes de tocar a un jugador, el poste o el travesaño, se vuelve a ejecutar el lanzamiento, con independencia de que el guardameta lo detenga.</t>
  </si>
  <si>
    <t xml:space="preserve">RJ2-017</t>
  </si>
  <si>
    <t xml:space="preserve">¿Puede reemplazarse el balón durante el transcurso del partido por iniciativa propia de un equipo, sin más trámite?</t>
  </si>
  <si>
    <t xml:space="preserve">No, el balón no podrá ser reemplazado durante el partido sin la autorización del árbitro.</t>
  </si>
  <si>
    <t xml:space="preserve">Sí, cualquiera de los dos capitanes puede reemplazarlo en cualquier momento, sin autorización del árbitro.</t>
  </si>
  <si>
    <t xml:space="preserve">Sí, si el balón sustituto cumple las especificaciones de la Regla 2, sin necesidad de autorización.</t>
  </si>
  <si>
    <t xml:space="preserve">El balón no podrá ser reemplazado durante el transcurso del partido sin la autorización del árbitro.</t>
  </si>
  <si>
    <t xml:space="preserve">RJ2-020</t>
  </si>
  <si>
    <t xml:space="preserve">¿Se permite colocar balones adicionales alrededor del terreno de juego durante el partido?</t>
  </si>
  <si>
    <t xml:space="preserve">Sí, siempre que cumplan las especificaciones de la Regla 2 y su uso lo supervise el árbitro.</t>
  </si>
  <si>
    <t xml:space="preserve">No, solo puede haber un balón en las inmediaciones del terreno de juego.</t>
  </si>
  <si>
    <t xml:space="preserve">Sí, siempre que cumplan las especificaciones de la Regla 2, sin supervisión del árbitro.</t>
  </si>
  <si>
    <t xml:space="preserve">Se podrán colocar balones adicionales alrededor del terreno de juego, siempre que cumplan las especificaciones de la Regla 2 y su uso lo supervise el árbitro.</t>
  </si>
  <si>
    <t xml:space="preserve">Regla 2 / Balones adicionales</t>
  </si>
  <si>
    <t xml:space="preserve">RJ2-023</t>
  </si>
  <si>
    <t xml:space="preserve">El balón queda defectuoso justo durante la ejecución de un saque inicial, de banda, de meta o de esquina, o de un tiro libre (directo o indirecto). ¿Cómo debe proceder el árbitro en todos los casos?</t>
  </si>
  <si>
    <t xml:space="preserve">En todos los casos se volverá a ejecutar el saque o el lanzamiento con un balón en condiciones reglamentarias.</t>
  </si>
  <si>
    <t xml:space="preserve">Solo se repite si el balón queda defectuoso en un tiro libre; en los saques, el juego continúa con otro balón.</t>
  </si>
  <si>
    <t xml:space="preserve">Se reanuda con un balón a tierra en el lugar donde se estaba ejecutando la reanudación.</t>
  </si>
  <si>
    <t xml:space="preserve">Si el balón quedara defectuoso en un saque inicial, de meta, de esquina o de banda, o en el lanzamiento de un tiro libre o penal, se volverá a ejecutar el saque o el lanzamiento.</t>
  </si>
  <si>
    <t xml:space="preserve">Regla 2.2</t>
  </si>
  <si>
    <t xml:space="preserve">RJ2-025</t>
  </si>
  <si>
    <t xml:space="preserve">¿Cuál de las siguientes combinaciones recoge correctamente las tres medidas reglamentarias que debe cumplir el balón al comienzo del partido: circunferencia, peso y presión?</t>
  </si>
  <si>
    <t xml:space="preserve">Circunferencia entre 68 y 70 cm, peso entre 410 y 450 g y presión entre 0,6 y 1,1 atmósferas.</t>
  </si>
  <si>
    <t xml:space="preserve">Circunferencia entre 68 y 70 cm, peso entre 400 y 440 g y presión entre 0,6 y 1,1 atmósferas.</t>
  </si>
  <si>
    <t xml:space="preserve">Circunferencia entre 64 y 66 cm, peso entre 410 y 450 g y presión entre 1,0 y 1,5 atmósferas.</t>
  </si>
  <si>
    <t xml:space="preserve">El balón debe tener una circunferencia comprendida entre 68 y 70 cm, un peso comprendido entre 410 y 450 g y una presión equivalente a 0,6-1,1 atmósferas (600-1100 g/cm²) al nivel del mar. Las opciones B y C alteran, respectivamente, el peso y la circunferencia junto con la presión.</t>
  </si>
  <si>
    <t xml:space="preserve">RJ2-026</t>
  </si>
  <si>
    <t xml:space="preserve">Antes de lanzar un tiro penal en el tiempo añadido, el árbitro comprueba que el balón ha perdido presión de forma visible. El árbitro...</t>
  </si>
  <si>
    <t xml:space="preserve">Lo sustituye por otro reglamentario antes de que se ejecute el lanzamiento.</t>
  </si>
  <si>
    <t xml:space="preserve">Permite el lanzamiento con ese balón, al ser una reanudación a balón parado.</t>
  </si>
  <si>
    <t xml:space="preserve">Permite el lanzamiento con ese balón y lo sustituye en el descanso.</t>
  </si>
  <si>
    <t xml:space="preserve">El balón defectuoso durante el juego debe ser sustituido por otro que cumpla las especificaciones de la Regla 2 antes de reanudar.</t>
  </si>
  <si>
    <t xml:space="preserve">RJ2-027</t>
  </si>
  <si>
    <t xml:space="preserve">¿Puede un balón llevar publicidad comercial?</t>
  </si>
  <si>
    <t xml:space="preserve">Sí, siempre que no sea la de un tercero no autorizado por el reglamento de la competición.</t>
  </si>
  <si>
    <t xml:space="preserve">No, el balón nunca podrá llevar ningún tipo de marca ni distintivo comercial.</t>
  </si>
  <si>
    <t xml:space="preserve">Sí, sin ninguna restricción, al no estar regulado por las Reglas de Juego.</t>
  </si>
  <si>
    <t xml:space="preserve">El balón puede llevar el logotipo o emblema de la competición, del organizador y la marca del fabricante, así como otras marcas autorizadas por el reglamento de la competición.</t>
  </si>
  <si>
    <t xml:space="preserve">RJ2-028</t>
  </si>
  <si>
    <t xml:space="preserve">Durante el descanso, un equipo cambia el balón oficial por otro de menor circunferencia sin comunicarlo al árbitro. ¿Es correcto?</t>
  </si>
  <si>
    <t xml:space="preserve">No, el balón debe cumplir la Regla 2 y estar bajo control del árbitro.</t>
  </si>
  <si>
    <t xml:space="preserve">Sí, si el cambio se produce durante una interrupción reglamentaria.</t>
  </si>
  <si>
    <t xml:space="preserve">Sí, si el nuevo balón es de la marca oficial de la competición.</t>
  </si>
  <si>
    <t xml:space="preserve">El árbitro es responsable de que el balón utilizado en todo momento cumpla las especificaciones de la Regla 2.</t>
  </si>
  <si>
    <t xml:space="preserve">RJ2-029</t>
  </si>
  <si>
    <t xml:space="preserve">Durante el calentamiento previo al partido, ¿pueden emplearse balones distintos al oficial del encuentro?</t>
  </si>
  <si>
    <t xml:space="preserve">Sí, siempre que cumplan las especificaciones de la Regla 2 y su uso sea supervisado por el árbitro.</t>
  </si>
  <si>
    <t xml:space="preserve">No, únicamente puede utilizarse el balón oficial designado para el partido, incluso en el calentamiento.</t>
  </si>
  <si>
    <t xml:space="preserve">Sí, sin ninguna limitación ni necesidad de supervisión arbitral.</t>
  </si>
  <si>
    <t xml:space="preserve">Podrán utilizarse balones adicionales que cumplan las especificaciones de la Regla 2, bajo la supervisión del árbitro.</t>
  </si>
  <si>
    <t xml:space="preserve">RJ2-030</t>
  </si>
  <si>
    <t xml:space="preserve">Un equipo pretende utilizar dos balones a la vez durante el partido, alternándolos según le convenga. ¿Es correcto?</t>
  </si>
  <si>
    <t xml:space="preserve">No, solo puede haber un balón en juego en cada momento.</t>
  </si>
  <si>
    <t xml:space="preserve">Sí, si ambos balones cumplen las especificaciones de la Regla 2.</t>
  </si>
  <si>
    <t xml:space="preserve">Sí, si el árbitro lo autoriza antes del partido.</t>
  </si>
  <si>
    <t xml:space="preserve">Solo puede haber un balón en juego a la vez; los balones adicionales se mantienen como reserva fuera del terreno de juego.</t>
  </si>
  <si>
    <t xml:space="preserve">RJ2-031</t>
  </si>
  <si>
    <t xml:space="preserve">¿Puede sustituirse durante el partido el balón oficial por otro de distinto diseño, pero que cumple las especificaciones de la Regla 2, sin avisar al árbitro?</t>
  </si>
  <si>
    <t xml:space="preserve">No, cualquier cambio de balón requiere la autorización del árbitro.</t>
  </si>
  <si>
    <t xml:space="preserve">Sí, si el diseño no afecta a la circunferencia, el peso ni la presión.</t>
  </si>
  <si>
    <t xml:space="preserve">Sí, si ambos equipos están de acuerdo antes de la sustitución.</t>
  </si>
  <si>
    <t xml:space="preserve">El árbitro es responsable de que el balón utilizado cumpla la Regla 2 y debe conocer y autorizar cualquier sustitución durante el partido.</t>
  </si>
  <si>
    <t xml:space="preserve">RJ2-032</t>
  </si>
  <si>
    <t xml:space="preserve">Durante una interrupción por lesión, el árbitro observa que el balón se ha desinflado parcialmente. El árbitro...</t>
  </si>
  <si>
    <t xml:space="preserve">Lo sustituye antes de reanudar el juego.</t>
  </si>
  <si>
    <t xml:space="preserve">Lo sustituye al finalizar el periodo en curso.</t>
  </si>
  <si>
    <t xml:space="preserve">Lo sustituye solo si un capitán se lo solicita.</t>
  </si>
  <si>
    <t xml:space="preserve">Un balón que resulte defectuoso debe sustituirse antes de que el juego se reanude.</t>
  </si>
  <si>
    <t xml:space="preserve">RJ2-033</t>
  </si>
  <si>
    <t xml:space="preserve">¿Puede utilizarse en un mismo partido un balón distinto para cada uno de los dos periodos, siempre que ambos cumplan la Regla 2?</t>
  </si>
  <si>
    <t xml:space="preserve">Sí, siempre que ambos balones cumplan las especificaciones técnicas exigidas.</t>
  </si>
  <si>
    <t xml:space="preserve">No, debe utilizarse el mismo balón durante todo el partido, salvo que resulte defectuoso.</t>
  </si>
  <si>
    <t xml:space="preserve">Sí, únicamente si el reglamento de la competición lo autoriza expresamente para cada partido.</t>
  </si>
  <si>
    <t xml:space="preserve">Las Reglas de Juego no impiden emplear balones distintos en cada periodo, siempre que todos cumplan la Regla 2.</t>
  </si>
  <si>
    <t xml:space="preserve">RJ2-034</t>
  </si>
  <si>
    <t xml:space="preserve">Un balón resulta claramente dañado durante un saque de esquina, antes de que se ejecute el lanzamiento. ¿Qué debe hacer el árbitro?</t>
  </si>
  <si>
    <t xml:space="preserve">Sustituirlo por otro reglamentario antes de que se ejecute el saque de esquina.</t>
  </si>
  <si>
    <t xml:space="preserve">Permitir la ejecución del saque con el balón dañado, si el daño no es visible a simple vista.</t>
  </si>
  <si>
    <t xml:space="preserve">Suspender el partido hasta que se consiga un balón de repuesto adecuado.</t>
  </si>
  <si>
    <t xml:space="preserve">El balón defectuoso debe sustituirse antes de reanudar el juego, incluida la ejecución de un saque de esquina.</t>
  </si>
  <si>
    <t xml:space="preserve">RJ2-035</t>
  </si>
  <si>
    <t xml:space="preserve">¿Puede la organización de la competición exigir que el balón utilizado porte uno de los sellos de calidad de la FIFA?</t>
  </si>
  <si>
    <t xml:space="preserve">Sí, en determinadas competiciones se podrá exigir el uso de balones que porten uno de estos distintivos.</t>
  </si>
  <si>
    <t xml:space="preserve">No, exigir un sello de calidad concreto está reservado exclusivamente a la FIFA en sus propias competiciones.</t>
  </si>
  <si>
    <t xml:space="preserve">No, los sellos de calidad de la FIFA no tienen ninguna relevancia para las federaciones nacionales.</t>
  </si>
  <si>
    <t xml:space="preserve">En las competiciones de las federaciones nacionales de fútbol se podrá exigir el uso de balones que porten uno de los distintivos del Programa de calidad de la FIFA.</t>
  </si>
  <si>
    <t xml:space="preserve">RJ2-036</t>
  </si>
  <si>
    <t xml:space="preserve">En un partido con lluvia, el balón pesaba 440 g al comienzo, pero en la segunda parte supera los 450 g. El árbitro...</t>
  </si>
  <si>
    <t xml:space="preserve">Permite que el juego continúe con ese balón.</t>
  </si>
  <si>
    <t xml:space="preserve">Detiene el juego y lo sustituye por otro.</t>
  </si>
  <si>
    <t xml:space="preserve">Lo sustituye en la siguiente interrupción.</t>
  </si>
  <si>
    <t xml:space="preserve">Regla 2.1: el balón debe «tener un peso comprendido entre 410 y 450 g (14-16 oz) al comienzo del partido». El peso solo se exige al comienzo; solo se sustituye si el balón pierde sus propiedades.</t>
  </si>
  <si>
    <t xml:space="preserve">Regla 2.1</t>
  </si>
  <si>
    <t xml:space="preserve">RJ2-038</t>
  </si>
  <si>
    <t xml:space="preserve">Un club solicita utilizar en un partido juvenil un balón de circunferencia inferior a la mínima reglamentaria, alegando la edad de los jugadores. ¿Es correcto?</t>
  </si>
  <si>
    <t xml:space="preserve">No, salvo que el reglamento de la competición lo prevea para esa categoría.</t>
  </si>
  <si>
    <t xml:space="preserve">Sí, las categorías inferiores pueden usar un balón menor sin autorización.</t>
  </si>
  <si>
    <t xml:space="preserve">No, ni siquiera el reglamento de la competición puede modificar el balón.</t>
  </si>
  <si>
    <t xml:space="preserve">Las especificaciones del balón pueden variar en determinadas categorías si así lo prevé expresamente el reglamento de la competición.</t>
  </si>
  <si>
    <t xml:space="preserve">RJ2-040</t>
  </si>
  <si>
    <t xml:space="preserve">Al comienzo del partido, un balón tiene una circunferencia de 68 cm, pesa 452 g y su presión es la reglamentaria. ¿Cumple la Regla 2?</t>
  </si>
  <si>
    <t xml:space="preserve">No, porque su peso supera el máximo de 450 g.</t>
  </si>
  <si>
    <t xml:space="preserve">Sí, cumple las especificaciones de circunferencia, peso y presión.</t>
  </si>
  <si>
    <t xml:space="preserve">No, porque su circunferencia es inferior al mínimo de 70 cm.</t>
  </si>
  <si>
    <t xml:space="preserve">El balón debe pesar entre 410 y 450 g al comienzo del partido; con 452 g supera el máximo permitido, aunque la circunferencia de 68 cm sí esté dentro del rango de 68 a 70 cm.</t>
  </si>
  <si>
    <t xml:space="preserve">RJ2-041</t>
  </si>
  <si>
    <t xml:space="preserve">Durante el descanso se cambia el balón oficial por otro idéntico, pero de una marca distinta a la autorizada por el reglamento de la competición, sin comunicarlo al árbitro. ¿Puede usarse en la segunda parte?</t>
  </si>
  <si>
    <t xml:space="preserve">No, el árbitro debe autorizarlo y comprobar que cumple el reglamento.</t>
  </si>
  <si>
    <t xml:space="preserve">Sí, basta con que cumpla las especificaciones generales de la Regla 2.</t>
  </si>
  <si>
    <t xml:space="preserve">Sí, si el cambio se ha realizado durante el descanso del partido.</t>
  </si>
  <si>
    <t xml:space="preserve">El árbitro es responsable de que el balón utilizado cumpla tanto las especificaciones generales de la Regla 2 como, en su caso, las exigencias adicionales que fije el reglamento de la competición sobre el balón autorizado.</t>
  </si>
  <si>
    <t xml:space="preserve">RJ2-044</t>
  </si>
  <si>
    <t xml:space="preserve">Un balón adicional entra accidentalmente en el terreno de juego e interfiere en una jugada de ataque, y el árbitro detiene el juego. ¿Cómo se reanuda el juego?</t>
  </si>
  <si>
    <t xml:space="preserve">Con un balón a tierra.</t>
  </si>
  <si>
    <t xml:space="preserve">Con un tiro libre indirecto a favor del equipo que atacaba.</t>
  </si>
  <si>
    <t xml:space="preserve">Con un tiro libre directo a favor del equipo que atacaba.</t>
  </si>
  <si>
    <t xml:space="preserve">Cuando un segundo balón entra en el terreno de juego e interfiere en el desarrollo del juego, el árbitro detendrá el juego y lo reanudará con un balón a tierra.</t>
  </si>
  <si>
    <t xml:space="preserve">RJ2-045</t>
  </si>
  <si>
    <t xml:space="preserve">En una competición no organizada bajo los auspicios de la FIFA ni de las confederaciones, un club presenta un balón sin sello de calidad que cumple las especificaciones de la Regla 2. ¿Puede utilizarse?</t>
  </si>
  <si>
    <t xml:space="preserve">Sí, salvo que el reglamento de esa competición exija el sello de calidad.</t>
  </si>
  <si>
    <t xml:space="preserve">No, todo balón de competición oficial debe llevar un sello de calidad.</t>
  </si>
  <si>
    <t xml:space="preserve">No, sin sello de calidad el balón se considera defectuoso.</t>
  </si>
  <si>
    <t xml:space="preserve">Portar uno de los sellos de calidad no es una exigencia general para cualquier balón; solo se exige obligatoriamente en las competiciones oficiales de la FIFA o las confederaciones, y de forma potestativa en las de las federaciones nacionales que así lo decidan.</t>
  </si>
  <si>
    <t xml:space="preserve">RJ3-001</t>
  </si>
  <si>
    <t xml:space="preserve">Regla 3</t>
  </si>
  <si>
    <t xml:space="preserve">Un suplente entra en el terreno de juego sin permiso del árbitro y marca un gol; el árbitro se da cuenta antes de que se reanude el juego. El árbitro...</t>
  </si>
  <si>
    <t xml:space="preserve">Anula el gol, amonesta al suplente y reanuda con tiro libre directo en el lugar de la interferencia.</t>
  </si>
  <si>
    <t xml:space="preserve">Anula el gol, amonesta al suplente y reanuda con tiro libre directo desde el área de meta.</t>
  </si>
  <si>
    <t xml:space="preserve">Anula el gol, amonesta al suplente y reanuda con balón a tierra desde el área de meta.</t>
  </si>
  <si>
    <t xml:space="preserve">Entrar al terreno de juego sin autorización del árbitro se sanciona con amonestación, anulación del gol si procede, y tiro libre directo a favor del equipo defensor desde el lugar donde se produjo la interferencia.</t>
  </si>
  <si>
    <t xml:space="preserve">RJ3-002</t>
  </si>
  <si>
    <t xml:space="preserve">Un jugador que va a ser sustituido se niega a abandonar el terreno de juego. El árbitro...</t>
  </si>
  <si>
    <t xml:space="preserve">Lo amonesta por conducta antideportiva.</t>
  </si>
  <si>
    <t xml:space="preserve">Lo amonesta por retrasar la reanudación del juego.</t>
  </si>
  <si>
    <t xml:space="preserve">No toma medida disciplinaria y el partido continúa.</t>
  </si>
  <si>
    <t xml:space="preserve">Regla 3 (pág. 34): «si un jugador que debe ser sustituido se negara a salir del terreno de juego, el partido continuará».</t>
  </si>
  <si>
    <t xml:space="preserve">RJ3-003</t>
  </si>
  <si>
    <t xml:space="preserve">El preparador físico, situado en la zona de calentamiento, detiene el balón antes de que salga del campo, sin intención de interferir en el juego. ¿Qué decisión toma el árbitro?</t>
  </si>
  <si>
    <t xml:space="preserve">Tiro libre directo o penal a favor del equipo contrario, y expulsión del preparador físico.</t>
  </si>
  <si>
    <t xml:space="preserve">Tiro libre indirecto en el lugar de la infracción, sin amonestación.</t>
  </si>
  <si>
    <t xml:space="preserve">Tiro libre directo o penal a favor del equipo contrario, y amonestación al preparador físico por entrar al terreno de juego sin permiso.</t>
  </si>
  <si>
    <t xml:space="preserve">Detener el balón sin intención de interferir, desde fuera del terreno, se sanciona con tiro libre indirecto en el lugar de la infracción, sin sanción disciplinaria si no hubo intención de interferir.</t>
  </si>
  <si>
    <t xml:space="preserve">Regla 3 / Regla 12</t>
  </si>
  <si>
    <t xml:space="preserve">RJ3-004</t>
  </si>
  <si>
    <t xml:space="preserve">Un equipo presenta solo nueve jugadores nombrados en el saque inicial. ¿Pueden incorporarse al partido los dos jugadores que faltaban una vez comenzado?</t>
  </si>
  <si>
    <t xml:space="preserve">Sí, siempre que el árbitro conociera sus nombres antes del comienzo y las reglas de la competición lo permitan.</t>
  </si>
  <si>
    <t xml:space="preserve">No, deben estar presentes antes del comienzo del encuentro, sin excepción prevista en las Reglas de Juego.</t>
  </si>
  <si>
    <t xml:space="preserve">Sí, siempre que el árbitro conociera sus nombres antes del comienzo, aunque las reglas de la competición no lo permitan.</t>
  </si>
  <si>
    <t xml:space="preserve">Los jugadores pueden incorporarse una vez comenzado el partido si el árbitro conocía sus nombres previamente y el reglamento de la competición lo permite.</t>
  </si>
  <si>
    <t xml:space="preserve">RJ3-005</t>
  </si>
  <si>
    <t xml:space="preserve">Un jugador incluido en la lista del equipo es expulsado mientras realiza el calentamiento, 20 minutos antes del comienzo del partido. ¿Qué ocurre?</t>
  </si>
  <si>
    <t xml:space="preserve">El equipo empieza el partido con un jugador menos.</t>
  </si>
  <si>
    <t xml:space="preserve">No se puede expulsar a ningún jugador antes del saque inicial.</t>
  </si>
  <si>
    <t xml:space="preserve">En su lugar juega un suplente, y no se cuenta como sustitución.</t>
  </si>
  <si>
    <t xml:space="preserve">Si la expulsión se produce antes del inicio del partido, el jugador expulsado puede ser reemplazado por un suplente sin que compute como sustitución.</t>
  </si>
  <si>
    <t xml:space="preserve">RJ3-006</t>
  </si>
  <si>
    <t xml:space="preserve">Un suplente que está calentando detrás de la portería entra al terreno de juego e impide con el pie una oportunidad manifiesta de gol. ¿Qué decisión toma el árbitro?</t>
  </si>
  <si>
    <t xml:space="preserve">Lo amonesta y reanuda con tiro libre directo o penal.</t>
  </si>
  <si>
    <t xml:space="preserve">Lo expulsa y reanuda con tiro libre directo o penal.</t>
  </si>
  <si>
    <t xml:space="preserve">Lo expulsa y reanuda con tiro libre indirecto.</t>
  </si>
  <si>
    <t xml:space="preserve">Impedir una ocasión manifiesta de gol mediante la entrada ilegal de un suplente se sanciona con expulsión y tiro libre directo o penal según el lugar de la infracción.</t>
  </si>
  <si>
    <t xml:space="preserve">RJ3-007</t>
  </si>
  <si>
    <t xml:space="preserve">¿Puede comenzar un partido un equipo con menos de 7 jugadores?</t>
  </si>
  <si>
    <t xml:space="preserve">No, el partido no puede comenzar con menos de 7 jugadores.</t>
  </si>
  <si>
    <t xml:space="preserve">Sí, si lo permite el reglamento de la competición.</t>
  </si>
  <si>
    <t xml:space="preserve">Sí, en partidos amistosos.</t>
  </si>
  <si>
    <t xml:space="preserve">La Regla 3 exige un mínimo de 7 jugadores por equipo para poder comenzar el partido, sin excepciones por tipo de competición.</t>
  </si>
  <si>
    <t xml:space="preserve">RJ3-008</t>
  </si>
  <si>
    <t xml:space="preserve">Un guardameta y un jugador de campo intercambian su puesto sin avisar al árbitro. ¿Qué decisión toma el árbitro?</t>
  </si>
  <si>
    <t xml:space="preserve">Permite que el juego continúe y apercibe verbalmente a ambos cuando el balón deje de estar en juego.</t>
  </si>
  <si>
    <t xml:space="preserve">Permite que el juego continúe y amonesta a ambos cuando el balón deje de estar en juego.</t>
  </si>
  <si>
    <t xml:space="preserve">Detiene el juego, reanuda con tiro libre indirecto y amonesta a ambos por el cambio no autorizado.</t>
  </si>
  <si>
    <t xml:space="preserve">El intercambio de puesto entre guardameta y jugador de campo sin autorización se sanciona, en la siguiente interrupción, con amonestación a ambos jugadores, sin necesidad de detener el juego en el momento.</t>
  </si>
  <si>
    <t xml:space="preserve">RJ3-009</t>
  </si>
  <si>
    <t xml:space="preserve">¿Cuál es el número mínimo de futbolistas necesario, según la Regla 3, para que un equipo pueda continuar un partido ya iniciado sin darlo por finalizado?</t>
  </si>
  <si>
    <t xml:space="preserve">6 jugadores.</t>
  </si>
  <si>
    <t xml:space="preserve">7 jugadores.</t>
  </si>
  <si>
    <t xml:space="preserve">8 jugadores.</t>
  </si>
  <si>
    <t xml:space="preserve">El mínimo de 7 jugadores exigido para iniciar un partido es también el umbral por debajo del cual el partido no puede continuar.</t>
  </si>
  <si>
    <t xml:space="preserve">RJ3-010</t>
  </si>
  <si>
    <t xml:space="preserve">El árbitro inspecciona el equipamiento del suplente a la altura de la línea de medio campo antes de permitir una sustitución. ¿Cuándo empieza a contar el plazo de diez segundos del sustituido?</t>
  </si>
  <si>
    <t xml:space="preserve">Cuando la inspección haya terminado y el árbitro indique que se efectúe la sustitución.</t>
  </si>
  <si>
    <t xml:space="preserve">Cuando el árbitro comienza a inspeccionar el equipamiento del suplente.</t>
  </si>
  <si>
    <t xml:space="preserve">Cuando el cuarto árbitro muestra el tablero, aunque la inspección no haya concluido.</t>
  </si>
  <si>
    <t xml:space="preserve">Según el protocolo del límite de tiempo en las sustituciones, si el árbitro inspecciona el equipamiento del suplente en la línea de medio campo, los diez segundos empiezan cuando la inspección ha terminado y el árbitro indica que se efectúe la sustitución.</t>
  </si>
  <si>
    <t xml:space="preserve">Regla 3.3 / Procedimiento de sustitución</t>
  </si>
  <si>
    <t xml:space="preserve">RJ3-011</t>
  </si>
  <si>
    <t xml:space="preserve">Un jugador sustituido se encuentra muy cerca de la línea de banda, cruzándola, cuando el árbitro termina la cuenta atrás de cinco segundos del plazo de diez. ¿Qué decide el árbitro?</t>
  </si>
  <si>
    <t xml:space="preserve">Permite que el suplente entre en el terreno de juego.</t>
  </si>
  <si>
    <t xml:space="preserve">No permite que el suplente entre hasta que transcurra un minuto desde la reanudación.</t>
  </si>
  <si>
    <t xml:space="preserve">Amonesta al jugador sustituido por retrasar la reanudación.</t>
  </si>
  <si>
    <t xml:space="preserve">Como la finalidad de la cuenta atrás es impedir pérdidas de tiempo, si el jugador sustituido está muy cerca de la línea o cruzándola al terminar la cuenta, se permite que el suplente entre.</t>
  </si>
  <si>
    <t xml:space="preserve">RJ3-012</t>
  </si>
  <si>
    <t xml:space="preserve">Regla 4</t>
  </si>
  <si>
    <t xml:space="preserve">¿Es obligatorio que el capitán de un equipo lleve un brazalete distintivo?</t>
  </si>
  <si>
    <t xml:space="preserve">Sí, es una obligación general, pero su diseño puede quedar sujeto al reglamento de la competición.</t>
  </si>
  <si>
    <t xml:space="preserve">Sí, en todas las categorías, con un diseño fijado por las Reglas de Juego.</t>
  </si>
  <si>
    <t xml:space="preserve">No es obligatorio, quedando su uso a la libre elección de cada capitán antes del partido.</t>
  </si>
  <si>
    <t xml:space="preserve">El capitán debe llevar un brazalete distintivo; su diseño concreto (colores, inscripciones) puede quedar sujeto a lo que autorice el reglamento de cada competición.</t>
  </si>
  <si>
    <t xml:space="preserve">RJ3-013</t>
  </si>
  <si>
    <t xml:space="preserve">Durante una sustitución, ¿por dónde debe entrar el jugador suplente al terreno de juego, con carácter general?</t>
  </si>
  <si>
    <t xml:space="preserve">Por la línea de banda a la altura de la línea media, tras recibir la señal del árbitro, salvo excepciones autorizadas por él.</t>
  </si>
  <si>
    <t xml:space="preserve">Por cualquier punto de la línea de banda, tras recibir la señal del árbitro, salvo excepciones autorizadas por él.</t>
  </si>
  <si>
    <t xml:space="preserve">Por la zona donde se encuentre el banquillo de su equipo, sin necesidad de señal del árbitro.</t>
  </si>
  <si>
    <t xml:space="preserve">Con carácter general, el suplente solo puede entrar al terreno de juego por la línea de banda a la altura de la línea media (línea central), tras recibir la señal del árbitro, salvo que este autorice otra ubicación.</t>
  </si>
  <si>
    <t xml:space="preserve">RJ3-014</t>
  </si>
  <si>
    <t xml:space="preserve">Un gol es anotado. Antes de reanudarse el juego el árbitro comprueba que un suplente del equipo que recibió el gol estaba en el campo, pero no interfirió en el juego. ¿Qué decisión toma?</t>
  </si>
  <si>
    <t xml:space="preserve">Concede el gol y ordena que el suplente salga del terreno de juego.</t>
  </si>
  <si>
    <t xml:space="preserve">Anula el gol y reanuda con un libre directo desde la posición del suplente.</t>
  </si>
  <si>
    <t xml:space="preserve">Anula el gol y reanuda con un balón a tierra.</t>
  </si>
  <si>
    <t xml:space="preserve">Se concede el gol si la persona no autorizada pertenece al equipo que recibió el gol, o si es un agente externo que no interfirió. En todos los casos se ordena que salga del terreno de juego.</t>
  </si>
  <si>
    <t xml:space="preserve">Regla 3.9 / Gol con una persona no autorizada</t>
  </si>
  <si>
    <t xml:space="preserve">RJ3-015</t>
  </si>
  <si>
    <t xml:space="preserve">En una competición que aplica la disposición de que solo el capitán pueda acercarse al árbitro, el capitán es el guardameta. ¿Cuándo debe informarse al árbitro de qué jugador es el designado para acercarse en su lugar?</t>
  </si>
  <si>
    <t xml:space="preserve">Antes del lanzamiento de la moneda al aire previo al saque inicial.</t>
  </si>
  <si>
    <t xml:space="preserve">En cuanto se produzca el primer incidente que requiera hablar con el árbitro.</t>
  </si>
  <si>
    <t xml:space="preserve">Al presentar la lista de suplentes antes del partido.</t>
  </si>
  <si>
    <t xml:space="preserve">Si el guardameta es el capitán, antes del lanzamiento de la moneda se informa al árbitro del jugador designado; solo podrá acercarse el guardameta o el designado, nunca ambos.</t>
  </si>
  <si>
    <t xml:space="preserve">Protocolo del capitán / Capitán guardameta</t>
  </si>
  <si>
    <t xml:space="preserve">RJ3-016</t>
  </si>
  <si>
    <t xml:space="preserve">Durante el partido, un equipo se queda con seis jugadores porque varios de ellos abandonan voluntariamente el terreno de juego. El árbitro...</t>
  </si>
  <si>
    <t xml:space="preserve">Puede aplicar la ventaja, pero no reanudará el juego cuando este se detenga.</t>
  </si>
  <si>
    <t xml:space="preserve">Detiene el juego de inmediato y da por finalizado el partido en ese momento.</t>
  </si>
  <si>
    <t xml:space="preserve">Deja que el juego continúe y permite las reanudaciones posteriores del juego.</t>
  </si>
  <si>
    <t xml:space="preserve">Si un equipo acaba con menos de siete jugadores por abandono voluntario, el árbitro no está obligado a detener el juego y podrá otorgar ventaja, pero el partido no deberá reanudarse una vez que el balón no esté en juego si el equipo no cuenta con siete jugadores como mínimo.</t>
  </si>
  <si>
    <t xml:space="preserve">Regla 3 / Número de jugadores</t>
  </si>
  <si>
    <t xml:space="preserve">RJ3-017</t>
  </si>
  <si>
    <t xml:space="preserve">Si el reglamento de la competición exige dar a conocer el nombre de todos los jugadores y suplentes antes del saque inicial, y un equipo comienza con menos de once jugadores, ¿quién podrá incorporarse posteriormente al llegar?</t>
  </si>
  <si>
    <t xml:space="preserve">Los jugadores y suplentes que figuren en la alineación inicial facilitada.</t>
  </si>
  <si>
    <t xml:space="preserve">Cualquier jugador de la plantilla, aunque no figurase en la alineación inicial.</t>
  </si>
  <si>
    <t xml:space="preserve">El guardameta titular, si no estuviera presente al inicio del encuentro.</t>
  </si>
  <si>
    <t xml:space="preserve">En ese supuesto, únicamente los jugadores y suplentes que figuren en la alineación inicial podrán participar en el partido en cuanto lleguen.</t>
  </si>
  <si>
    <t xml:space="preserve">RJ3-018</t>
  </si>
  <si>
    <t xml:space="preserve">En el supuesto de que solo el capitán pueda acercarse al árbitro, el capitán es el guardameta y el jugador designado para acercarse es sustituido. ¿Qué ocurre?</t>
  </si>
  <si>
    <t xml:space="preserve">Se designará otro jugador.</t>
  </si>
  <si>
    <t xml:space="preserve">El guardameta pasa a ser el único que puede acercarse al árbitro.</t>
  </si>
  <si>
    <t xml:space="preserve">Ya no habrá nadie designado y podrán acercarse todos los jugadores.</t>
  </si>
  <si>
    <t xml:space="preserve">Solo el guardameta o el jugador designado, en ningún caso ambos, podrá aproximarse al árbitro. Si el jugador designado es sustituido o expulsado, se designará otro jugador.</t>
  </si>
  <si>
    <t xml:space="preserve">RJ3-019</t>
  </si>
  <si>
    <t xml:space="preserve">En una competición del primer equipo de la máxima categoría donde el reglamento permite un máximo de cinco sustituciones, ¿cuántas oportunidades de sustitución dispone cada equipo, sin contar el descanso?</t>
  </si>
  <si>
    <t xml:space="preserve">Un máximo de tres oportunidades.</t>
  </si>
  <si>
    <t xml:space="preserve">Un máximo de cinco oportunidades.</t>
  </si>
  <si>
    <t xml:space="preserve">Un máximo de dos oportunidades.</t>
  </si>
  <si>
    <t xml:space="preserve">Ambos equipos dispondrán de un máximo de tres oportunidades para proceder con las sustituciones, además de las que puedan realizar durante el descanso.</t>
  </si>
  <si>
    <t xml:space="preserve">Regla 3 / Número de sustituciones</t>
  </si>
  <si>
    <t xml:space="preserve">RJ3-020</t>
  </si>
  <si>
    <t xml:space="preserve">Ambos equipos solicitan realizar una sustitución exactamente al mismo tiempo. ¿Cómo afecta esto al número de oportunidades de sustitución de cada uno?</t>
  </si>
  <si>
    <t xml:space="preserve">Se restará una oportunidad de sustitución a cada uno de los equipos.</t>
  </si>
  <si>
    <t xml:space="preserve">No se descuenta ninguna oportunidad a ninguno de los dos equipos por coincidir en el tiempo.</t>
  </si>
  <si>
    <t xml:space="preserve">Se descuentan dos oportunidades al equipo que lo solicitó primero.</t>
  </si>
  <si>
    <t xml:space="preserve">Si ambos equipos realizan una sustitución al mismo tiempo, se restará una oportunidad de sustitución a cada uno de ellos.</t>
  </si>
  <si>
    <t xml:space="preserve">RJ3-021</t>
  </si>
  <si>
    <t xml:space="preserve">Un equipo solicita y realiza tres sustituciones distintas en el mismo momento en que el juego está detenido. ¿Cuántas oportunidades de sustitución consume?</t>
  </si>
  <si>
    <t xml:space="preserve">Una sola oportunidad de sustitución.</t>
  </si>
  <si>
    <t xml:space="preserve">Tres oportunidades de sustitución, una por cada cambio.</t>
  </si>
  <si>
    <t xml:space="preserve">Dos oportunidades de sustitución.</t>
  </si>
  <si>
    <t xml:space="preserve">Si un equipo solicita o realiza múltiples sustituciones en el mismo momento en que el juego está detenido, estas contarán como una sola oportunidad de sustitución.</t>
  </si>
  <si>
    <t xml:space="preserve">RJ3-022</t>
  </si>
  <si>
    <t xml:space="preserve">Al finalizar el tiempo reglamentario, un equipo no ha agotado el número máximo de suplentes ni de oportunidades de sustitución. Si se disputa la prórroga:</t>
  </si>
  <si>
    <t xml:space="preserve">Podrá disponer de los suplentes y oportunidades restantes.</t>
  </si>
  <si>
    <t xml:space="preserve">Perderá los suplentes y oportunidades que no haya utilizado.</t>
  </si>
  <si>
    <t xml:space="preserve">Podrá disponer de la mitad de los suplentes y oportunidades restantes.</t>
  </si>
  <si>
    <t xml:space="preserve">Si los equipos no hubieran utilizado el número máximo de suplentes o no hubieran agotado el número máximo de oportunidades, durante la prórroga podrán disponer de los suplentes o las oportunidades restantes.</t>
  </si>
  <si>
    <t xml:space="preserve">RJ3-023</t>
  </si>
  <si>
    <t xml:space="preserve">Cuando el reglamento de la competición autoriza el empleo de un suplente adicional durante la prórroga, ¿qué oportunidad adicional reciben los equipos?</t>
  </si>
  <si>
    <t xml:space="preserve">Una oportunidad de sustitución adicional cada uno.</t>
  </si>
  <si>
    <t xml:space="preserve">Dos oportunidades de sustitución adicionales cada uno.</t>
  </si>
  <si>
    <t xml:space="preserve">Una oportunidad de sustitución adicional para el equipo que la solicite.</t>
  </si>
  <si>
    <t xml:space="preserve">Cuando el reglamento autorice un suplente más durante la prórroga, los dos equipos contarán con una oportunidad de sustitución adicional.</t>
  </si>
  <si>
    <t xml:space="preserve">RJ3-024</t>
  </si>
  <si>
    <t xml:space="preserve">¿Cuentan como oportunidad de sustitución los cambios realizados en el intervalo de cambio de campo entre las dos partes de la prórroga?</t>
  </si>
  <si>
    <t xml:space="preserve">No, esas sustituciones no contarán como oportunidades de sustitución.</t>
  </si>
  <si>
    <t xml:space="preserve">Sí, esas sustituciones cuentan como oportunidades de sustitución.</t>
  </si>
  <si>
    <t xml:space="preserve">No, salvo que se realice más de un cambio en ese intervalo.</t>
  </si>
  <si>
    <t xml:space="preserve">Podrán realizarse sustituciones en el intervalo de cambio de campos a la conclusión de la primera parte de la prórroga, y estas sustituciones no contarán como oportunidades de sustitución.</t>
  </si>
  <si>
    <t xml:space="preserve">RJ3-025</t>
  </si>
  <si>
    <t xml:space="preserve">¿Qué debe estipular el reglamento de la competición en relación con el número máximo de suplentes que podrán inscribirse?</t>
  </si>
  <si>
    <t xml:space="preserve">Un número de tres a un máximo de quince.</t>
  </si>
  <si>
    <t xml:space="preserve">Un número de cinco a un máximo de quince.</t>
  </si>
  <si>
    <t xml:space="preserve">Un número de tres a un máximo de veinte.</t>
  </si>
  <si>
    <t xml:space="preserve">El reglamento de la competición deberá estipular el número máximo de suplentes que podrán inscribirse, de tres a un máximo de quince.</t>
  </si>
  <si>
    <t xml:space="preserve">RJ3-026</t>
  </si>
  <si>
    <t xml:space="preserve">En partidos de selecciones nacionales absolutas, ¿cuál es el número máximo de suplentes que se podrán utilizar salvo acuerdo distinto entre los equipos?</t>
  </si>
  <si>
    <t xml:space="preserve">Un máximo de ocho.</t>
  </si>
  <si>
    <t xml:space="preserve">Un máximo de cinco.</t>
  </si>
  <si>
    <t xml:space="preserve">Un máximo de once.</t>
  </si>
  <si>
    <t xml:space="preserve">En partidos de selecciones nacionales absolutas se podrá utilizar un máximo de ocho suplentes, a menos que los equipos acuerden utilizar más, hasta un máximo de once.</t>
  </si>
  <si>
    <t xml:space="preserve">RJ3-027</t>
  </si>
  <si>
    <t xml:space="preserve">En partidos de selecciones nacionales absolutas, si ambos equipos acuerdan utilizar más de ocho suplentes, ¿cuál es el límite máximo permitido y qué requisito debe cumplirse?</t>
  </si>
  <si>
    <t xml:space="preserve">Un máximo de once suplentes, debiendo informar al árbitro antes del partido.</t>
  </si>
  <si>
    <t xml:space="preserve">Un máximo de quince suplentes, debiendo informar al árbitro antes del partido.</t>
  </si>
  <si>
    <t xml:space="preserve">Un máximo de once suplentes, debiendo informar al árbitro al finalizar el encuentro.</t>
  </si>
  <si>
    <t xml:space="preserve">Si los equipos acuerdan utilizar más sustituciones, el máximo será de once, debiendo informar al árbitro antes del partido.</t>
  </si>
  <si>
    <t xml:space="preserve">RJ3-028</t>
  </si>
  <si>
    <t xml:space="preserve">En partidos distintos de competición oficial FIFA/confederaciones/federaciones y de selecciones nacionales absolutas, si no se informa al árbitro ni se llega a un acuerdo antes del inicio sobre el número de suplentes, ¿cuántos suplentes podrá utilizar cada equipo como máximo?</t>
  </si>
  <si>
    <t xml:space="preserve">Un máximo de seis suplentes.</t>
  </si>
  <si>
    <t xml:space="preserve">Un máximo de cinco suplentes.</t>
  </si>
  <si>
    <t xml:space="preserve">Un número ilimitado de suplentes.</t>
  </si>
  <si>
    <t xml:space="preserve">Si el árbitro no ha sido informado o no se ha llegado a un acuerdo antes del inicio del partido, a cada equipo se le permitirá utilizar como máximo seis suplentes.</t>
  </si>
  <si>
    <t xml:space="preserve">RJ3-029</t>
  </si>
  <si>
    <t xml:space="preserve">¿En qué categorías está permitido el uso de sustituciones ilimitadas según la Regla 3?</t>
  </si>
  <si>
    <t xml:space="preserve">En fútbol juvenil, de veteranos, de personas con discapacidad y fútbol base, si lo aprueba la federación, confederación o FIFA.</t>
  </si>
  <si>
    <t xml:space="preserve">En fútbol juvenil, de veteranos y fútbol base, si lo aprueba la federación, confederación o FIFA.</t>
  </si>
  <si>
    <t xml:space="preserve">En fútbol juvenil, de veteranos, de personas con discapacidad y fútbol base, sin necesidad de aprobación de la federación, confederación o FIFA.</t>
  </si>
  <si>
    <t xml:space="preserve">El uso de sustituciones ilimitadas está permitido exclusivamente en fútbol juvenil, de veteranos, de personas con discapacidad y fútbol base, siempre que lo apruebe la federación nacional, la confederación o la FIFA.</t>
  </si>
  <si>
    <t xml:space="preserve">RJ3-030</t>
  </si>
  <si>
    <t xml:space="preserve">¿Qué permite el protocolo de sustituciones adicionales permanentes contenido en el apartado de Observaciones y adaptaciones?</t>
  </si>
  <si>
    <t xml:space="preserve">Que las competiciones autoricen sustituciones adicionales permanentes por conmoción cerebral.</t>
  </si>
  <si>
    <t xml:space="preserve">Que las competiciones autoricen sustituciones adicionales temporales por lesión de cualquier tipo.</t>
  </si>
  <si>
    <t xml:space="preserve">Que las competiciones eliminen el límite de suplentes inscritos en el acta del partido.</t>
  </si>
  <si>
    <t xml:space="preserve">Las competiciones pueden permitir sustituciones adicionales permanentes por conmoción cerebral, de acuerdo con el protocolo correspondiente.</t>
  </si>
  <si>
    <t xml:space="preserve">RJ3-031</t>
  </si>
  <si>
    <t xml:space="preserve">Antes del comienzo del partido, un equipo no facilita al árbitro el nombre de uno de sus suplentes. Ese suplente:</t>
  </si>
  <si>
    <t xml:space="preserve">No podrá participar en el partido.</t>
  </si>
  <si>
    <t xml:space="preserve">Podrá participar si el entrenador lo solicita al cuarto árbitro.</t>
  </si>
  <si>
    <t xml:space="preserve">Podrá participar si su nombre se facilita antes del descanso.</t>
  </si>
  <si>
    <t xml:space="preserve">Antes del comienzo del partido, deberá entregarse al árbitro la lista de suplentes.</t>
  </si>
  <si>
    <t xml:space="preserve">Regla 3 / Procedimiento de sustitución</t>
  </si>
  <si>
    <t xml:space="preserve">RJ3-032</t>
  </si>
  <si>
    <t xml:space="preserve">Un jugador no figuraba en la lista de suplentes entregada al árbitro antes del partido. ¿Podrá participar posteriormente como sustituto?</t>
  </si>
  <si>
    <t xml:space="preserve">No, aquellos cuyo nombre no haya sido facilitado en ese momento no podrán participar en el partido.</t>
  </si>
  <si>
    <t xml:space="preserve">Sí, si se comunica verbalmente al árbitro antes del descanso, con permiso del cuarto árbitro.</t>
  </si>
  <si>
    <t xml:space="preserve">Sí, si el equipo contrario no se opone expresamente ante el árbitro antes de su entrada.</t>
  </si>
  <si>
    <t xml:space="preserve">Aquellos jugadores cuyo nombre no haya sido facilitado en la lista de suplentes en el momento oportuno no podrán participar en el partido.</t>
  </si>
  <si>
    <t xml:space="preserve">RJ3-034</t>
  </si>
  <si>
    <t xml:space="preserve">¿Por dónde debe abandonar el terreno de juego, con carácter general, el jugador que va a ser sustituido?</t>
  </si>
  <si>
    <t xml:space="preserve">Por el punto más cercano de la línea delimitadora del campo, salvo indicación distinta del árbitro.</t>
  </si>
  <si>
    <t xml:space="preserve">Por la línea central, igual que el suplente que entra, salvo indicación distinta del árbitro.</t>
  </si>
  <si>
    <t xml:space="preserve">Por el punto que elija el propio jugador sustituido, salvo indicación distinta del árbitro.</t>
  </si>
  <si>
    <t xml:space="preserve">El jugador que va a ser sustituido abandonará el terreno de juego por el punto más cercano de la línea delimitadora del campo, salvo que el árbitro le indique otra cosa (por ejemplo, por razones de seguridad o lesión).</t>
  </si>
  <si>
    <t xml:space="preserve">RJ3-035</t>
  </si>
  <si>
    <t xml:space="preserve">¿En qué plazo máximo debe abandonar el terreno de juego el jugador sustituido desde que se muestra el tablero de sustituciones o el árbitro señala que puede efectuarse el cambio?</t>
  </si>
  <si>
    <t xml:space="preserve">Diez segundos.</t>
  </si>
  <si>
    <t xml:space="preserve">Treinta segundos.</t>
  </si>
  <si>
    <t xml:space="preserve">El jugador sustituido deberá estar fuera del terreno de juego en el plazo máximo de diez segundos, salvo que esta disposición no se pudiera cumplir por razones de seguridad o lesión.</t>
  </si>
  <si>
    <t xml:space="preserve">RJ3-036</t>
  </si>
  <si>
    <t xml:space="preserve">Se producen varias sustituciones durante la misma oportunidad de cambio. ¿Desde qué momento se cuenta el plazo de diez segundos para que los jugadores sustituidos abandonen el terreno de juego?</t>
  </si>
  <si>
    <t xml:space="preserve">Desde el momento en que se indique la última sustitución de ese grupo.</t>
  </si>
  <si>
    <t xml:space="preserve">Desde el momento en que se indique la primera sustitución de ese grupo.</t>
  </si>
  <si>
    <t xml:space="preserve">El plazo se cuenta de forma independiente para cada jugador sustituido, desde su propia señal individual.</t>
  </si>
  <si>
    <t xml:space="preserve">Si se producen varias sustituciones durante la misma oportunidad, todos los jugadores sustituidos deberán salir del terreno de juego en el plazo de diez segundos a partir de la última sustitución indicada.</t>
  </si>
  <si>
    <t xml:space="preserve">RJ3-037</t>
  </si>
  <si>
    <t xml:space="preserve">Un jugador que debe ser sustituido se niega a abandonar el terreno de juego cuando se le indica. ¿Qué ocurre con el partido según la Regla 3?</t>
  </si>
  <si>
    <t xml:space="preserve">El partido continuará, sin que el árbitro deba suspenderlo.</t>
  </si>
  <si>
    <t xml:space="preserve">El partido se suspende de inmediato por desobediencia del jugador.</t>
  </si>
  <si>
    <t xml:space="preserve">El partido se reanuda con tiro libre indirecto para el equipo contrario.</t>
  </si>
  <si>
    <t xml:space="preserve">Si un jugador que debe ser sustituido se negara a salir del terreno de juego, el partido continuará.</t>
  </si>
  <si>
    <t xml:space="preserve">RJ3-039</t>
  </si>
  <si>
    <t xml:space="preserve">¿En qué momento se considera que una sustitución es efectiva, es decir, cuándo el jugador que sale pasa a ser jugador sustituido y el suplente pasa a ser jugador?</t>
  </si>
  <si>
    <t xml:space="preserve">Cuando el suplente entra en el terreno de juego.</t>
  </si>
  <si>
    <t xml:space="preserve">Cuando el árbitro autoriza la sustitución, aunque el suplente aún no haya entrado.</t>
  </si>
  <si>
    <t xml:space="preserve">Cuando el jugador que sale abandona el terreno de juego.</t>
  </si>
  <si>
    <t xml:space="preserve">Las sustituciones serán efectivas cuando el suplente entre en el terreno de juego; desde ese momento, el que se retira pasa a ser jugador sustituido y el suplente se convierte en jugador.</t>
  </si>
  <si>
    <t xml:space="preserve">RJ3-040</t>
  </si>
  <si>
    <t xml:space="preserve">Un jugador sustituido comete una falta de respeto hacia el árbitro desde la zona del banquillo. ¿Está sometido a la autoridad del árbitro?</t>
  </si>
  <si>
    <t xml:space="preserve">Sí, igual que los suplentes, haya jugado o no.</t>
  </si>
  <si>
    <t xml:space="preserve">No, una vez sustituido deja de estarlo.</t>
  </si>
  <si>
    <t xml:space="preserve">Solo mientras permanezca en el banquillo.</t>
  </si>
  <si>
    <t xml:space="preserve">Tanto los jugadores sustituidos como los suplentes están sometidos a la autoridad del árbitro, independientemente de que lleguen a jugar o no.</t>
  </si>
  <si>
    <t xml:space="preserve">RJ3-041</t>
  </si>
  <si>
    <t xml:space="preserve">Un jugador sustituido no abandona el terreno de juego en el plazo de diez segundos, sin que existan razones de seguridad o de lesión. El árbitro...</t>
  </si>
  <si>
    <t xml:space="preserve">Lo amonesta solo si retrasa excesivamente la reanudación, y el jugador debe salir igualmente.</t>
  </si>
  <si>
    <t xml:space="preserve">Anula la sustitución y permite que el jugador continúe en el terreno de juego.</t>
  </si>
  <si>
    <t xml:space="preserve">Lo expulsa por incumplir el plazo de salida, y el jugador debe salir igualmente.</t>
  </si>
  <si>
    <t xml:space="preserve">Si el jugador sustituido no sale en el plazo máximo de diez segundos, deberá salir de todas formas y solo recibirá amonestación si retrasa excesivamente la reanudación del juego durante más de diez segundos.</t>
  </si>
  <si>
    <t xml:space="preserve">RJ3-042</t>
  </si>
  <si>
    <t xml:space="preserve">El jugador sustituido no abandona el terreno de juego en el plazo exigido. ¿Cuándo podrá entrar el suplente?</t>
  </si>
  <si>
    <t xml:space="preserve">Con permiso del árbitro, en la primera interrupción tras un minuto desde la reanudación.</t>
  </si>
  <si>
    <t xml:space="preserve">En cuanto el jugador sustituido haya abandonado el terreno de juego.</t>
  </si>
  <si>
    <t xml:space="preserve">Con permiso del árbitro, en la primera interrupción del juego tras la reanudación.</t>
  </si>
  <si>
    <t xml:space="preserve">El suplente no podrá entrar en el terreno de juego todavía; el juego se reanudará y el suplente podrá entrar únicamente con permiso del árbitro durante la primera interrupción del juego, transcurrido un minuto desde la reanudación.</t>
  </si>
  <si>
    <t xml:space="preserve">RJ3-043</t>
  </si>
  <si>
    <t xml:space="preserve">Durante el descanso se realiza una sustitución sin informar al árbitro y el suplente comienza a jugar la segunda parte. ¿Qué establece la Regla 3?</t>
  </si>
  <si>
    <t xml:space="preserve">El suplente seguirá jugando, sin medida disciplinaria, y se informará a las autoridades competentes.</t>
  </si>
  <si>
    <t xml:space="preserve">El suplente deberá abandonar el terreno de juego en cuanto se detecte la irregularidad.</t>
  </si>
  <si>
    <t xml:space="preserve">El suplente seguirá jugando, pero será amonestado en la siguiente interrupción del juego.</t>
  </si>
  <si>
    <t xml:space="preserve">Si no se informara al árbitro de una sustitución realizada durante el descanso, el suplente podrá seguir jugando, no se tomará ninguna medida disciplinaria y se informará de la incidencia a las autoridades competentes.</t>
  </si>
  <si>
    <t xml:space="preserve">RJ3-044</t>
  </si>
  <si>
    <t xml:space="preserve">¿Bajo qué dos condiciones puede un jugador de campo intercambiar su puesto por el del guardameta, según la Regla 3?</t>
  </si>
  <si>
    <t xml:space="preserve">Que se informe al árbitro antes del cambio y que este se efectúe mientras el juego esté detenido.</t>
  </si>
  <si>
    <t xml:space="preserve">Que lo autorice el capitán del equipo contrario y que el guardameta titular esté lesionado.</t>
  </si>
  <si>
    <t xml:space="preserve">Que se produzca durante el descanso y que ambos jugadores lleven el mismo dorsal.</t>
  </si>
  <si>
    <t xml:space="preserve">El cambio de guardameta requiere que se informe al árbitro antes de realizarse y que se efectúe mientras el juego esté detenido.</t>
  </si>
  <si>
    <t xml:space="preserve">Regla 3 / Cambio del guardameta</t>
  </si>
  <si>
    <t xml:space="preserve">RJ3-045</t>
  </si>
  <si>
    <t xml:space="preserve">Un jugador de campo y el guardameta intercambian su puesto sin informar previamente al árbitro, y el juego continúa con normalidad. ¿Qué decisión toma el árbitro en cuanto el balón deje de estar en juego?</t>
  </si>
  <si>
    <t xml:space="preserve">Permitirá que prosiga el juego y amonestará a ambos jugadores en cuanto el balón deje de estar en juego.</t>
  </si>
  <si>
    <t xml:space="preserve">Detendrá inmediatamente el juego y amonestará a ambos jugadores.</t>
  </si>
  <si>
    <t xml:space="preserve">Permitirá que prosiga el juego y expulsará a ambos jugadores en cuanto el balón deje de estar en juego.</t>
  </si>
  <si>
    <t xml:space="preserve">Si el cambio de puesto con el guardameta se produce sin autorización del árbitro, este permitirá que prosiga el juego y amonestará a ambos jugadores en cuanto el balón deje de estar en juego.</t>
  </si>
  <si>
    <t xml:space="preserve">RJ3-046</t>
  </si>
  <si>
    <t xml:space="preserve">Durante el descanso del medio tiempo, un jugador de campo y el guardameta intercambian su puesto sin informar al árbitro. El árbitro...</t>
  </si>
  <si>
    <t xml:space="preserve">Amonesta a ambos en cuanto el balón deje de estar en juego.</t>
  </si>
  <si>
    <t xml:space="preserve">Amonesta a ambos antes de reanudar la segunda parte.</t>
  </si>
  <si>
    <t xml:space="preserve">La amonestación se aplica en cuanto el balón deje de estar en juego, excepto si el cambio se produjo durante el descanso del medio tiempo (incluido el de la prórroga) o entre el final del partido y el inicio del tiempo suplementario o la tanda de penales.</t>
  </si>
  <si>
    <t xml:space="preserve">RJ3-047</t>
  </si>
  <si>
    <t xml:space="preserve">Un suplente juega desde el inicio del partido en lugar de un jugador inscrito como titular, sin que el árbitro haya sido informado. El árbitro...</t>
  </si>
  <si>
    <t xml:space="preserve">Permite que siga jugando, sin medida disciplinaria, y el titular pasa a ser suplente.</t>
  </si>
  <si>
    <t xml:space="preserve">Ordena que abandone el terreno de juego en cuanto detecte la irregularidad.</t>
  </si>
  <si>
    <t xml:space="preserve">Permite que siga jugando, pero el equipo pierde una de sus sustituciones.</t>
  </si>
  <si>
    <t xml:space="preserve">En este supuesto, el árbitro permitirá que el suplente siga jugando, no se adoptarán sanciones disciplinarias, el jugador inscrito como titular podrá pasar a ser suplente y no se reducirá el número de sustituciones.</t>
  </si>
  <si>
    <t xml:space="preserve">Regla 3 / Infracciones y sanciones</t>
  </si>
  <si>
    <t xml:space="preserve">RJ3-048</t>
  </si>
  <si>
    <t xml:space="preserve">Se produce una infracción de la Regla 3 no contemplada específicamente y el árbitro detiene el juego. El árbitro...</t>
  </si>
  <si>
    <t xml:space="preserve">Amonesta a los implicados y reanuda con tiro libre indirecto donde estaba el balón.</t>
  </si>
  <si>
    <t xml:space="preserve">Amonesta a los implicados y reanuda con tiro libre directo donde estaba el balón.</t>
  </si>
  <si>
    <t xml:space="preserve">No toma medida disciplinaria y reanuda con un balón a tierra donde estaba el balón.</t>
  </si>
  <si>
    <t xml:space="preserve">En caso de cualquier otra infracción de la Regla 3, se amonestará a los jugadores implicados y se reanudará el juego con un tiro libre indirecto desde el lugar donde se hallaba el balón cuando el juego fue detenido.</t>
  </si>
  <si>
    <t xml:space="preserve">RJ3-049</t>
  </si>
  <si>
    <t xml:space="preserve">Un jugador es expulsado antes de la entrega de la lista del equipo al árbitro. ¿Puede figurar en dicha lista posteriormente?</t>
  </si>
  <si>
    <t xml:space="preserve">No, no podrá figurar en ningún puesto dentro de la lista del equipo.</t>
  </si>
  <si>
    <t xml:space="preserve">Sí, si se inscribe como suplente y no como titular.</t>
  </si>
  <si>
    <t xml:space="preserve">Sí, si el club presenta una alegación aceptada por el árbitro.</t>
  </si>
  <si>
    <t xml:space="preserve">Si un jugador es expulsado antes de la entrega de la lista del equipo, no podrá figurar en ningún puesto dentro de dicha lista.</t>
  </si>
  <si>
    <t xml:space="preserve">Regla 3 / Jugadores y suplentes expulsados</t>
  </si>
  <si>
    <t xml:space="preserve">RJ3-050</t>
  </si>
  <si>
    <t xml:space="preserve">Un jugador inscrito en la lista del equipo es expulsado antes del saque inicial. ¿Puede ser reemplazado por un suplente?</t>
  </si>
  <si>
    <t xml:space="preserve">Sí, y no se reduce el número de sustituciones permitidas.</t>
  </si>
  <si>
    <t xml:space="preserve">No, el equipo comenzará el partido con un jugador menos.</t>
  </si>
  <si>
    <t xml:space="preserve">Sí, pero se reduce el número de sustituciones permitidas.</t>
  </si>
  <si>
    <t xml:space="preserve">Tras ser inscrito en la lista del equipo y antes del saque inicial, el jugador expulsado puede ser sustituido por un suplente, cuyo puesto no podrá ser ocupado por otro jugador, sin que se reduzca el número de sustituciones permitidas.</t>
  </si>
  <si>
    <t xml:space="preserve">RJ3-051</t>
  </si>
  <si>
    <t xml:space="preserve">Un jugador titular es expulsado inmediatamente después del saque inicial del partido. ¿Puede ser sustituido por un suplente?</t>
  </si>
  <si>
    <t xml:space="preserve">No, tras el saque inicial el jugador expulsado no podrá ser sustituido.</t>
  </si>
  <si>
    <t xml:space="preserve">Sí, si se realiza dentro de los primeros cinco minutos de juego.</t>
  </si>
  <si>
    <t xml:space="preserve">Sí, si el equipo dispone todavía de oportunidades de sustitución.</t>
  </si>
  <si>
    <t xml:space="preserve">Tras el saque inicial, el jugador expulsado no podrá ser sustituido.</t>
  </si>
  <si>
    <t xml:space="preserve">RJ3-052</t>
  </si>
  <si>
    <t xml:space="preserve">Un jugador designado como suplente es expulsado antes de llegar a entrar en el terreno de juego. ¿Puede ser sustituido por otro suplente?</t>
  </si>
  <si>
    <t xml:space="preserve">No, no podrá sustituirse a un suplente expulsado, antes o después del saque inicial.</t>
  </si>
  <si>
    <t xml:space="preserve">Sí, si otro suplente no utilizado ocupa su lugar en la lista del equipo antes del saque inicial.</t>
  </si>
  <si>
    <t xml:space="preserve">Sí, si la expulsión se produjo antes del saque inicial del partido y no después.</t>
  </si>
  <si>
    <t xml:space="preserve">No podrá sustituirse a aquel jugador designado como suplente que sea expulsado, ni antes ni después del saque inicial.</t>
  </si>
  <si>
    <t xml:space="preserve">RJ3-053</t>
  </si>
  <si>
    <t xml:space="preserve">¿Quiénes se consideran miembros del cuerpo técnico según la Regla 3?</t>
  </si>
  <si>
    <t xml:space="preserve">El entrenador y los demás integrantes de la lista del equipo, a excepción de los jugadores y los suplentes.</t>
  </si>
  <si>
    <t xml:space="preserve">El entrenador principal del equipo y los jugadores suplentes inscritos en la lista del equipo.</t>
  </si>
  <si>
    <t xml:space="preserve">El entrenador y los demás integrantes de la lista del equipo, incluidos los jugadores y los suplentes.</t>
  </si>
  <si>
    <t xml:space="preserve">Los miembros del cuerpo técnico son el entrenador y los demás integrantes de la lista del equipo, a excepción de los jugadores y los suplentes.</t>
  </si>
  <si>
    <t xml:space="preserve">Regla 3 / Personas no autorizadas en el terreno de juego</t>
  </si>
  <si>
    <t xml:space="preserve">RJ3-054</t>
  </si>
  <si>
    <t xml:space="preserve">Según las Reglas de Juego, una persona no inscrita en la lista del equipo como jugador, suplente o miembro del cuerpo técnico es:</t>
  </si>
  <si>
    <t xml:space="preserve">Un agente externo.</t>
  </si>
  <si>
    <t xml:space="preserve">Un miembro asimilado al cuerpo técnico.</t>
  </si>
  <si>
    <t xml:space="preserve">Un oficial del club local.</t>
  </si>
  <si>
    <t xml:space="preserve">Toda persona no inscrita en la lista del equipo como jugador, suplente o miembro del cuerpo técnico será considerada como agente externo.</t>
  </si>
  <si>
    <t xml:space="preserve">RJ3-055</t>
  </si>
  <si>
    <t xml:space="preserve">Un suplente entra en el terreno de juego sin permiso del árbitro, pero sin interferir en absoluto en el desarrollo del juego. ¿Debe el árbitro detener el juego de inmediato?</t>
  </si>
  <si>
    <t xml:space="preserve">No, solo detendrá el juego si esa persona interfiere en el juego.</t>
  </si>
  <si>
    <t xml:space="preserve">Sí, debe detener el juego de inmediato en cuanto detecte la entrada no autorizada.</t>
  </si>
  <si>
    <t xml:space="preserve">No, el juego no se detiene aunque esa persona interfiera en el juego.</t>
  </si>
  <si>
    <t xml:space="preserve">Si un suplente entra en el terreno de juego, el árbitro detendrá el juego únicamente si esta persona interfiere en el juego.</t>
  </si>
  <si>
    <t xml:space="preserve">RJ3-056</t>
  </si>
  <si>
    <t xml:space="preserve">El juego se detiene porque un miembro del cuerpo técnico entró e interfirió en el juego. ¿Cómo se reanuda?</t>
  </si>
  <si>
    <t xml:space="preserve">Con un tiro libre directo o un tiro penal, según el lugar de la infracción.</t>
  </si>
  <si>
    <t xml:space="preserve">Con un tiro libre indirecto en el lugar donde se hallaba el balón.</t>
  </si>
  <si>
    <t xml:space="preserve">Con un balón a tierra en el lugar de la interferencia.</t>
  </si>
  <si>
    <t xml:space="preserve">Si la interferencia fue causada por un miembro del cuerpo técnico, suplente, jugador sustituido o jugador expulsado, se reanudará el juego con un libre directo o un tiro penal.</t>
  </si>
  <si>
    <t xml:space="preserve">RJ3-057</t>
  </si>
  <si>
    <t xml:space="preserve">El árbitro detiene el juego porque un espectador ha interferido en el juego. ¿Cómo se reanuda el juego?</t>
  </si>
  <si>
    <t xml:space="preserve">Con un tiro libre indirecto a favor del equipo perjudicado.</t>
  </si>
  <si>
    <t xml:space="preserve">Con un tiro libre directo a favor del equipo perjudicado.</t>
  </si>
  <si>
    <t xml:space="preserve">Si la interferencia fue causada por un agente externo, se reanudará el juego con un balón a tierra.</t>
  </si>
  <si>
    <t xml:space="preserve">RJ3-058</t>
  </si>
  <si>
    <t xml:space="preserve">Un jugador que necesita autorización del árbitro para regresar al terreno de juego reingresa sin dicho permiso, sin interferir en el juego ni en la labor del equipo arbitral. ¿Debe el árbitro detener el juego inmediatamente?</t>
  </si>
  <si>
    <t xml:space="preserve">No necesariamente; no lo detendrá de inmediato si el jugador no interfiere en el juego ni en la labor del equipo arbitral, o si puede aplicarse ventaja.</t>
  </si>
  <si>
    <t xml:space="preserve">Sí, debe detener el juego de inmediato en cuanto el jugador reingresa sin permiso del árbitro, interfiera o no en el juego.</t>
  </si>
  <si>
    <t xml:space="preserve">No, no corresponde detener el juego por este motivo, aunque el jugador interfiera en la jugada o en la labor del equipo arbitral.</t>
  </si>
  <si>
    <t xml:space="preserve">El árbitro no detendrá el juego inmediatamente si el jugador que reingresa sin autorización no interfiere en el juego ni en la labor del equipo arbitral, o si pudiera concederse ventaja.</t>
  </si>
  <si>
    <t xml:space="preserve">Regla 3 / Jugador fuera del terreno de juego</t>
  </si>
  <si>
    <t xml:space="preserve">RJ3-059</t>
  </si>
  <si>
    <t xml:space="preserve">Un jugador reingresa al terreno de juego sin la autorización requerida del árbitro. ¿Qué sanción disciplinaria le corresponde?</t>
  </si>
  <si>
    <t xml:space="preserve">Será amonestado por entrar en el terreno de juego sin autorización.</t>
  </si>
  <si>
    <t xml:space="preserve">Será expulsado por entrar en el terreno de juego sin autorización.</t>
  </si>
  <si>
    <t xml:space="preserve">No recibe sanción disciplinaria, aunque se detiene el juego si interfiere.</t>
  </si>
  <si>
    <t xml:space="preserve">El árbitro amonestará al jugador por entrar en el terreno de juego sin autorización.</t>
  </si>
  <si>
    <t xml:space="preserve">RJ3-060</t>
  </si>
  <si>
    <t xml:space="preserve">El árbitro detiene el juego por la interferencia de un jugador que reingresó sin autorización. ¿Cómo se reanuda si sí se produjo dicha interferencia?</t>
  </si>
  <si>
    <t xml:space="preserve">Con un libre directo desde el punto donde se produjo la interferencia.</t>
  </si>
  <si>
    <t xml:space="preserve">Con un libre indirecto desde el lugar donde se hallaba el balón cuando se detuvo el juego.</t>
  </si>
  <si>
    <t xml:space="preserve">Con un balón a tierra en el punto de la interferencia.</t>
  </si>
  <si>
    <t xml:space="preserve">Si el árbitro detiene el juego por esta causa, lo reanudará con un libre directo desde el punto donde se produjo la interferencia.</t>
  </si>
  <si>
    <t xml:space="preserve">RJ3-061</t>
  </si>
  <si>
    <t xml:space="preserve">El árbitro detiene el juego por el reingreso sin autorización de un jugador, que no ha interferido en el juego. ¿Cómo se reanuda el juego?</t>
  </si>
  <si>
    <t xml:space="preserve">Con un tiro libre indirecto donde estaba el balón.</t>
  </si>
  <si>
    <t xml:space="preserve">Con un tiro libre directo por donde reingresó.</t>
  </si>
  <si>
    <t xml:space="preserve">Con un balón a tierra por donde reingresó.</t>
  </si>
  <si>
    <t xml:space="preserve">Si no se produjo ninguna interferencia, el juego se reanudará con un libre indirecto desde el lugar donde se hallaba el balón cuando fue detenido.</t>
  </si>
  <si>
    <t xml:space="preserve">RJ3-062</t>
  </si>
  <si>
    <t xml:space="preserve">Durante el desarrollo normal de la jugada, un jugador cruza una línea de demarcación del terreno de juego como parte de la acción del juego. ¿Comete alguna infracción?</t>
  </si>
  <si>
    <t xml:space="preserve">No, no cometerá infracción alguna aquel jugador que, como parte de la acción del juego, cruce una línea de demarcación.</t>
  </si>
  <si>
    <t xml:space="preserve">Sí, será amonestado por abandonar el terreno de juego sin permiso del árbitro, aunque forme parte de la acción del juego.</t>
  </si>
  <si>
    <t xml:space="preserve">Sí, se concederá un tiro libre indirecto a favor del equipo adversario, salvo que el balón siga en juego.</t>
  </si>
  <si>
    <t xml:space="preserve">No cometerá infracción alguna aquel jugador que, como parte de la acción del juego, cruce una línea de demarcación.</t>
  </si>
  <si>
    <t xml:space="preserve">RJ3-063</t>
  </si>
  <si>
    <t xml:space="preserve">Tras marcarse un gol y antes de reanudarse el juego, el árbitro se da cuenta de que un miembro del cuerpo técnico del equipo que marcó estaba en el terreno de juego interfiriendo en el juego. El árbitro...</t>
  </si>
  <si>
    <t xml:space="preserve">Anula el gol y reanuda con tiro libre directo desde la posición de esa persona.</t>
  </si>
  <si>
    <t xml:space="preserve">Concede el gol, porque esa persona pertenecía al equipo que marcó.</t>
  </si>
  <si>
    <t xml:space="preserve">Anula el gol y reanuda con balón a tierra desde la posición de esa persona.</t>
  </si>
  <si>
    <t xml:space="preserve">Si la persona no autorizada era un jugador, suplente, jugador sustituido, jugador expulsado o miembro del cuerpo técnico del equipo que marcó el gol, este se anulará y se reanudará con un tiro libre directo desde la posición de dicha persona.</t>
  </si>
  <si>
    <t xml:space="preserve">Regla 3 / Gol marcado con una persona no autorizada</t>
  </si>
  <si>
    <t xml:space="preserve">RJ3-064</t>
  </si>
  <si>
    <t xml:space="preserve">Tras anotarse un gol y antes de reanudarse el juego, el árbitro constata que un agente externo interfirió en el juego durante la jugada del gol, sin encajar en el supuesto de persona vinculada al equipo anotador. ¿Cómo procede?</t>
  </si>
  <si>
    <t xml:space="preserve">Anula el gol y reanuda el juego con balón a tierra.</t>
  </si>
  <si>
    <t xml:space="preserve">Anula el gol y reanuda con un tiro libre directo a favor del equipo que no marcó.</t>
  </si>
  <si>
    <t xml:space="preserve">Da por válido el gol, ya que un agente externo no puede motivar su anulación.</t>
  </si>
  <si>
    <t xml:space="preserve">Si la interferencia en la jugada del gol fue causada por un agente externo (y no se produce el supuesto anterior de persona vinculada al equipo anotador), se anulará el gol y se reanudará con balón a tierra.</t>
  </si>
  <si>
    <t xml:space="preserve">RJ3-065</t>
  </si>
  <si>
    <t xml:space="preserve">El balón se dirige hacia la portería y una persona no autorizada interfiere, pero esa interferencia no impide que un defensor pudiera haber jugado el balón, y finalmente el balón entra en la portería. ¿Se concede el gol?</t>
  </si>
  <si>
    <t xml:space="preserve">Sí, se concede el gol, incluso si hubo contacto con el balón, salvo que la interferencia fuera causada por un miembro del equipo atacante.</t>
  </si>
  <si>
    <t xml:space="preserve">No, el gol se anula cuando haya existido cualquier interferencia de una persona no autorizada, sea cual sea su origen.</t>
  </si>
  <si>
    <t xml:space="preserve">Sí, se concede el gol, si la persona no autorizada no llegó a tocar el balón en ningún momento de la jugada.</t>
  </si>
  <si>
    <t xml:space="preserve">Si el balón va a entrar en la portería y la interferencia no impide que un defensor juegue el balón, se concederá el gol si el balón entra (incluso con contacto), a menos que la interferencia fuese causada por un miembro del equipo atacante.</t>
  </si>
  <si>
    <t xml:space="preserve">RJ3-066</t>
  </si>
  <si>
    <t xml:space="preserve">Tras anotarse un gol y antes de reanudarse el juego, el árbitro constata que la persona no autorizada en el terreno de juego era un miembro del cuerpo técnico del equipo que recibió el gol. ¿Qué debe hacer el árbitro?</t>
  </si>
  <si>
    <t xml:space="preserve">Conceder el gol, ordenando además que la persona no autorizada salga del terreno de juego.</t>
  </si>
  <si>
    <t xml:space="preserve">Anular el gol y reanudar con un tiro libre directo a favor del equipo que lo recibió.</t>
  </si>
  <si>
    <t xml:space="preserve">Anular el gol y reanudar con balón a tierra en el punto de la interferencia.</t>
  </si>
  <si>
    <t xml:space="preserve">El árbitro deberá conceder el gol si la persona no autorizada era un jugador, suplente, jugador sustituido, jugador expulsado o miembro del cuerpo técnico del equipo que recibió el gol, ordenando que dicha persona salga del terreno de juego.</t>
  </si>
  <si>
    <t xml:space="preserve">RJ3-067</t>
  </si>
  <si>
    <t xml:space="preserve">Cuando se marca un gol, había un agente externo en el terreno de juego, pero no interfirió en el juego. El árbitro...</t>
  </si>
  <si>
    <t xml:space="preserve">Concede el gol.</t>
  </si>
  <si>
    <t xml:space="preserve">Anula el gol y reanuda con un saque de meta.</t>
  </si>
  <si>
    <t xml:space="preserve">El árbitro deberá conceder el gol si la persona no autorizada era un agente externo que no interfirió en el juego.</t>
  </si>
  <si>
    <t xml:space="preserve">RJ3-068</t>
  </si>
  <si>
    <t xml:space="preserve">Después de marcarse un gol y ya reanudado el juego, el árbitro constata que había una persona no autorizada en el terreno de juego en el momento del gol, que ya ha abandonado el terreno. ¿Puede anularse el gol en ese momento?</t>
  </si>
  <si>
    <t xml:space="preserve">No, una vez reanudado el juego el gol ya no se podrá anular.</t>
  </si>
  <si>
    <t xml:space="preserve">Sí, el gol se anula si se detecta antes de que finalice esa misma parte del partido.</t>
  </si>
  <si>
    <t xml:space="preserve">Sí, el gol se anula si la persona no autorizada pertenecía al equipo que marcó el gol.</t>
  </si>
  <si>
    <t xml:space="preserve">Si, después de reanudarse el juego, el árbitro constata que había una persona no autorizada cuando se marcó el gol, este ya no se podrá anular.</t>
  </si>
  <si>
    <t xml:space="preserve">RJ3-069</t>
  </si>
  <si>
    <t xml:space="preserve">Tras reanudarse el juego después de un gol, el árbitro observa que la persona no autorizada sigue en el terreno de juego. El árbitro...</t>
  </si>
  <si>
    <t xml:space="preserve">Detiene el juego, ordena que salga y reanuda con balón a tierra o tiro libre, según proceda.</t>
  </si>
  <si>
    <t xml:space="preserve">Deja que el juego continúe, ya que el gol no puede anularse, y lo hace constar en el acta.</t>
  </si>
  <si>
    <t xml:space="preserve">Detiene el juego y lo suspende hasta que esa persona sea identificada y expulsada del recinto.</t>
  </si>
  <si>
    <t xml:space="preserve">Si la persona no autorizada estuviera todavía en el terreno de juego, el árbitro deberá detener el juego, ordenar que salga del terreno de juego y reanudar con un balón a tierra o un tiro libre, según proceda.</t>
  </si>
  <si>
    <t xml:space="preserve">RJ3-071</t>
  </si>
  <si>
    <t xml:space="preserve">Según la Regla 3, el capitán de un equipo:</t>
  </si>
  <si>
    <t xml:space="preserve">No goza de categoría especial, pero tiene cierta responsabilidad sobre el comportamiento de su equipo.</t>
  </si>
  <si>
    <t xml:space="preserve">Goza de categoría especial y puede solicitar al árbitro la revisión de cualquier decisión.</t>
  </si>
  <si>
    <t xml:space="preserve">Goza de categoría especial y puede dirigirse al árbitro en cualquier momento del partido.</t>
  </si>
  <si>
    <t xml:space="preserve">El capitán del equipo no gozará de categoría especial o privilegio alguno, pero tendrá cierto grado de responsabilidad en lo concerniente al comportamiento de su equipo.</t>
  </si>
  <si>
    <t xml:space="preserve">Regla 3 / Capitán del equipo</t>
  </si>
  <si>
    <t xml:space="preserve">RJ3-072</t>
  </si>
  <si>
    <t xml:space="preserve">¿Qué pueden implantar las competiciones respecto a quién puede acercarse al árbitro durante el partido?</t>
  </si>
  <si>
    <t xml:space="preserve">Pautas para que solo el capitán pueda acercarse al árbitro, conforme a lo previsto en Observaciones y adaptaciones.</t>
  </si>
  <si>
    <t xml:space="preserve">Pautas para que solo el entrenador pueda acercarse al árbitro, conforme a lo previsto en Observaciones y adaptaciones.</t>
  </si>
  <si>
    <t xml:space="preserve">Pautas para que ningún jugador pueda acercarse al árbitro, conforme a lo previsto en Observaciones y adaptaciones.</t>
  </si>
  <si>
    <t xml:space="preserve">Las competiciones podrán implantar las pautas para que solo el capitán pueda acercarse al árbitro, contenidas en el apartado de Observaciones y adaptaciones.</t>
  </si>
  <si>
    <t xml:space="preserve">RJ3-073</t>
  </si>
  <si>
    <t xml:space="preserve">Además de las tres oportunidades de sustitución previstas, ¿pueden los equipos realizar sustituciones adicionales durante el descanso?</t>
  </si>
  <si>
    <t xml:space="preserve">Sí, además de esas tres oportunidades, ambos equipos podrán realizar sustituciones durante el descanso.</t>
  </si>
  <si>
    <t xml:space="preserve">No, las sustituciones realizadas durante el descanso consumen una de las tres oportunidades disponibles.</t>
  </si>
  <si>
    <t xml:space="preserve">No, durante el descanso no está permitido efectuar ninguna sustitución.</t>
  </si>
  <si>
    <t xml:space="preserve">Además de las tres oportunidades de sustitución, los equipos podrán realizar sustituciones durante el descanso, sin que estas consuman ninguna de dichas oportunidades.</t>
  </si>
  <si>
    <t xml:space="preserve">Regla 3.2</t>
  </si>
  <si>
    <t xml:space="preserve">RJ3-074</t>
  </si>
  <si>
    <t xml:space="preserve">El árbitro señala que un equipo puede efectuar una sustitución, pero el balón todavía está en juego en ese momento. ¿Puede el suplente entrar ya al terreno de juego?</t>
  </si>
  <si>
    <t xml:space="preserve">No, el suplente solamente podrá entrar al terreno de juego mientras el juego esté detenido.</t>
  </si>
  <si>
    <t xml:space="preserve">Sí, puede entrar en cuanto reciba la señal del árbitro, esté el balón en juego o no.</t>
  </si>
  <si>
    <t xml:space="preserve">Sí, si entra por la línea central y no interfiere en la jugada en curso.</t>
  </si>
  <si>
    <t xml:space="preserve">El suplente solamente podrá entrar al terreno de juego mientras el juego esté detenido.</t>
  </si>
  <si>
    <t xml:space="preserve">Regla 3.3</t>
  </si>
  <si>
    <t xml:space="preserve">RJ3-075</t>
  </si>
  <si>
    <t xml:space="preserve">Con el juego detenido, un suplente se dispone a entrar, pero el jugador al que va a reemplazar todavía no ha abandonado el terreno de juego. ¿Puede entrar el suplente?</t>
  </si>
  <si>
    <t xml:space="preserve">No, debe esperar a que el jugador sustituido haya salido.</t>
  </si>
  <si>
    <t xml:space="preserve">Sí, ambos pueden coincidir brevemente en el terreno de juego.</t>
  </si>
  <si>
    <t xml:space="preserve">Sí, si entra por la línea central del terreno de juego.</t>
  </si>
  <si>
    <t xml:space="preserve">El suplente solamente podrá entrar al terreno de juego después de que el jugador al que deba reemplazar haya abandonado el terreno de juego.</t>
  </si>
  <si>
    <t xml:space="preserve">RJ3-076</t>
  </si>
  <si>
    <t xml:space="preserve">Se cumplen todas las condiciones para la sustitución (juego detenido, jugador sustituido ya fuera del campo, entrada por la línea central), pero el árbitro todavía no ha dado la señal. ¿Puede el suplente entrar igualmente?</t>
  </si>
  <si>
    <t xml:space="preserve">No, el suplente solamente podrá entrar al terreno de juego tras recibir la señal del árbitro.</t>
  </si>
  <si>
    <t xml:space="preserve">Sí, si el resto de condiciones se cumplen, no es necesario esperar señal del árbitro.</t>
  </si>
  <si>
    <t xml:space="preserve">Sí, si lo autoriza el cuarto árbitro en lugar del árbitro principal.</t>
  </si>
  <si>
    <t xml:space="preserve">Entre las condiciones exigidas para que el suplente pueda entrar al terreno de juego se encuentra recibir la señal del árbitro.</t>
  </si>
  <si>
    <t xml:space="preserve">RJ3-077</t>
  </si>
  <si>
    <t xml:space="preserve">Un equipo quiere inscribir 17 suplentes en el acta de un partido cuyo reglamento de competición fija un máximo de 15. El árbitro...</t>
  </si>
  <si>
    <t xml:space="preserve">No lo permite.</t>
  </si>
  <si>
    <t xml:space="preserve">Lo permite, si solo 15 de ellos pueden llegar a jugar.</t>
  </si>
  <si>
    <t xml:space="preserve">Lo permite, si el equipo adversario no se opone.</t>
  </si>
  <si>
    <t xml:space="preserve">El número de suplentes que pueden inscribirse en el acta puede ser de tres a un máximo de quince, según determine el reglamento de la competición.</t>
  </si>
  <si>
    <t xml:space="preserve">RJ3-078</t>
  </si>
  <si>
    <t xml:space="preserve">En un partido con cinco sustituciones permitidas, un equipo ya ha agotado sus tres oportunidades para sustituir, pero le queda una sustitución disponible. ¿Puede realizarla?</t>
  </si>
  <si>
    <t xml:space="preserve">Solo en el descanso o en una oportunidad adicional que prevea la competición.</t>
  </si>
  <si>
    <t xml:space="preserve">Sí, en cualquier interrupción del juego, porque aún le queda una sustitución.</t>
  </si>
  <si>
    <t xml:space="preserve">Sí, pero solo antes de que falten cinco minutos para el final del partido.</t>
  </si>
  <si>
    <t xml:space="preserve">Las sustituciones se limitan también a un número de interrupciones del juego en las que pueden efectuarse, además del máximo total, salvo el descanso u otras excepciones del reglamento.</t>
  </si>
  <si>
    <t xml:space="preserve">RJ3-079</t>
  </si>
  <si>
    <t xml:space="preserve">Una vez comenzado el partido, el delegado de un equipo pretende añadir un jugador a la lista de suplentes. ¿Es posible?</t>
  </si>
  <si>
    <t xml:space="preserve">No, la lista debe facilitarse antes del comienzo del partido.</t>
  </si>
  <si>
    <t xml:space="preserve">Sí, si se comunica al árbitro antes del descanso del partido.</t>
  </si>
  <si>
    <t xml:space="preserve">Sí, si se comunica al cuarto árbitro antes de que vaya a entrar.</t>
  </si>
  <si>
    <t xml:space="preserve">Los nombres de los suplentes deben facilitarse al árbitro antes del comienzo del partido; los no facilitados en ese momento no podrán participar.</t>
  </si>
  <si>
    <t xml:space="preserve">RJ3-080</t>
  </si>
  <si>
    <t xml:space="preserve">Durante una sustitución, el jugador que debe salir se retrasa deliberadamente varios minutos por motivos ajenos a la seguridad. El árbitro...</t>
  </si>
  <si>
    <t xml:space="preserve">Lo amonesta por retrasar la reanudación del juego y le exige que salga.</t>
  </si>
  <si>
    <t xml:space="preserve">Anula la sustitución y permite que el jugador siga en el terreno de juego.</t>
  </si>
  <si>
    <t xml:space="preserve">Lo expulsa por desobedecer una instrucción del árbitro y le exige que salga.</t>
  </si>
  <si>
    <t xml:space="preserve">El jugador sustituido debe abandonar el terreno de juego con prontitud; retrasarse deliberadamente puede sancionarse con amonestación por retrasar la reanudación del juego.</t>
  </si>
  <si>
    <t xml:space="preserve">RJ3-081</t>
  </si>
  <si>
    <t xml:space="preserve">Un guardameta debe abandonar el terreno de juego por lesión y su equipo ya ha agotado todas las sustituciones. ¿Qué ocurre?</t>
  </si>
  <si>
    <t xml:space="preserve">Un jugador de campo pasará a ocupar la portería.</t>
  </si>
  <si>
    <t xml:space="preserve">Se concede al equipo una sustitución adicional.</t>
  </si>
  <si>
    <t xml:space="preserve">El árbitro suspende el partido por falta de guardameta.</t>
  </si>
  <si>
    <t xml:space="preserve">Agotadas las sustituciones disponibles, el equipo deberá continuar con los jugadores de que disponga, pudiendo un jugador de campo ocupar la portería.</t>
  </si>
  <si>
    <t xml:space="preserve">RJ3-082</t>
  </si>
  <si>
    <t xml:space="preserve">Un jugador titular es sustituido y, minutos después, otro jugador de su equipo se lesiona gravemente sin sustituciones disponibles. ¿Puede el jugador ya sustituido volver a entrar?</t>
  </si>
  <si>
    <t xml:space="preserve">No, un jugador sustituido no podrá volver a participar en el mismo partido.</t>
  </si>
  <si>
    <t xml:space="preserve">Sí, si el reglamento de la competición lo autoriza expresamente para casos de lesión grave.</t>
  </si>
  <si>
    <t xml:space="preserve">Sí, si han transcurrido más de quince minutos desde su sustitución.</t>
  </si>
  <si>
    <t xml:space="preserve">Un jugador sustituido no puede volver a tomar parte en el partido, salvo las excepciones concretas que prevea el reglamento de la competición para categorías específicas.</t>
  </si>
  <si>
    <t xml:space="preserve">RJ3-083</t>
  </si>
  <si>
    <t xml:space="preserve">Un jugador titular no llega a saltar al terreno de juego por una indisposición repentina justo antes del saque inicial, sin haber sido comunicado previamente como suplente. ¿Puede otro jugador ocupar su lugar en el once inicial?</t>
  </si>
  <si>
    <t xml:space="preserve">Sí, siempre que ese otro jugador figure en la lista de suplentes facilitada al árbitro antes del partido.</t>
  </si>
  <si>
    <t xml:space="preserve">No, el once inicial ya comunicado no puede modificarse bajo ninguna circunstancia.</t>
  </si>
  <si>
    <t xml:space="preserve">Sí, cualquier jugador de la plantilla puede ocupar su lugar, esté o no en la lista facilitada.</t>
  </si>
  <si>
    <t xml:space="preserve">Solo pueden participar los jugadores y suplentes cuyos nombres se hayan facilitado al árbitro antes del comienzo del partido.</t>
  </si>
  <si>
    <t xml:space="preserve">RJ3-084</t>
  </si>
  <si>
    <t xml:space="preserve">Un jugador inscrito en la lista del equipo como titular es expulsado antes del saque inicial. El árbitro...</t>
  </si>
  <si>
    <t xml:space="preserve">Permite que lo sustituya un suplente, sin reducir el número de sustituciones.</t>
  </si>
  <si>
    <t xml:space="preserve">No permite sustituirlo; su equipo jugará con un jugador menos.</t>
  </si>
  <si>
    <t xml:space="preserve">Permite sustituirlo, pero descuenta una de las sustituciones permitidas.</t>
  </si>
  <si>
    <t xml:space="preserve">Regla 3.6: si un jugador es expulsado «tras ser inscrito en la lista del equipo y antes del saque inicial, puede ser sustituido por un suplente, cuyo puesto no podrá ser ocupado por otro jugador; además, no se reducirá el número de sustituciones permitidas».</t>
  </si>
  <si>
    <t xml:space="preserve">Regla 3.6</t>
  </si>
  <si>
    <t xml:space="preserve">RJ3-085</t>
  </si>
  <si>
    <t xml:space="preserve">¿Puede participar en el partido un jugador que no figura en la lista de jugadores ni en la de suplentes facilitada al árbitro?</t>
  </si>
  <si>
    <t xml:space="preserve">No, solo pueden participar los que figuran en la lista facilitada al árbitro.</t>
  </si>
  <si>
    <t xml:space="preserve">Sí, si pertenece a la plantilla inscrita en la competición esa temporada.</t>
  </si>
  <si>
    <t xml:space="preserve">Sí, si el equipo adversario no se opone antes del inicio del partido.</t>
  </si>
  <si>
    <t xml:space="preserve">RJ3-086</t>
  </si>
  <si>
    <t xml:space="preserve">Durante una sustitución, el jugador que entra como suplente lo hace por la línea de banda, en un punto alejado de la línea central, sin autorización expresa del árbitro para ese punto. ¿Es correcto?</t>
  </si>
  <si>
    <t xml:space="preserve">No necesariamente; el suplente debe entrar por la línea central, salvo que el árbitro indique otro lugar distinto.</t>
  </si>
  <si>
    <t xml:space="preserve">Sí, un suplente puede entrar por cualquier punto de la línea de banda sin necesidad de autorización.</t>
  </si>
  <si>
    <t xml:space="preserve">Sí, si el jugador que sale ya ha abandonado el terreno de juego por ese mismo punto.</t>
  </si>
  <si>
    <t xml:space="preserve">El suplente debe entrar en el terreno de juego por la línea central, salvo que el árbitro indique un lugar distinto.</t>
  </si>
  <si>
    <t xml:space="preserve">RJ3-087</t>
  </si>
  <si>
    <t xml:space="preserve">¿Puede un equipo realizar una sustitución mientras el balón está en juego, sin esperar a una interrupción?</t>
  </si>
  <si>
    <t xml:space="preserve">No, las sustituciones solo pueden efectuarse mientras el juego está detenido.</t>
  </si>
  <si>
    <t xml:space="preserve">Sí, si el árbitro lo autoriza expresamente durante el juego en curso.</t>
  </si>
  <si>
    <t xml:space="preserve">Sí, si el jugador que sale ya se encuentra fuera del terreno de juego en ese momento.</t>
  </si>
  <si>
    <t xml:space="preserve">Las sustituciones únicamente pueden llevarse a cabo mientras el juego está detenido, siguiendo el procedimiento establecido.</t>
  </si>
  <si>
    <t xml:space="preserve">RJ3-088</t>
  </si>
  <si>
    <t xml:space="preserve">Según la Regla 3, el suplente solamente podrá entrar en el terreno de juego:</t>
  </si>
  <si>
    <t xml:space="preserve">Por la línea central, con el juego detenido, tras salir el sustituido y con la señal del árbitro.</t>
  </si>
  <si>
    <t xml:space="preserve">Por cualquier punto de la banda, con el juego detenido, tras salir el sustituido y con la señal del árbitro.</t>
  </si>
  <si>
    <t xml:space="preserve">Por la línea central, aunque el juego no esté detenido, tras salir el sustituido y con la señal del árbitro.</t>
  </si>
  <si>
    <t xml:space="preserve">Regla 3 (pág. 34): el suplente solamente podrá entrar mientras el juego esté detenido, por la línea central, después de que el jugador al que deba reemplazar haya abandonado el terreno de juego y tras recibir la señal del árbitro.</t>
  </si>
  <si>
    <t xml:space="preserve">RJ3-089</t>
  </si>
  <si>
    <t xml:space="preserve">¿Puede un equipo realizar varias sustituciones en una misma interrupción del juego?</t>
  </si>
  <si>
    <t xml:space="preserve">Sí, sin superar el número de oportunidades que fije la competición.</t>
  </si>
  <si>
    <t xml:space="preserve">No, solo puede realizarse una sustitución en cada interrupción del juego.</t>
  </si>
  <si>
    <t xml:space="preserve">Sí, sin limitación alguna en cuanto al número de interrupciones del juego.</t>
  </si>
  <si>
    <t xml:space="preserve">Las sustituciones se agrupan en un número determinado de interrupciones del juego según el reglamento de la competición; en cada una de ellas pueden realizarse varias sustituciones.</t>
  </si>
  <si>
    <t xml:space="preserve">RJ3-091</t>
  </si>
  <si>
    <t xml:space="preserve">¿Qué ocurre si un equipo no facilita al árbitro los nombres de sus suplentes antes del inicio del partido?</t>
  </si>
  <si>
    <t xml:space="preserve">Esos suplentes no podrán participar en el partido.</t>
  </si>
  <si>
    <t xml:space="preserve">Podrá facilitarlos en cualquier momento antes del descanso.</t>
  </si>
  <si>
    <t xml:space="preserve">Podrá facilitarlos antes de efectuar la primera sustitución.</t>
  </si>
  <si>
    <t xml:space="preserve">Los nombres de los suplentes deben facilitarse al árbitro antes del comienzo del partido; de lo contrario, esos jugadores no podrán participar.</t>
  </si>
  <si>
    <t xml:space="preserve">RJ3-092</t>
  </si>
  <si>
    <t xml:space="preserve">Un jugador sustituido continúa en el banquillo de su equipo tras su sustitución. ¿Sigue sujeto a la autoridad disciplinaria del árbitro?</t>
  </si>
  <si>
    <t xml:space="preserve">Sí, un jugador sustituido continúa sujeto a la autoridad del árbitro durante el resto del partido.</t>
  </si>
  <si>
    <t xml:space="preserve">No, una vez sustituido deja de estar sujeto a cualquier sanción disciplinaria por parte del árbitro.</t>
  </si>
  <si>
    <t xml:space="preserve">Sí, pero únicamente hasta que finalice esa misma parte del partido.</t>
  </si>
  <si>
    <t xml:space="preserve">Los jugadores sustituidos siguen sometidos a la autoridad disciplinaria del árbitro durante el resto del partido.</t>
  </si>
  <si>
    <t xml:space="preserve">RJ3-093</t>
  </si>
  <si>
    <t xml:space="preserve">¿Puede un jugador de campo intercambiar su puesto con el guardameta durante una interrupción del juego sin informar antes al árbitro?</t>
  </si>
  <si>
    <t xml:space="preserve">No, debe informarse al árbitro antes de que se produzca el cambio.</t>
  </si>
  <si>
    <t xml:space="preserve">Sí, si el cambio se realiza durante una interrupción del juego.</t>
  </si>
  <si>
    <t xml:space="preserve">Sí, si se informa al árbitro en la siguiente interrupción del juego.</t>
  </si>
  <si>
    <t xml:space="preserve">El intercambio de puesto entre un jugador de campo y el guardameta requiere comunicación previa e informar al árbitro antes de que se produzca.</t>
  </si>
  <si>
    <t xml:space="preserve">RJ4-001</t>
  </si>
  <si>
    <t xml:space="preserve">Un jugador sale del terreno de juego para cambiarse la camiseta manchada de sangre. ¿Cuándo podrá volver al terreno de juego?</t>
  </si>
  <si>
    <t xml:space="preserve">Con permiso del árbitro, tras revisar su equipamiento un miembro del equipo arbitral, aunque el juego no esté detenido.</t>
  </si>
  <si>
    <t xml:space="preserve">Con permiso del árbitro, tras revisar su equipamiento un miembro del equipo arbitral, y solo con el juego detenido.</t>
  </si>
  <si>
    <t xml:space="preserve">En cuanto se cambie la camiseta, sin que sea necesario revisar su equipamiento ni el permiso del árbitro.</t>
  </si>
  <si>
    <t xml:space="preserve">Regla 4 (pág. 40): el jugador debe someter el equipamiento al control de un miembro del equipo arbitral y volver a entrar únicamente con el permiso del árbitro, «el cual puede concederse durante el juego».</t>
  </si>
  <si>
    <t xml:space="preserve">RJ4-002</t>
  </si>
  <si>
    <t xml:space="preserve">Un jugador que había salido del terreno de juego para arreglar su camiseta manchada de sangre reingresa sin que el juego esté detenido y sin permiso del árbitro. ¿Qué decisión toma el árbitro?</t>
  </si>
  <si>
    <t xml:space="preserve">Amonesta al jugador y concede tiro libre indirecto en el lugar donde estaba el balón cuando se detiene el juego, salvo interferencia, en cuyo caso será directo o penal desde el lugar de la interferencia.</t>
  </si>
  <si>
    <t xml:space="preserve">Amonesta al jugador y concede tiro libre directo en el lugar donde estaba el balón cuando se detiene el juego, salvo interferencia, en cuyo caso será indirecto desde el lugar de la interferencia.</t>
  </si>
  <si>
    <t xml:space="preserve">Expulsa al jugador y concede tiro libre indirecto en el lugar donde estaba el balón cuando se detiene el juego, salvo interferencia, en cuyo caso será directo o penal desde el lugar de la interferencia.</t>
  </si>
  <si>
    <t xml:space="preserve">Reingresar sin autorización conlleva amonestación y tiro libre indirecto donde estaba el balón al detenerse el juego, salvo que hubiera interferencia, que se sanciona con directo o penal desde el lugar de la interferencia.</t>
  </si>
  <si>
    <t xml:space="preserve">Regla 3 / Regla 4</t>
  </si>
  <si>
    <t xml:space="preserve">RJ4-003</t>
  </si>
  <si>
    <t xml:space="preserve">Antes del partido, el delegado local comunica que el capitán llevará un brazalete con los colores de la bandera nacional y la letra 'C'. ¿Qué debe decidir el árbitro?</t>
  </si>
  <si>
    <t xml:space="preserve">Permitirlo si lo autoriza el reglamento de la competición.</t>
  </si>
  <si>
    <t xml:space="preserve">Permitirlo si cumple las estipulaciones de la Regla 4 sobre el equipamiento.</t>
  </si>
  <si>
    <t xml:space="preserve">No permitirlo, porque el brazalete debe ser de un solo color.</t>
  </si>
  <si>
    <t xml:space="preserve">El uso de brazaletes de capitán con diseños o colores concretos queda sujeto a lo que permita el reglamento de la propia competición.</t>
  </si>
  <si>
    <t xml:space="preserve">RJ4-004</t>
  </si>
  <si>
    <t xml:space="preserve">Según la Regla 4, los eslóganes, mensajes e imágenes autorizados deberán aparecer únicamente:</t>
  </si>
  <si>
    <t xml:space="preserve">En el frontal de la camiseta y del pantalón, o en el brazalete.</t>
  </si>
  <si>
    <t xml:space="preserve">En el frontal de la camiseta o en el brazalete.</t>
  </si>
  <si>
    <t xml:space="preserve">En el frontal del pantalón o en las mangas.</t>
  </si>
  <si>
    <t xml:space="preserve">Regla 4 (pág. 39): «Los eslóganes autorizados, los mensajes y las imágenes deberán aparecer únicamente en el frontal de la camiseta o en el brazalete».</t>
  </si>
  <si>
    <t xml:space="preserve">RJ4-006</t>
  </si>
  <si>
    <t xml:space="preserve">Durante la revisión de indumentaria previa al partido, ¿puede el árbitro exigir que se retire un elemento no reglamentario del uniforme?</t>
  </si>
  <si>
    <t xml:space="preserve">Sí, forma parte de sus obligaciones inspeccionar la indumentaria de los jugadores antes del partido.</t>
  </si>
  <si>
    <t xml:space="preserve">No, esa función corresponde al delegado de campo de cada equipo antes del partido.</t>
  </si>
  <si>
    <t xml:space="preserve">No, la revisión de indumentaria corresponde al cuarto árbitro, no al árbitro principal.</t>
  </si>
  <si>
    <t xml:space="preserve">Entre las obligaciones del árbitro antes del partido está inspeccionar el terreno, los balones y también verificar que el equipamiento de los jugadores cumple la normativa.</t>
  </si>
  <si>
    <t xml:space="preserve">Regla 4 / Regla 5</t>
  </si>
  <si>
    <t xml:space="preserve">RJ4-007</t>
  </si>
  <si>
    <t xml:space="preserve">Un jugador sale al terreno de juego con unas espinilleras que no ofrecen un grado de protección razonable. El árbitro...</t>
  </si>
  <si>
    <t xml:space="preserve">No le permite participar hasta que corrija su equipamiento.</t>
  </si>
  <si>
    <t xml:space="preserve">Le permite participar, porque la elección de las espinilleras es libre.</t>
  </si>
  <si>
    <t xml:space="preserve">Le permite participar, pero lo amonesta por su equipamiento.</t>
  </si>
  <si>
    <t xml:space="preserve">El árbitro debe verificar que el equipamiento obligatorio, incluidas las espinilleras, ofrece una protección razonable antes de permitir la participación del jugador.</t>
  </si>
  <si>
    <t xml:space="preserve">RJ4-008</t>
  </si>
  <si>
    <t xml:space="preserve">¿Puede un jugador llevar una camiseta interior de un color distinto a la manga principal de la camiseta de juego?</t>
  </si>
  <si>
    <t xml:space="preserve">Debe coincidir sustancialmente con el color principal de la manga de la camiseta.</t>
  </si>
  <si>
    <t xml:space="preserve">Puede ser de cualquier color, ya que las Reglas de Juego no regulan las prendas interiores.</t>
  </si>
  <si>
    <t xml:space="preserve">Está prohibida cualquier prenda interior bajo la camiseta.</t>
  </si>
  <si>
    <t xml:space="preserve">La Regla 4 exige que la camiseta interior coincida, en su color principal, con el color dominante de la manga de la camiseta de juego.</t>
  </si>
  <si>
    <t xml:space="preserve">RJ4-009</t>
  </si>
  <si>
    <t xml:space="preserve">Durante una jugada, un jugador pierde accidentalmente la camiseta y sigue jugando. El árbitro...</t>
  </si>
  <si>
    <t xml:space="preserve">No detiene el juego; lo corregirá en la próxima detención.</t>
  </si>
  <si>
    <t xml:space="preserve">Detiene el juego de inmediato y amonesta al jugador.</t>
  </si>
  <si>
    <t xml:space="preserve">Detiene el juego de inmediato y concede tiro libre indirecto.</t>
  </si>
  <si>
    <t xml:space="preserve">Regla 4.6: «En caso de infracción de esta regla, no es necesario detener el juego»; el árbitro ordenará al jugador que corrija su equipamiento y saldrá del terreno de juego cuando se detenga el juego, a menos que ya lo haya corregido.</t>
  </si>
  <si>
    <t xml:space="preserve">Regla 4.6</t>
  </si>
  <si>
    <t xml:space="preserve">RJ4-011</t>
  </si>
  <si>
    <t xml:space="preserve">Un jugador quiere jugar con un accesorio que no es peligroso, cubierto de forma segura con cinta adhesiva. Según la Regla 4 (2026/27):</t>
  </si>
  <si>
    <t xml:space="preserve">Puede llevarlo.</t>
  </si>
  <si>
    <t xml:space="preserve">Debe quitárselo.</t>
  </si>
  <si>
    <t xml:space="preserve">Solo si la cinta es del color de la prenda.</t>
  </si>
  <si>
    <t xml:space="preserve">Regla 4 (pág. 37): «Se permite llevar accesorios siempre y cuando no sean peligrosos y estén cubiertos de forma segura». Las prendas u objetos peligrosos sí deben quitarse: no basta con cubrirlos con cinta adhesiva.</t>
  </si>
  <si>
    <t xml:space="preserve">Regla 4 / Seguridad</t>
  </si>
  <si>
    <t xml:space="preserve">RJ4-013</t>
  </si>
  <si>
    <t xml:space="preserve">Un jugador lleva un accesorio prohibido y no puede o no quiere quitárselo cuando el árbitro se lo ordena. El árbitro...</t>
  </si>
  <si>
    <t xml:space="preserve">Le ordena que salga del terreno de juego en la próxima detención del juego.</t>
  </si>
  <si>
    <t xml:space="preserve">Le permite seguir jugando y lo hace constar en el acta del partido.</t>
  </si>
  <si>
    <t xml:space="preserve">Detiene el juego de inmediato y lo expulsa por no acatar su orden.</t>
  </si>
  <si>
    <t xml:space="preserve">Si el jugador no puede o no quiere acatar la orden de quitarse el objeto, el árbitro deberá ordenarle que salga del terreno de juego en la próxima detención del juego.</t>
  </si>
  <si>
    <t xml:space="preserve">RJ4-014</t>
  </si>
  <si>
    <t xml:space="preserve">Un jugador se niega a quitarse un objeto peligroso cuando el árbitro se lo ordena, o vuelve a ponérselo tras haberlo retirado. ¿Qué sanción disciplinaria corresponde?</t>
  </si>
  <si>
    <t xml:space="preserve">Deberá ser amonestado, ya que negarse a acatar la orden constituye conducta antideportiva.</t>
  </si>
  <si>
    <t xml:space="preserve">Deberá ser expulsado, al tratarse de una reincidencia equivalente a una segunda amonestación en el mismo partido.</t>
  </si>
  <si>
    <t xml:space="preserve">No corresponde sanción disciplinaria alguna, solo debe salir del terreno.</t>
  </si>
  <si>
    <t xml:space="preserve">Deberá amonestarse a todo jugador que rehúse acatar esta regla o que vuelva a ponerse el objeto o prenda prohibidos.</t>
  </si>
  <si>
    <t xml:space="preserve">RJ4-015</t>
  </si>
  <si>
    <t xml:space="preserve">¿Cuáles son las prendas que componen el equipamiento obligatorio de un jugador según la Regla 4?</t>
  </si>
  <si>
    <t xml:space="preserve">Camiseta con mangas, pantalones cortos, medias, espinilleras y calzado de fútbol.</t>
  </si>
  <si>
    <t xml:space="preserve">Camiseta con o sin mangas, pantalones cortos, medias y calzado de fútbol, sin exigencia de espinilleras.</t>
  </si>
  <si>
    <t xml:space="preserve">Camiseta con mangas, pantalones largos, medias y calzado de fútbol.</t>
  </si>
  <si>
    <t xml:space="preserve">El equipamiento obligatorio se compone de camiseta con mangas, pantalones cortos, medias, espinilleras y calzado de fútbol.</t>
  </si>
  <si>
    <t xml:space="preserve">Regla 4 / Equipamiento obligatorio</t>
  </si>
  <si>
    <t xml:space="preserve">RJ4-016</t>
  </si>
  <si>
    <t xml:space="preserve">Un jugador coloca cinta adhesiva en la parte exterior de sus medias. ¿Qué exige la Regla 4 respecto al color de dicha cinta?</t>
  </si>
  <si>
    <t xml:space="preserve">Que sea del mismo color que la parte de las medias sobre la que se use o que cubra.</t>
  </si>
  <si>
    <t xml:space="preserve">Que sea de color blanco, independientemente del color de las medias.</t>
  </si>
  <si>
    <t xml:space="preserve">Que sea de un color diferente al de las medias, para facilitar su identificación.</t>
  </si>
  <si>
    <t xml:space="preserve">Si se coloca cinta adhesiva o cualquier otro material en la parte exterior de las medias, deberá ser del mismo color que la parte de las medias sobre la que se use o que cubra.</t>
  </si>
  <si>
    <t xml:space="preserve">RJ4-017</t>
  </si>
  <si>
    <t xml:space="preserve">¿Quién es responsable del tamaño y la adecuación de las espinilleras de un jugador?</t>
  </si>
  <si>
    <t xml:space="preserve">El propio jugador, que debe llevarlas del tamaño y material adecuados.</t>
  </si>
  <si>
    <t xml:space="preserve">El delegado de campo del equipo, que debe revisarlas antes del partido.</t>
  </si>
  <si>
    <t xml:space="preserve">El árbitro, que las inspecciona en la revisión previa al partido.</t>
  </si>
  <si>
    <t xml:space="preserve">Los jugadores serán responsables del tamaño y la adecuación de sus espinilleras.</t>
  </si>
  <si>
    <t xml:space="preserve">RJ4-018</t>
  </si>
  <si>
    <t xml:space="preserve">¿Qué requisito deben cumplir las espinilleras respecto a su cobertura visual sobre el cuerpo del jugador?</t>
  </si>
  <si>
    <t xml:space="preserve">Deberán quedar cubiertas por las medias.</t>
  </si>
  <si>
    <t xml:space="preserve">Deberán quedar a la vista, sin cubrirse por ninguna otra prenda.</t>
  </si>
  <si>
    <t xml:space="preserve">Deberán quedar cubiertas por el pantalón corto.</t>
  </si>
  <si>
    <t xml:space="preserve">Las espinilleras deberán quedar cubiertas por las medias.</t>
  </si>
  <si>
    <t xml:space="preserve">RJ4-019</t>
  </si>
  <si>
    <t xml:space="preserve">Si el organizador de la competición no ha decretado un modelo de brazalete de capitán, según la Regla 4 el brazalete deberá:</t>
  </si>
  <si>
    <t xml:space="preserve">Ser de un solo color y puede incorporar la palabra «capitán» o la letra «C».</t>
  </si>
  <si>
    <t xml:space="preserve">Combinar varios colores e incorporar la palabra «capitán» o la letra «C».</t>
  </si>
  <si>
    <t xml:space="preserve">Ser del color de la camiseta y puede incorporar la palabra «capitán» o la letra «C».</t>
  </si>
  <si>
    <t xml:space="preserve">El capitán llevará el brazalete que decrete el organizador o, en su defecto, un brazalete de un solo color que también puede incorporar la palabra «capitán», la letra «C» o una traducción, siempre de un único color.</t>
  </si>
  <si>
    <t xml:space="preserve">RJ4-020</t>
  </si>
  <si>
    <t xml:space="preserve">Un jugador pierde accidentalmente una bota durante una jugada. ¿Cuándo debe volver a ponérsela?</t>
  </si>
  <si>
    <t xml:space="preserve">Lo antes posible y, como máximo, cuando el balón deje de estar en juego.</t>
  </si>
  <si>
    <t xml:space="preserve">En cualquier momento posterior, mientras el balón siga en juego.</t>
  </si>
  <si>
    <t xml:space="preserve">En la siguiente interrupción del juego, aunque sea por otro motivo.</t>
  </si>
  <si>
    <t xml:space="preserve">El jugador que pierda accidentalmente una bota o espinillera deberá volver a colocársela lo más pronto posible, no más tarde de que el balón vuelva a dejar de estar en juego.</t>
  </si>
  <si>
    <t xml:space="preserve">RJ4-021</t>
  </si>
  <si>
    <t xml:space="preserve">Un jugador pierde accidentalmente una espinillera y, antes de volver a colocársela, juega el balón y marca un gol. El árbitro...</t>
  </si>
  <si>
    <t xml:space="preserve">Anula el gol y reanuda con un tiro libre indirecto.</t>
  </si>
  <si>
    <t xml:space="preserve">Si antes de volver a calzarse o de colocarse de nuevo la espinillera el jugador jugara el balón o marcara un gol, el gol será válido.</t>
  </si>
  <si>
    <t xml:space="preserve">RJ4-022</t>
  </si>
  <si>
    <t xml:space="preserve">Según la Regla 4, los dos equipos deberán vestir colores:</t>
  </si>
  <si>
    <t xml:space="preserve">Que los diferencien entre sí y del equipo arbitral.</t>
  </si>
  <si>
    <t xml:space="preserve">Que los diferencien entre sí, aunque coincidan con los del equipo arbitral.</t>
  </si>
  <si>
    <t xml:space="preserve">Que coincidan con los oficiales que cada club registre en la competición.</t>
  </si>
  <si>
    <t xml:space="preserve">Los dos equipos vestirán colores que los diferencien entre sí y del equipo arbitral.</t>
  </si>
  <si>
    <t xml:space="preserve">Regla 4 / Colores</t>
  </si>
  <si>
    <t xml:space="preserve">RJ4-023</t>
  </si>
  <si>
    <t xml:space="preserve">¿Qué exige la Regla 4 respecto al color de la camiseta de los guardametas?</t>
  </si>
  <si>
    <t xml:space="preserve">Que los diferencie de los demás jugadores y del equipo arbitral.</t>
  </si>
  <si>
    <t xml:space="preserve">Que los diferencie de los demás jugadores, pero no del equipo arbitral.</t>
  </si>
  <si>
    <t xml:space="preserve">Que los diferencie del equipo arbitral, pero no de los demás jugadores.</t>
  </si>
  <si>
    <t xml:space="preserve">Los guardametas vestirán colores que los diferencien de los demás jugadores y del equipo arbitral.</t>
  </si>
  <si>
    <t xml:space="preserve">RJ4-024</t>
  </si>
  <si>
    <t xml:space="preserve">Las camisetas de los dos guardametas son del mismo color y ninguno de ellos dispone de otra de repuesto de distinto color. El árbitro...</t>
  </si>
  <si>
    <t xml:space="preserve">Autoriza que se juegue el partido.</t>
  </si>
  <si>
    <t xml:space="preserve">No permite el inicio hasta que uno consiga otra camiseta.</t>
  </si>
  <si>
    <t xml:space="preserve">Obliga a que uno de ellos sea reemplazado por otro jugador.</t>
  </si>
  <si>
    <t xml:space="preserve">Si las camisetas de ambos guardametas fueran del mismo color y ninguno dispusiera de una de repuesto de otro color, el árbitro autorizará que se juegue el partido.</t>
  </si>
  <si>
    <t xml:space="preserve">RJ4-025</t>
  </si>
  <si>
    <t xml:space="preserve">¿Qué opción de color se permite para las camisetas interiores de los jugadores según la Regla 4?</t>
  </si>
  <si>
    <t xml:space="preserve">Un único color igual al color principal de las mangas de la camiseta, o bien estampadas replicando exactamente dichas mangas.</t>
  </si>
  <si>
    <t xml:space="preserve">Un único color, sin ninguna relación exigida con el color de las mangas de la camiseta.</t>
  </si>
  <si>
    <t xml:space="preserve">Un único color igual al color de los pantalones cortos, o bien estampadas replicando exactamente los pantalones.</t>
  </si>
  <si>
    <t xml:space="preserve">Las camisetas interiores podrán ser de un único color igual al color principal de las mangas, o bien estampadas o de varios colores siempre que repliquen exactamente las mangas de la camiseta.</t>
  </si>
  <si>
    <t xml:space="preserve">RJ4-026</t>
  </si>
  <si>
    <t xml:space="preserve">Si se usan mallas térmicas, ¿qué color deben tener y qué exige la Regla 4 respecto a los jugadores de un mismo equipo?</t>
  </si>
  <si>
    <t xml:space="preserve">El color principal de los pantalones cortos o su parte inferior, y todos los jugadores del equipo deberán llevarlas del mismo color.</t>
  </si>
  <si>
    <t xml:space="preserve">El color principal de los pantalones cortos o su parte inferior, aunque cada jugador puede llevarlas de distinto color.</t>
  </si>
  <si>
    <t xml:space="preserve">El mismo color que las medias, y todos los jugadores del equipo deberán llevarlas del mismo color.</t>
  </si>
  <si>
    <t xml:space="preserve">Las mallas térmicas deberán ser del color principal de los pantalones cortos o de su parte inferior, y los jugadores del mismo equipo deberán llevarlas del mismo color.</t>
  </si>
  <si>
    <t xml:space="preserve">RJ4-027</t>
  </si>
  <si>
    <t xml:space="preserve">¿Se permite el uso de equipamiento protector como rodilleras y coderas, siempre que no sea peligroso?</t>
  </si>
  <si>
    <t xml:space="preserve">Sí, se permite equipamiento protector no peligroso fabricado con materiales blandos, ligeros y acolchados.</t>
  </si>
  <si>
    <t xml:space="preserve">Sí, se permite equipamiento protector no peligroso fabricado con materiales rígidos y resistentes.</t>
  </si>
  <si>
    <t xml:space="preserve">No, solo se permite el uso de espinilleras como protección adicional.</t>
  </si>
  <si>
    <t xml:space="preserve">Se permite equipamiento protector no peligroso, como guantes, protectores de cabeza, máscaras faciales, rodilleras y coderas, fabricado con materiales blandos, ligeros y acolchados.</t>
  </si>
  <si>
    <t xml:space="preserve">Regla 4 / Otro tipo de equipamiento</t>
  </si>
  <si>
    <t xml:space="preserve">RJ4-028</t>
  </si>
  <si>
    <t xml:space="preserve">¿Pueden los guardametas utilizar pantalones largos según la Regla 4?</t>
  </si>
  <si>
    <t xml:space="preserve">Sí, los guardametas podrán utilizar pantalones largos.</t>
  </si>
  <si>
    <t xml:space="preserve">No, todos los jugadores, incluidos los guardametas, deben usar pantalón corto.</t>
  </si>
  <si>
    <t xml:space="preserve">Sí, en competiciones de categorías inferiores.</t>
  </si>
  <si>
    <t xml:space="preserve">También están permitidas las gorras para guardametas y las gafas de protección; los guardametas podrán utilizar pantalones largos.</t>
  </si>
  <si>
    <t xml:space="preserve">RJ4-029</t>
  </si>
  <si>
    <t xml:space="preserve">Un jugador usa un protector de cabeza (distinto de una gorra de guardameta). ¿Qué exige la Regla 4 respecto a su color?</t>
  </si>
  <si>
    <t xml:space="preserve">Que sea de color negro o del color principal de la camiseta, siempre que los jugadores de un mismo equipo usen el mismo color.</t>
  </si>
  <si>
    <t xml:space="preserve">Que sea de color blanco, con independencia del color de la camiseta del equipo.</t>
  </si>
  <si>
    <t xml:space="preserve">Que sea de color negro o del color principal de la camiseta, aunque los jugadores de un mismo equipo usen distinto color.</t>
  </si>
  <si>
    <t xml:space="preserve">Los protectores de cabeza deberán ser de color negro o del color principal de la camiseta, siempre que los jugadores del mismo equipo usen el mismo color.</t>
  </si>
  <si>
    <t xml:space="preserve">RJ4-030</t>
  </si>
  <si>
    <t xml:space="preserve">¿Puede un protector de cabeza estar unido o sujeto a la camiseta del jugador?</t>
  </si>
  <si>
    <t xml:space="preserve">No, no deberá estar unido o sujeto a la camiseta.</t>
  </si>
  <si>
    <t xml:space="preserve">Sí, si la sujeción es mediante velcro y no representa riesgo alguno.</t>
  </si>
  <si>
    <t xml:space="preserve">Sí, es la forma habitual de sujeción.</t>
  </si>
  <si>
    <t xml:space="preserve">Los protectores de cabeza no deberán estar unidos o sujetos a la camiseta.</t>
  </si>
  <si>
    <t xml:space="preserve">RJ4-031</t>
  </si>
  <si>
    <t xml:space="preserve">¿Qué exige la Regla 4 respecto a las protuberancias o partes que sobresalgan en un protector de cabeza?</t>
  </si>
  <si>
    <t xml:space="preserve">Que el protector carezca de partes que sobresalgan.</t>
  </si>
  <si>
    <t xml:space="preserve">Que las protuberancias estén acolchadas, sin necesidad de eliminarlas.</t>
  </si>
  <si>
    <t xml:space="preserve">No existe ninguna restricción específica sobre protuberancias.</t>
  </si>
  <si>
    <t xml:space="preserve">Los protectores de cabeza deberán carecer de partes que sobresalgan (protuberancias).</t>
  </si>
  <si>
    <t xml:space="preserve">RJ4-032</t>
  </si>
  <si>
    <t xml:space="preserve">¿Están autorizados los jugadores, suplentes y jugadores sustituidos o expulsados a llevar equipos electrónicos o de comunicación durante el partido?</t>
  </si>
  <si>
    <t xml:space="preserve">No, salvo que se permita el uso de sistemas EPTS.</t>
  </si>
  <si>
    <t xml:space="preserve">Sí, si no interfieren en el juego.</t>
  </si>
  <si>
    <t xml:space="preserve">Sí, los guardametas, para comunicarse con el cuerpo técnico.</t>
  </si>
  <si>
    <t xml:space="preserve">Los jugadores (incluidos suplentes, sustituidos y expulsados) no están autorizados a llevar o utilizar equipos electrónicos o de comunicación, excepto en el caso de que se permita el uso de EPTS.</t>
  </si>
  <si>
    <t xml:space="preserve">RJ4-033</t>
  </si>
  <si>
    <t xml:space="preserve">Según la Regla 4, el cuerpo técnico puede utilizar sistemas electrónicos de comunicación:</t>
  </si>
  <si>
    <t xml:space="preserve">Pequeños y portátiles, para el bienestar y la seguridad del jugador o con fines tácticos o de instrucción.</t>
  </si>
  <si>
    <t xml:space="preserve">De cualquier tamaño, para el bienestar y la seguridad del jugador o con fines tácticos o de instrucción.</t>
  </si>
  <si>
    <t xml:space="preserve">Pequeños y portátiles, pero únicamente para el bienestar y la seguridad del jugador, no con fines tácticos.</t>
  </si>
  <si>
    <t xml:space="preserve">Se permite el uso de sistemas electrónicos de comunicación por parte del cuerpo técnico, en lo relativo al bienestar y seguridad del jugador o por razones tácticas o de instrucción, pero solo equipos pequeños y portátiles.</t>
  </si>
  <si>
    <t xml:space="preserve">RJ4-034</t>
  </si>
  <si>
    <t xml:space="preserve">Un miembro del cuerpo técnico utiliza un equipo electrónico no autorizado o se comporta de manera inapropiada como consecuencia de su uso. El árbitro...</t>
  </si>
  <si>
    <t xml:space="preserve">No toma medida disciplinaria y le retira el dispositivo.</t>
  </si>
  <si>
    <t xml:space="preserve">Serán expulsados aquellos miembros del cuerpo técnico que usen equipos no autorizados o que se comporten de manera inapropiada como producto de su uso.</t>
  </si>
  <si>
    <t xml:space="preserve">RJ4-035</t>
  </si>
  <si>
    <t xml:space="preserve">Cuando se usan dispositivos EPTS facilitados por los organizadores del partido o la competición, ¿de quién es la responsabilidad de garantizar que los datos transmitidos al área técnica sean fiables y precisos?</t>
  </si>
  <si>
    <t xml:space="preserve">De los propios organizadores que facilitan dichos dispositivos.</t>
  </si>
  <si>
    <t xml:space="preserve">Del club que utiliza el dispositivo durante el partido.</t>
  </si>
  <si>
    <t xml:space="preserve">Del árbitro principal del encuentro.</t>
  </si>
  <si>
    <t xml:space="preserve">Cuando los EPTS los faciliten los organizadores del partido o la competición, será responsabilidad de estos garantizar que la información y los datos transmitidos sean fiables y precisos.</t>
  </si>
  <si>
    <t xml:space="preserve">RJ4-036</t>
  </si>
  <si>
    <t xml:space="preserve">¿Qué tipo de eslóganes, mensajes o imágenes tiene prohibido contener el equipamiento de un jugador según la Regla 4?</t>
  </si>
  <si>
    <t xml:space="preserve">De carácter político, religioso o personal.</t>
  </si>
  <si>
    <t xml:space="preserve">De carácter comercial no autorizado por la competición.</t>
  </si>
  <si>
    <t xml:space="preserve">De carácter deportivo relacionado con otro club.</t>
  </si>
  <si>
    <t xml:space="preserve">El equipamiento no deberá contener eslóganes, mensajes o imágenes de carácter político, religioso o personal.</t>
  </si>
  <si>
    <t xml:space="preserve">Regla 4 / Eslóganes, mensajes, imágenes y publicidad</t>
  </si>
  <si>
    <t xml:space="preserve">RJ4-037</t>
  </si>
  <si>
    <t xml:space="preserve">¿Dónde deben aparecer, con carácter general, los eslóganes, mensajes e imágenes autorizados en el equipamiento?</t>
  </si>
  <si>
    <t xml:space="preserve">En cualquier parte visible del equipamiento, incluidas las mangas y la espalda.</t>
  </si>
  <si>
    <t xml:space="preserve">En la parte posterior de la camiseta, junto al dorsal.</t>
  </si>
  <si>
    <t xml:space="preserve">Los eslóganes autorizados, los mensajes y las imágenes deberán aparecer únicamente en el frontal de la camiseta o en el brazalete.</t>
  </si>
  <si>
    <t xml:space="preserve">RJ4-038</t>
  </si>
  <si>
    <t xml:space="preserve">¿A qué colectivos se aplican los principios de la Regla 4 relativos al equipamiento, además de a jugadores, suplentes y jugadores sustituidos?</t>
  </si>
  <si>
    <t xml:space="preserve">A todos los miembros del cuerpo técnico ubicados en el área técnica.</t>
  </si>
  <si>
    <t xml:space="preserve">A los delegados de campo acreditados.</t>
  </si>
  <si>
    <t xml:space="preserve">A los espectadores situados en las primeras filas de la grada.</t>
  </si>
  <si>
    <t xml:space="preserve">Los principios de la Regla 4 serán también aplicables a todos los miembros del cuerpo técnico ubicados en el área técnica.</t>
  </si>
  <si>
    <t xml:space="preserve">RJ4-039</t>
  </si>
  <si>
    <t xml:space="preserve">Además del número, el nombre y el escudo del equipo, la Regla 4 permite (generalmente) en el equipamiento:</t>
  </si>
  <si>
    <t xml:space="preserve">Eslóganes de iniciativas y logotipos que promuevan el fútbol, el respeto y la integridad.</t>
  </si>
  <si>
    <t xml:space="preserve">Mensajes comerciales de patrocinadores distintos del fabricante del equipamiento.</t>
  </si>
  <si>
    <t xml:space="preserve">Imágenes de personalidades públicas relacionadas con el mundo del fútbol.</t>
  </si>
  <si>
    <t xml:space="preserve">Se permite, entre otros elementos, el número del jugador, el nombre, el escudo del equipo, eslóganes de alguna iniciativa y logotipos que promuevan el fútbol, el respeto y la integridad.</t>
  </si>
  <si>
    <t xml:space="preserve">RJ4-040</t>
  </si>
  <si>
    <t xml:space="preserve">¿Está autorizado en el equipamiento un eslogan o una imagen relativa a un acto o acontecimiento de carácter político?</t>
  </si>
  <si>
    <t xml:space="preserve">No.</t>
  </si>
  <si>
    <t xml:space="preserve">Sí, si se trata de un acontecimiento histórico.</t>
  </si>
  <si>
    <t xml:space="preserve">Sí, si lo autoriza el club del jugador.</t>
  </si>
  <si>
    <t xml:space="preserve">Entre los supuestos no permitidos, la Regla 4 incluye expresamente ningún acto o acontecimiento de carácter político.</t>
  </si>
  <si>
    <t xml:space="preserve">RJ4-041</t>
  </si>
  <si>
    <t xml:space="preserve">Según la interpretación de la Regla 4, ¿está permitida una imagen de una persona, viva o fallecida, en el equipamiento de un jugador?</t>
  </si>
  <si>
    <t xml:space="preserve">No, salvo que dicha persona forme parte del nombre de la competición.</t>
  </si>
  <si>
    <t xml:space="preserve">Sí, si la persona no está vinculada a ningún partido político.</t>
  </si>
  <si>
    <t xml:space="preserve">Sí, ya que solo se prohíben imágenes de organizaciones.</t>
  </si>
  <si>
    <t xml:space="preserve">No se permitirán eslóganes, mensajes o imágenes de personas, vivas o ya fallecidas, a menos que formen parte del nombre de la competición.</t>
  </si>
  <si>
    <t xml:space="preserve">RJ4-042</t>
  </si>
  <si>
    <t xml:space="preserve">¿Está permitida en el equipamiento una imagen relacionada con una organización de carácter discriminatorio?</t>
  </si>
  <si>
    <t xml:space="preserve">No, no se permite ninguna organización de carácter discriminatorio.</t>
  </si>
  <si>
    <t xml:space="preserve">Sí, si no se explicita el nombre completo de la organización.</t>
  </si>
  <si>
    <t xml:space="preserve">Sí, si el árbitro no aprecia intencionalidad ofensiva en el jugador que la porta.</t>
  </si>
  <si>
    <t xml:space="preserve">No se permite ningún eslogan, mensaje o imagen de ninguna organización de carácter discriminatorio.</t>
  </si>
  <si>
    <t xml:space="preserve">RJ4-043</t>
  </si>
  <si>
    <t xml:space="preserve">Cuando se conmemora un acto relevante nacional o internacional a través del equipamiento, ¿qué debe tenerse en cuenta según la Regla 4?</t>
  </si>
  <si>
    <t xml:space="preserve">Las sensibilidades del equipo adversario, de sus seguidores y del público en general.</t>
  </si>
  <si>
    <t xml:space="preserve">La autorización previa del árbitro del encuentro y del equipo adversario.</t>
  </si>
  <si>
    <t xml:space="preserve">El criterio del club organizador del partido y de sus seguidores.</t>
  </si>
  <si>
    <t xml:space="preserve">Cuando se conmemore un acto relevante nacional o internacional, se deberán tener en consideración las sensibilidades del equipo adversario, de sus seguidores y del público en general.</t>
  </si>
  <si>
    <t xml:space="preserve">RJ4-044</t>
  </si>
  <si>
    <t xml:space="preserve">¿Puede el reglamento de la competición establecer restricciones adicionales sobre el tamaño, número y posición de los eslóganes, mensajes e imágenes permitidos?</t>
  </si>
  <si>
    <t xml:space="preserve">Sí, las reglas de la competición podrán estipular otro tipo de restricciones o limitaciones al respecto.</t>
  </si>
  <si>
    <t xml:space="preserve">No, esas condiciones vienen fijadas de forma cerrada por la Regla 4, sin margen adicional.</t>
  </si>
  <si>
    <t xml:space="preserve">Sí, en lo referente al tamaño, pero no al número o la posición.</t>
  </si>
  <si>
    <t xml:space="preserve">Las reglas de la competición podrán estipular otro tipo de restricciones o limitaciones relativas al tamaño, número y posición de los eslóganes, mensajes e imágenes permitidos.</t>
  </si>
  <si>
    <t xml:space="preserve">RJ4-045</t>
  </si>
  <si>
    <t xml:space="preserve">Un jugador incumple la prohibición de mostrar en su ropa interior imágenes de carácter publicitario ajenas al logotipo del fabricante. ¿Quién puede sancionar esta infracción según la Regla 4?</t>
  </si>
  <si>
    <t xml:space="preserve">El organizador de la competición, la federación nacional de fútbol o la FIFA.</t>
  </si>
  <si>
    <t xml:space="preserve">El árbitro del encuentro, mediante amonestación directa e inmediata.</t>
  </si>
  <si>
    <t xml:space="preserve">El club al que pertenece el jugador, de forma interna.</t>
  </si>
  <si>
    <t xml:space="preserve">En caso de infracción por mostrar ropa interior con imágenes no autorizadas, el jugador o el equipo serán sancionados por el organizador de la competición, la federación nacional o la FIFA.</t>
  </si>
  <si>
    <t xml:space="preserve">RJ4-046</t>
  </si>
  <si>
    <t xml:space="preserve">Durante el juego, un jugador incumple alguna disposición de la Regla 4 sobre su equipamiento. El árbitro...</t>
  </si>
  <si>
    <t xml:space="preserve">No necesita detener el juego; ordenará al jugador que salga a corregirlo.</t>
  </si>
  <si>
    <t xml:space="preserve">Detiene el juego de inmediato y ordena al jugador que salga a corregirlo.</t>
  </si>
  <si>
    <t xml:space="preserve">No necesita detener el juego; el jugador lo corregirá sin salir del campo.</t>
  </si>
  <si>
    <t xml:space="preserve">En caso de infracción de la Regla 4, no es necesario detener el juego; el árbitro ordenará al jugador infractor que abandone el terreno de juego para corregir su equipamiento.</t>
  </si>
  <si>
    <t xml:space="preserve">Regla 4 / Infracciones y sanciones</t>
  </si>
  <si>
    <t xml:space="preserve">RJ4-047</t>
  </si>
  <si>
    <t xml:space="preserve">Un jugador tiene pendiente corregir su equipamiento y el juego se detiene por otra causa. El jugador deberá:</t>
  </si>
  <si>
    <t xml:space="preserve">Salir del terreno de juego, salvo que ya lo haya corregido.</t>
  </si>
  <si>
    <t xml:space="preserve">Seguir jugando hasta que finalice esa parte del partido.</t>
  </si>
  <si>
    <t xml:space="preserve">Esperar al descanso del partido para corregir su equipamiento.</t>
  </si>
  <si>
    <t xml:space="preserve">El jugador saldrá del terreno de juego cuando se detenga el juego, a menos que ya haya corregido su equipamiento previamente.</t>
  </si>
  <si>
    <t xml:space="preserve">RJ4-049</t>
  </si>
  <si>
    <t xml:space="preserve">Además de guantes, rodilleras y coderas, ¿qué otro equipamiento permite expresamente la Regla 4?</t>
  </si>
  <si>
    <t xml:space="preserve">Las gorras para guardametas y las gafas de protección.</t>
  </si>
  <si>
    <t xml:space="preserve">Los guantes de campo para cualquier jugador que no sea guardameta.</t>
  </si>
  <si>
    <t xml:space="preserve">Los cascos rígidos de tipo deportivo para todos los jugadores de campo.</t>
  </si>
  <si>
    <t xml:space="preserve">También están permitidas las gorras para guardametas y las gafas de protección.</t>
  </si>
  <si>
    <t xml:space="preserve">Regla 4.4</t>
  </si>
  <si>
    <t xml:space="preserve">RJ4-050</t>
  </si>
  <si>
    <t xml:space="preserve">Además de no tener protuberancias, un protector de cabeza deberá:</t>
  </si>
  <si>
    <t xml:space="preserve">No suponer ningún riesgo para quien lo lleve ni para otros jugadores.</t>
  </si>
  <si>
    <t xml:space="preserve">Ser del mismo color que el pantalón del equipo del jugador.</t>
  </si>
  <si>
    <t xml:space="preserve">Llevar el escudo del club en la parte frontal del protector.</t>
  </si>
  <si>
    <t xml:space="preserve">El protector de cabeza no deberá suponer ningún riesgo para el jugador que lo lleve ni para ningún otro jugador (p. ej. un cierre alrededor del cuello).</t>
  </si>
  <si>
    <t xml:space="preserve">RJ4-051</t>
  </si>
  <si>
    <t xml:space="preserve">Cuando se usan dispositivos EPTS en una competición oficial, ¿qué debe garantizar el organizador de la competición respecto a dichos dispositivos?</t>
  </si>
  <si>
    <t xml:space="preserve">Que no sean peligrosos y que cumplan los criterios del Programa de calidad de la FIFA de EPTS.</t>
  </si>
  <si>
    <t xml:space="preserve">Que no sean peligrosos y que sean fabricados por el proveedor oficial de la competición.</t>
  </si>
  <si>
    <t xml:space="preserve">Que no sean peligrosos y que su coste sea asumido por el club que los utiliza.</t>
  </si>
  <si>
    <t xml:space="preserve">El organizador de la competición deberá garantizar que los dispositivos EPTS no sean peligrosos y que cumplan con los criterios del Programa de calidad de la FIFA de EPTS.</t>
  </si>
  <si>
    <t xml:space="preserve">RJ4-052</t>
  </si>
  <si>
    <t xml:space="preserve">Además de los datos habituales del equipo, ¿qué otro tipo de información sobre el partido se permite generalmente incluir en el equipamiento?</t>
  </si>
  <si>
    <t xml:space="preserve">Los datos del partido: equipo, fecha, competición, estadio y ciudad.</t>
  </si>
  <si>
    <t xml:space="preserve">Los datos del partido: equipo, fecha, competición, estadio y clasificación actual.</t>
  </si>
  <si>
    <t xml:space="preserve">Los datos del partido: equipo, fecha, competición, estadio y patrocinador principal.</t>
  </si>
  <si>
    <t xml:space="preserve">Entre lo que se permite generalmente se incluyen los datos de un partido: equipo, fecha, competición, estadio, ciudad.</t>
  </si>
  <si>
    <t xml:space="preserve">Regla 4.5</t>
  </si>
  <si>
    <t xml:space="preserve">RJ4-053</t>
  </si>
  <si>
    <t xml:space="preserve">Según la Regla 4, los eslóganes, mensajes o imágenes autorizados aparecerán solo en el brazalete del capitán:</t>
  </si>
  <si>
    <t xml:space="preserve">En algunos casos.</t>
  </si>
  <si>
    <t xml:space="preserve">Cuando el capitán sea el guardameta.</t>
  </si>
  <si>
    <t xml:space="preserve">Cuando lo autorice el árbitro.</t>
  </si>
  <si>
    <t xml:space="preserve">En algunos casos, los eslóganes, los mensajes o las imágenes aparecerán únicamente en el brazalete del capitán.</t>
  </si>
  <si>
    <t xml:space="preserve">RJ4-054</t>
  </si>
  <si>
    <t xml:space="preserve">A la hora de decidir si un eslogan, mensaje o imagen es permisible, ¿qué debe considerarse según la interpretación de la Regla 4?</t>
  </si>
  <si>
    <t xml:space="preserve">Lo estipulado en la Regla 12, que obliga al árbitro a actuar si el jugador emplea lenguaje o actúa de modo ofensivo, insultante, humillante, provocador o exaltado.</t>
  </si>
  <si>
    <t xml:space="preserve">Lo estipulado en la Regla 12, que solo obliga al árbitro a actuar si el jugador emplea lenguaje ofensivo o insultante, sin incluir lo provocador o exaltado.</t>
  </si>
  <si>
    <t xml:space="preserve">La opinión del delegado de campo sobre la conveniencia del mensaje mostrado en la prenda, según la Regla 4.</t>
  </si>
  <si>
    <t xml:space="preserve">Se deberá considerar lo estipulado en la Regla 12, que obliga al árbitro a actuar si un jugador emplea lenguaje o actúa de modo ofensivo, insultante o humillante, o de forma provocadora o exaltada.</t>
  </si>
  <si>
    <t xml:space="preserve">RJ4-055</t>
  </si>
  <si>
    <t xml:space="preserve">Además de las imágenes de personas y organizaciones discriminatorias, la Regla 4 no permite en el equipamiento eslóganes, mensajes o imágenes de:</t>
  </si>
  <si>
    <t xml:space="preserve">Partidos, organizaciones o grupos políticos, y de gobiernos, sus ministerios, cargos o funciones.</t>
  </si>
  <si>
    <t xml:space="preserve">La ciudad o el estadio donde se dispute el partido, al considerarse de carácter político.</t>
  </si>
  <si>
    <t xml:space="preserve">El organizador oficial de la competición, al considerarse propaganda de carácter político.</t>
  </si>
  <si>
    <t xml:space="preserve">No se permitirán eslóganes, mensajes o imágenes de partidos, organizaciones o grupos de carácter político, ni de gobiernos locales, regionales o nacionales ni de sus ministerios, cargos o funciones.</t>
  </si>
  <si>
    <t xml:space="preserve">RJ4-056</t>
  </si>
  <si>
    <t xml:space="preserve">Un jugador que ha salido del terreno de juego para corregir su equipamiento quiere volver a entrar mientras el juego está en marcha. ¿Qué debe hacer?</t>
  </si>
  <si>
    <t xml:space="preserve">Someter su equipamiento a control y volver a entrar solo con el permiso del árbitro.</t>
  </si>
  <si>
    <t xml:space="preserve">Volver a entrar en cuanto haya corregido su equipamiento, sin necesidad de control.</t>
  </si>
  <si>
    <t xml:space="preserve">Someter su equipamiento a control y esperar a que el juego se detenga para entrar.</t>
  </si>
  <si>
    <t xml:space="preserve">Los jugadores que abandonen el terreno de juego para corregir o cambiar su equipamiento deberán someterlo al control de un miembro del equipo arbitral y volver a entrar únicamente con el permiso del árbitro, que puede concederse durante el juego.</t>
  </si>
  <si>
    <t xml:space="preserve">RJ4-057</t>
  </si>
  <si>
    <t xml:space="preserve">Un jugador vuelve a entrar en el terreno de juego tras corregir su equipamiento sin el permiso del árbitro, quien detiene el juego. ¿Qué decisión toma el árbitro?</t>
  </si>
  <si>
    <t xml:space="preserve">Lo amonesta y reanuda con tiro libre indirecto donde estaba el balón, o directo (o penal) donde interfirió.</t>
  </si>
  <si>
    <t xml:space="preserve">No toma medida disciplinaria y reanuda con tiro libre indirecto donde estaba el balón, o directo donde interfirió.</t>
  </si>
  <si>
    <t xml:space="preserve">Lo expulsa y reanuda con tiro libre indirecto donde estaba el balón, o directo (o penal) donde interfirió.</t>
  </si>
  <si>
    <t xml:space="preserve">Se amonestará a los jugadores que reingresen sin el permiso expreso del árbitro; si hubiera que detener el juego para amonestarlo, se concederá un libre indirecto donde estaba el balón, salvo interferencia, en cuyo caso será directo o penal desde el lugar de la interferencia.</t>
  </si>
  <si>
    <t xml:space="preserve">RJ4-058</t>
  </si>
  <si>
    <t xml:space="preserve">Un jugador quiere jugar con camiseta de manga larga mientras el resto de su equipo la lleva de manga corta. ¿Está permitido?</t>
  </si>
  <si>
    <t xml:space="preserve">Sí, si cumple el resto de disposiciones de la Regla 4.</t>
  </si>
  <si>
    <t xml:space="preserve">No, todos deben llevar el mismo tipo de manga.</t>
  </si>
  <si>
    <t xml:space="preserve">Sí, solo si lo autoriza el capitán de su equipo.</t>
  </si>
  <si>
    <t xml:space="preserve">La Regla 4 no exige que todos los jugadores lleven idéntica longitud de manga, siempre que se respete el resto de especificaciones del equipamiento.</t>
  </si>
  <si>
    <t xml:space="preserve">RJ4-059</t>
  </si>
  <si>
    <t xml:space="preserve">Un guardameta quiere llevar unos guantes del mismo color que la camiseta del guardameta adversario. El árbitro...</t>
  </si>
  <si>
    <t xml:space="preserve">Lo permite, porque la Regla 4 no regula el color de los guantes.</t>
  </si>
  <si>
    <t xml:space="preserve">No lo permite, porque los guardametas deben distinguirse entre sí.</t>
  </si>
  <si>
    <t xml:space="preserve">Lo permite, solo si ambos guardametas usan el mismo modelo de guante.</t>
  </si>
  <si>
    <t xml:space="preserve">La camiseta del guardameta debe distinguirse de la del resto de jugadores y árbitros; la Regla 4 no impone una restricción de color específica para los guantes entre guardametas.</t>
  </si>
  <si>
    <t xml:space="preserve">RJ4-060</t>
  </si>
  <si>
    <t xml:space="preserve">Antes del inicio del partido, el árbitro detecta que un jugador lleva un reloj inteligente no vinculado a ningún sistema autorizado por la competición. ¿Qué debe hacer?</t>
  </si>
  <si>
    <t xml:space="preserve">Impedir que el jugador participe hasta que se retire el dispositivo no autorizado.</t>
  </si>
  <si>
    <t xml:space="preserve">Permitir su uso si el jugador demuestra que no interfiere en el desarrollo del juego.</t>
  </si>
  <si>
    <t xml:space="preserve">Permitir su uso, ya que solo los teléfonos móviles están expresamente prohibidos.</t>
  </si>
  <si>
    <t xml:space="preserve">Los equipos electrónicos deben cumplir la Regla 4; el árbitro debe impedir que participe un jugador con equipamiento no permitido hasta corregirlo.</t>
  </si>
  <si>
    <t xml:space="preserve">RJ4-061</t>
  </si>
  <si>
    <t xml:space="preserve">Un club solicita mostrar en la camiseta de sus jugadores un eslogan conmemorativo de un aniversario del club. ¿Está permitido?</t>
  </si>
  <si>
    <t xml:space="preserve">Sí, siempre que no tenga carácter político, religioso o personal, y respete las condiciones fijadas al respecto.</t>
  </si>
  <si>
    <t xml:space="preserve">No, ningún eslogan distinto al patrocinador oficial puede figurar en la equipación de los jugadores.</t>
  </si>
  <si>
    <t xml:space="preserve">Sí, sin ninguna condición, al tratarse de un mensaje relacionado con la propia identidad del club.</t>
  </si>
  <si>
    <t xml:space="preserve">Los eslóganes, declaraciones o imágenes están permitidos siempre que no sean de carácter político, religioso o personal, entre otras condiciones fijadas.</t>
  </si>
  <si>
    <t xml:space="preserve">RJ4-062</t>
  </si>
  <si>
    <t xml:space="preserve">Un jugador sale a jugar la segunda parte con una camiseta distinta de la que llevaba en la primera, sin avisar al árbitro. El árbitro...</t>
  </si>
  <si>
    <t xml:space="preserve">Comprueba que la nueva camiseta cumple la Regla 4.</t>
  </si>
  <si>
    <t xml:space="preserve">Lo permite sin necesidad de comprobar la camiseta.</t>
  </si>
  <si>
    <t xml:space="preserve">No lo permite, porque no puede cambiar de camiseta.</t>
  </si>
  <si>
    <t xml:space="preserve">Corresponde al árbitro comprobar que el equipamiento de cada jugador cumple la Regla 4 en todo momento del partido.</t>
  </si>
  <si>
    <t xml:space="preserve">RJ4-063</t>
  </si>
  <si>
    <t xml:space="preserve">Un jugador quiere jugar con las mangas de la camiseta remangadas por encima del codo. ¿Está permitido?</t>
  </si>
  <si>
    <t xml:space="preserve">No, la manga debe cubrir como mínimo hasta el codo.</t>
  </si>
  <si>
    <t xml:space="preserve">No, se considera equipamiento peligroso para los demás.</t>
  </si>
  <si>
    <t xml:space="preserve">La Regla 4 no exige una forma concreta de llevar la manga de la camiseta, siempre que se respeten el resto de sus disposiciones.</t>
  </si>
  <si>
    <t xml:space="preserve">RJ4-064</t>
  </si>
  <si>
    <t xml:space="preserve">¿Puede un jugador llevar durante el partido una cinta elástica en la muñeca con fines médicos, prescrita por un profesional sanitario?</t>
  </si>
  <si>
    <t xml:space="preserve">Sí, siempre que no represente peligro alguno para el propio jugador o para otros participantes.</t>
  </si>
  <si>
    <t xml:space="preserve">No, cualquier objeto en la muñeca está expresamente prohibido, tenga o no fin médico.</t>
  </si>
  <si>
    <t xml:space="preserve">Sí, sin ninguna limitación relacionada con su seguridad.</t>
  </si>
  <si>
    <t xml:space="preserve">El equipamiento con fines médicos se permite siempre que cumpla la condición general de no ser peligroso para el jugador ni para el resto de participantes.</t>
  </si>
  <si>
    <t xml:space="preserve">RJ4-065</t>
  </si>
  <si>
    <t xml:space="preserve">Un jugador se presenta a jugar sin espinilleras, alegando que las olvidó en casa. ¿Puede el árbitro autorizar su participación?</t>
  </si>
  <si>
    <t xml:space="preserve">No, las espinilleras son un elemento obligatorio del equipamiento básico.</t>
  </si>
  <si>
    <t xml:space="preserve">Sí, si el jugador se compromete a colocárselas en el descanso de la primera parte.</t>
  </si>
  <si>
    <t xml:space="preserve">Sí, si el resto de sus compañeros de equipo también renuncian a llevarlas.</t>
  </si>
  <si>
    <t xml:space="preserve">Las espinilleras forman parte del equipamiento básico obligatorio que todo jugador debe llevar para poder participar.</t>
  </si>
  <si>
    <t xml:space="preserve">RJ4-066</t>
  </si>
  <si>
    <t xml:space="preserve">¿Puede un jugador llevar un peinado con adornos rígidos que puedan suponer un riesgo para otros jugadores?</t>
  </si>
  <si>
    <t xml:space="preserve">No, porque puede resultar peligroso para él o para otros jugadores.</t>
  </si>
  <si>
    <t xml:space="preserve">Sí, porque los adornos del peinado no se consideran equipamiento.</t>
  </si>
  <si>
    <t xml:space="preserve">Sí, si el adorno es de material blando, aunque tenga partes rígidas.</t>
  </si>
  <si>
    <t xml:space="preserve">La prohibición de objetos peligrosos alcanza a cualquier elemento del equipamiento o aspecto del jugador que pueda suponer un riesgo, no solo a la joyería en sentido estricto.</t>
  </si>
  <si>
    <t xml:space="preserve">RJ4-067</t>
  </si>
  <si>
    <t xml:space="preserve">Un guardameta desea llevar una gorra durante el partido para protegerse del sol. ¿Está permitido?</t>
  </si>
  <si>
    <t xml:space="preserve">Sí, no existe ninguna prohibición específica sobre el uso de gorras por parte de los guardametas.</t>
  </si>
  <si>
    <t xml:space="preserve">No, ningún jugador puede llevar gorra durante un partido oficial.</t>
  </si>
  <si>
    <t xml:space="preserve">Sí, únicamente si el árbitro considera que las condiciones climatológicas lo justifican.</t>
  </si>
  <si>
    <t xml:space="preserve">Las Reglas de Juego no prohíben expresamente el uso de gorras por parte de los guardametas, siempre que no supongan peligro ni incumplan otras disposiciones.</t>
  </si>
  <si>
    <t xml:space="preserve">RJ4-068</t>
  </si>
  <si>
    <t xml:space="preserve">Un jugador quiere llevar en su camiseta el nombre de un jugador fallecido como homenaje, sin autorización de la competición. ¿Está permitido?</t>
  </si>
  <si>
    <t xml:space="preserve">No necesariamente: debe cumplir la Regla 4 y, en su caso, contar con autorización.</t>
  </si>
  <si>
    <t xml:space="preserve">Sí, los homenajes de carácter personal no necesitan ninguna autorización previa.</t>
  </si>
  <si>
    <t xml:space="preserve">No, solo se permite en la camiseta la publicidad de los patrocinadores oficiales.</t>
  </si>
  <si>
    <t xml:space="preserve">Los mensajes o imágenes en el equipamiento deben cumplir las condiciones generales de la Regla 4 y, en función del caso, contar con la autorización correspondiente.</t>
  </si>
  <si>
    <t xml:space="preserve">RJ4-070</t>
  </si>
  <si>
    <t xml:space="preserve">Un jugador lleva un anillo de compromiso que no resulta peligroso y está cubierto de forma segura. El árbitro...</t>
  </si>
  <si>
    <t xml:space="preserve">Le permite jugar con él.</t>
  </si>
  <si>
    <t xml:space="preserve">Le ordena que se lo quite.</t>
  </si>
  <si>
    <t xml:space="preserve">Le permite jugar solo si es de plástico.</t>
  </si>
  <si>
    <t xml:space="preserve">Regla 4.1 (2026/27): «Se permite llevar accesorios siempre y cuando no sean peligrosos y estén cubiertos de forma segura». Desaparece la prohibición general de joyería.</t>
  </si>
  <si>
    <t xml:space="preserve">Regla 4.1</t>
  </si>
  <si>
    <t xml:space="preserve">RJ4-071</t>
  </si>
  <si>
    <t xml:space="preserve">Durante el juego, un jugador pierde accidentalmente una espinillera y el juego no se detiene. El jugador deberá:</t>
  </si>
  <si>
    <t xml:space="preserve">Volver a colocársela lo antes posible y, como máximo, cuando el juego se detenga.</t>
  </si>
  <si>
    <t xml:space="preserve">Abandonar de inmediato el terreno de juego para colocársela, aunque el balón esté en juego.</t>
  </si>
  <si>
    <t xml:space="preserve">Volver a colocársela en el descanso, ya que puede seguir jugando hasta entonces.</t>
  </si>
  <si>
    <t xml:space="preserve">Ante una deficiencia sobrevenida del equipamiento, el jugador deberá corregirla en la siguiente interrupción del juego.</t>
  </si>
  <si>
    <t xml:space="preserve">RJ4-072</t>
  </si>
  <si>
    <t xml:space="preserve">En un partido con frío extremo, un jugador de campo quiere jugar con guantes. ¿Está permitido?</t>
  </si>
  <si>
    <t xml:space="preserve">Sí, si no suponen ningún peligro.</t>
  </si>
  <si>
    <t xml:space="preserve">No, los guantes son solo para los guardametas.</t>
  </si>
  <si>
    <t xml:space="preserve">Sí, si el árbitro los autoriza para todo el equipo.</t>
  </si>
  <si>
    <t xml:space="preserve">No existe una prohibición específica sobre el uso de guantes por jugadores de campo, siempre que cumplan las condiciones generales de seguridad del equipamiento.</t>
  </si>
  <si>
    <t xml:space="preserve">RJ4-073</t>
  </si>
  <si>
    <t xml:space="preserve">¿Cuál de los siguientes elementos se permite, con carácter general, en el equipamiento de un jugador?</t>
  </si>
  <si>
    <t xml:space="preserve">Logotipos que promuevan el fútbol, el respeto y la integridad.</t>
  </si>
  <si>
    <t xml:space="preserve">Eslóganes de carácter político, si el club lo autoriza por escrito.</t>
  </si>
  <si>
    <t xml:space="preserve">Imágenes de carácter personal, si el jugador lo comunica al árbitro.</t>
  </si>
  <si>
    <t xml:space="preserve">Se permite, con carácter general, el número del jugador, el nombre, el escudo del equipo, eslóganes de alguna iniciativa, logotipos que promuevan el fútbol, el respeto y la integridad, así como la publicidad autorizada en el reglamento de la competición.</t>
  </si>
  <si>
    <t xml:space="preserve">RJ4-074</t>
  </si>
  <si>
    <t xml:space="preserve">¿Puede el equipamiento de un jugador incluir el logotipo de una organización cuyos objetivos puedan ofender a un número considerable de personas?</t>
  </si>
  <si>
    <t xml:space="preserve">No, este tipo de eslóganes, mensajes e imágenes no está autorizado.</t>
  </si>
  <si>
    <t xml:space="preserve">Sí, si la organización está legalmente constituida en su país de origen.</t>
  </si>
  <si>
    <t xml:space="preserve">Sí, si el club lo autoriza expresamente antes del inicio de la temporada.</t>
  </si>
  <si>
    <t xml:space="preserve">No se permiten eslóganes, mensajes ni imágenes de ninguna organización cuyos objetivos o acciones puedan ofender a un número considerable de personas.</t>
  </si>
  <si>
    <t xml:space="preserve">RJ4-075</t>
  </si>
  <si>
    <t xml:space="preserve">Un jugador quiere jugar con lentillas en lugar de gafas graduadas. ¿Está permitido?</t>
  </si>
  <si>
    <t xml:space="preserve">Sí, si no representan ningún peligro.</t>
  </si>
  <si>
    <t xml:space="preserve">No, solo se permiten gafas deportivas.</t>
  </si>
  <si>
    <t xml:space="preserve">Sí, con autorización previa del árbitro.</t>
  </si>
  <si>
    <t xml:space="preserve">Las lentillas no forman parte del equipamiento regulado como peligroso y constituyen una alternativa habitual y válida a las gafas para la corrección visual.</t>
  </si>
  <si>
    <t xml:space="preserve">RJ4-076</t>
  </si>
  <si>
    <t xml:space="preserve">¿Puede el guardameta llevar una camiseta de manga larga mientras el resto de sus compañeros de campo la llevan de manga corta?</t>
  </si>
  <si>
    <t xml:space="preserve">Sí, no existe obligación de coincidencia de manga entre el guardameta y el resto de jugadores de campo.</t>
  </si>
  <si>
    <t xml:space="preserve">No, todos los jugadores del equipo, incluido el guardameta, deben llevar el mismo tipo de manga.</t>
  </si>
  <si>
    <t xml:space="preserve">Sí, únicamente si las condiciones climatológicas lo justifican expresamente.</t>
  </si>
  <si>
    <t xml:space="preserve">No se exige coincidencia en el tipo de manga entre el guardameta y los jugadores de campo de su equipo.</t>
  </si>
  <si>
    <t xml:space="preserve">RJ4-077</t>
  </si>
  <si>
    <t xml:space="preserve">Un jugador lleva unas mallas del mismo color que el color principal de sus pantalones cortos. ¿Cumple la Regla 4?</t>
  </si>
  <si>
    <t xml:space="preserve">Sí.</t>
  </si>
  <si>
    <t xml:space="preserve">No, deben ser del color de la camiseta.</t>
  </si>
  <si>
    <t xml:space="preserve">No, deben ser del color de las medias.</t>
  </si>
  <si>
    <t xml:space="preserve">Las mallas deben coincidir en color con el color principal de los pantalones cortos o su parte inferior.</t>
  </si>
  <si>
    <t xml:space="preserve">RJ4-080</t>
  </si>
  <si>
    <t xml:space="preserve">En un partido de categoría femenina, ¿puede una jugadora llevar un hiyab deportivo como parte de su equipamiento?</t>
  </si>
  <si>
    <t xml:space="preserve">Sí, siempre que no represente peligro alguno para ella o para otras jugadoras.</t>
  </si>
  <si>
    <t xml:space="preserve">No, cualquier prenda que cubra la cabeza está prohibida por las Reglas de Juego.</t>
  </si>
  <si>
    <t xml:space="preserve">Sí, únicamente si lo autoriza expresamente el reglamento de cada competición.</t>
  </si>
  <si>
    <t xml:space="preserve">Las Reglas de Juego permiten el uso de prendas religiosas o culturales, como el hiyab deportivo, siempre que no representen peligro alguno.</t>
  </si>
  <si>
    <t xml:space="preserve">RJ4-081</t>
  </si>
  <si>
    <t xml:space="preserve">Un jugador, tras perder accidentalmente una espinillera durante una jugada, continúa disputando el balón unos segundos hasta que el juego se detiene por una infracción distinta. ¿Ha actuado correctamente el árbitro al no detener el juego de inmediato solo por la espinillera?</t>
  </si>
  <si>
    <t xml:space="preserve">Sí, basta con corregirla en la siguiente interrupción, salvo riesgo inmediato para algún jugador.</t>
  </si>
  <si>
    <t xml:space="preserve">No, la pérdida de cualquier prenda obligatoria exige detener el juego de inmediato.</t>
  </si>
  <si>
    <t xml:space="preserve">Sí, pero solo porque la infracción que detuvo el juego benefició a su propio equipo.</t>
  </si>
  <si>
    <t xml:space="preserve">Ante una deficiencia sobrevenida del equipamiento que no suponga un riesgo inmediato, no es necesario detener el juego de inmediato; se corrige en la siguiente interrupción del juego.</t>
  </si>
  <si>
    <t xml:space="preserve">RJ4-083</t>
  </si>
  <si>
    <t xml:space="preserve">Un jugador, ya amonestado por incumplir la Regla 4 sobre equipamiento, vuelve a cometer en el mismo partido una infracción sancionable con amonestación relacionada con su equipamiento. El árbitro...</t>
  </si>
  <si>
    <t xml:space="preserve">Lo amonesta por segunda vez y lo expulsa.</t>
  </si>
  <si>
    <t xml:space="preserve">No toma medida disciplinaria, porque es la misma infracción.</t>
  </si>
  <si>
    <t xml:space="preserve">Le ordena corregir su equipamiento, sin medida disciplinaria.</t>
  </si>
  <si>
    <t xml:space="preserve">Una segunda infracción sancionable con amonestación en el mismo partido conlleva una segunda amonestación y, por tanto, la expulsión del jugador, con independencia de que ambas infracciones sean del mismo tipo.</t>
  </si>
  <si>
    <t xml:space="preserve">RJ4-085</t>
  </si>
  <si>
    <t xml:space="preserve">Los jugadores de un equipo lucen un eslogan de una iniciativa social contra una enfermedad que no es político, religioso, personal ni discriminatorio. ¿Está permitido con carácter general?</t>
  </si>
  <si>
    <t xml:space="preserve">Sí, los eslóganes de alguna iniciativa se permiten con carácter general.</t>
  </si>
  <si>
    <t xml:space="preserve">No, cualquier eslogan exige la autorización previa de la competición.</t>
  </si>
  <si>
    <t xml:space="preserve">No, una referencia a una enfermedad se considera de carácter personal.</t>
  </si>
  <si>
    <t xml:space="preserve">Se permite, con carácter general, incluir en el equipamiento eslóganes de alguna iniciativa, siempre que respeten las condiciones generales fijadas por la Regla 4 (no político, religioso, personal ni discriminatorio, entre otras).</t>
  </si>
  <si>
    <t xml:space="preserve">RJ5-001</t>
  </si>
  <si>
    <t xml:space="preserve">Regla 5</t>
  </si>
  <si>
    <t xml:space="preserve">Un guardameta hace marcas en el terreno de juego con el pie mientras el balón está en juego. El árbitro...</t>
  </si>
  <si>
    <t xml:space="preserve">Detiene el juego de inmediato y lo amonesta por conducta antideportiva.</t>
  </si>
  <si>
    <t xml:space="preserve">Lo amonesta por conducta antideportiva cuando el balón deje de estar en juego.</t>
  </si>
  <si>
    <t xml:space="preserve">Detiene el juego, lo amonesta y reanuda con un balón a tierra.</t>
  </si>
  <si>
    <t xml:space="preserve">Regla 1 (pág. 26): si un jugador realiza marcas no autorizadas en el terreno de juego, será amonestado por conducta antideportiva; si el árbitro se percata durante el partido, lo amonestará en cuanto el balón deje de estar en juego.</t>
  </si>
  <si>
    <t xml:space="preserve">Regla 5 / Regla 12</t>
  </si>
  <si>
    <t xml:space="preserve">RJ5-002</t>
  </si>
  <si>
    <t xml:space="preserve">¿Puede el árbitro modificar una decisión ya tomada mientras el balón sigue en juego?</t>
  </si>
  <si>
    <t xml:space="preserve">Sí, si se percata de un error, siempre que el juego no se haya reanudado o no haya finalizado el partido.</t>
  </si>
  <si>
    <t xml:space="preserve">No, una vez tomada una decisión no puede cambiarla, aunque el juego no se haya reanudado.</t>
  </si>
  <si>
    <t xml:space="preserve">Sí, si se percata de un error, siempre que el VAR se lo indique expresamente.</t>
  </si>
  <si>
    <t xml:space="preserve">El árbitro puede modificar una decisión antes de la reanudación del juego (o antes de finalizar el partido en ciertos supuestos) si constata que fue incorrecta o se produjo mal informado.</t>
  </si>
  <si>
    <t xml:space="preserve">RJ5-003</t>
  </si>
  <si>
    <t xml:space="preserve">Durante el partido, el terreno de juego queda en mal estado. ¿Puede el árbitro suspender el partido?</t>
  </si>
  <si>
    <t xml:space="preserve">Sí, es una de las causas de suspensión previstas.</t>
  </si>
  <si>
    <t xml:space="preserve">No, una vez iniciado el partido debe terminarse.</t>
  </si>
  <si>
    <t xml:space="preserve">No, solo puede aplazarlo para otra fecha.</t>
  </si>
  <si>
    <t xml:space="preserve">El mal estado del terreno de juego sobrevenido es una de las causas reconocidas para la suspensión del partido por decisión arbitral.</t>
  </si>
  <si>
    <t xml:space="preserve">Regla 5 / Reglamento de Competiciones</t>
  </si>
  <si>
    <t xml:space="preserve">RJ5-004</t>
  </si>
  <si>
    <t xml:space="preserve">Un club pide al árbitro que no refleje una incidencia en el acta del partido. El árbitro...</t>
  </si>
  <si>
    <t xml:space="preserve">Redacta el acta de forma fiel, concisa, clara, objetiva y completa.</t>
  </si>
  <si>
    <t xml:space="preserve">Puede omitir la incidencia si el club se lo solicita razonadamente.</t>
  </si>
  <si>
    <t xml:space="preserve">Puede matizar la incidencia si ambos clubes están de acuerdo.</t>
  </si>
  <si>
    <t xml:space="preserve">El árbitro tiene la obligación de redactar el acta de forma fiel, concisa, clara, objetiva y completa, sin que las peticiones de los clubes puedan alterar ese deber.</t>
  </si>
  <si>
    <t xml:space="preserve">RJ5-005</t>
  </si>
  <si>
    <t xml:space="preserve">El árbitro detiene el juego por una lesión de un jugador de campo que es atendido en el terreno de juego por el cuerpo médico. No es una lesión de las excepciones. ¿Cuándo empieza a contar el minuto fuera del terreno de juego?</t>
  </si>
  <si>
    <t xml:space="preserve">En el momento en que se reanuda el juego.</t>
  </si>
  <si>
    <t xml:space="preserve">En el momento en que sale del campo.</t>
  </si>
  <si>
    <t xml:space="preserve">En el momento en que el árbitro autoriza la entrada del cuerpo médico.</t>
  </si>
  <si>
    <t xml:space="preserve">El periodo de un minuto fuera del terreno de juego empieza a contar en el momento en que se reanuda el juego, con cronómetro y determinado por el árbitro.</t>
  </si>
  <si>
    <t xml:space="preserve">Protocolo médico / Un minuto fuera</t>
  </si>
  <si>
    <t xml:space="preserve">RJ5-006</t>
  </si>
  <si>
    <t xml:space="preserve">Un jugador de campo, lesionado, debe abandonar el campo y permanecer fuera un minuto tras la reanudación. Antes de que transcurra ese minuto finaliza la primera parte. ¿Qué ocurre?</t>
  </si>
  <si>
    <t xml:space="preserve">Puede regresar desde el comienzo de la segunda parte.</t>
  </si>
  <si>
    <t xml:space="preserve">Debe cumplir el minuto completo al inicio de la segunda parte antes de regresar.</t>
  </si>
  <si>
    <t xml:space="preserve">No podrá volver a participar en el partido.</t>
  </si>
  <si>
    <t xml:space="preserve">Si la primera mitad finaliza antes de que transcurra el minuto, el jugador puede regresar desde el comienzo de la segunda parte (principio aplicable también entre tiempo reglamentario y prórroga, descanso de la prórroga y antes de tanda).</t>
  </si>
  <si>
    <t xml:space="preserve">RJ5-007</t>
  </si>
  <si>
    <t xml:space="preserve">¿Para qué tipo de decisiones podrán las competiciones usar tecnología que ayude al árbitro?</t>
  </si>
  <si>
    <t xml:space="preserve">Para el protocolo del VAR, el balón en juego (incluida la detección automática de goles) y el fuera de juego.</t>
  </si>
  <si>
    <t xml:space="preserve">Para el protocolo del VAR y las decisiones sobre conducta violenta fuera del terreno de juego.</t>
  </si>
  <si>
    <t xml:space="preserve">Para el control del tiempo de juego, las sustituciones y la validez de las tarjetas mostradas por el árbitro.</t>
  </si>
  <si>
    <t xml:space="preserve">La tecnología puede ayudar al árbitro en el protocolo del VAR, el balón en juego (con DAG) y el fuera de juego.</t>
  </si>
  <si>
    <t xml:space="preserve">Regla 5.2</t>
  </si>
  <si>
    <t xml:space="preserve">RJ5-008</t>
  </si>
  <si>
    <t xml:space="preserve">¿Son revocables las decisiones arbitrales sobre hechos y acciones sucedidos durante el encuentro, incluyendo dar por válido un gol?</t>
  </si>
  <si>
    <t xml:space="preserve">No, son irrevocables, y las decisiones del equipo arbitral deben respetarse en todo momento.</t>
  </si>
  <si>
    <t xml:space="preserve">Sí, pueden modificarse en cualquier momento si el árbitro recibe una indicación de un árbitro asistente.</t>
  </si>
  <si>
    <t xml:space="preserve">Sí, si ambos capitanes están de acuerdo en solicitar conjuntamente la revisión de la jugada.</t>
  </si>
  <si>
    <t xml:space="preserve">Las decisiones sobre hechos sucedidos durante el encuentro, incluido dar por válido un gol, son irrevocables.</t>
  </si>
  <si>
    <t xml:space="preserve">RJ5-009</t>
  </si>
  <si>
    <t xml:space="preserve">Tras reanudar el juego con un saque de esquina, el árbitro se da cuenta de que debía haber concedido un saque de meta. El árbitro...</t>
  </si>
  <si>
    <t xml:space="preserve">No puede cambiar la decisión sobre la reanudación.</t>
  </si>
  <si>
    <t xml:space="preserve">Puede cambiarla mientras el balón no salga del área.</t>
  </si>
  <si>
    <t xml:space="preserve">Puede cambiarla durante el primer minuto tras la reanudación.</t>
  </si>
  <si>
    <t xml:space="preserve">Una vez reanudado el juego, el árbitro no podrá cambiar la decisión sobre la forma de reanudarlo, aunque se dé cuenta de que era incorrecta.</t>
  </si>
  <si>
    <t xml:space="preserve">RJ5-010</t>
  </si>
  <si>
    <t xml:space="preserve">Al finalizar el primer tiempo, el árbitro abandona el terreno de juego dirigiéndose al área de revisión. Antes de que termine ese periodo, ¿puede modificar una decisión relativa a un incidente sucedido durante el mismo?</t>
  </si>
  <si>
    <t xml:space="preserve">Sí, sigue siendo posible modificar una decisión relativa a un incidente sucedido antes de que finalizase ese tiempo.</t>
  </si>
  <si>
    <t xml:space="preserve">No, en cuanto el árbitro abandona el terreno de juego pierde la posibilidad de modificar decisiones de ese periodo.</t>
  </si>
  <si>
    <t xml:space="preserve">Sí, si la modificación afecta a la validez de un gol y no a cualquier otro tipo de incidente.</t>
  </si>
  <si>
    <t xml:space="preserve">Si el árbitro abandona el terreno de juego al término de un periodo para dirigirse al área de revisión, aún es posible modificar una decisión relativa a un incidente sucedido antes de que finalizase ese tiempo.</t>
  </si>
  <si>
    <t xml:space="preserve">RJ5-011</t>
  </si>
  <si>
    <t xml:space="preserve">El cuarto árbitro advierte una infracción merecedora de amonestación e intenta comunicarla antes de la reanudación, pero el árbitro no la recibe hasta que el juego ya se ha reanudado. El árbitro...</t>
  </si>
  <si>
    <t xml:space="preserve">Puede amonestar, sin modificar la reanudación.</t>
  </si>
  <si>
    <t xml:space="preserve">Puede amonestar y debe repetir la reanudación.</t>
  </si>
  <si>
    <t xml:space="preserve">No puede amonestar, al haberse reanudado el juego.</t>
  </si>
  <si>
    <t xml:space="preserve">Regla 5.2: una vez reanudado el juego, «solo podrá imponerse una sanción disciplinaria en el caso de que otro miembro del equipo arbitral haya detectado una infracción y haya intentado comunicarla antes de la reanudación; a tales efectos, la sanción no conllevará la reanudación del juego vinculada con ella».</t>
  </si>
  <si>
    <t xml:space="preserve">RJ5-012</t>
  </si>
  <si>
    <t xml:space="preserve">Si el árbitro no estuviera en condiciones de seguir dirigiendo el partido, este:</t>
  </si>
  <si>
    <t xml:space="preserve">Se detendrá de inmediato y no podrá continuar hasta que se incorpore un nuevo árbitro principal.</t>
  </si>
  <si>
    <t xml:space="preserve">Podrá continuar, dirigido por el árbitro asistente más antiguo, hasta que finalice esa parte del partido.</t>
  </si>
  <si>
    <t xml:space="preserve">Podrá continuar, bajo la supervisión del resto del equipo arbitral, hasta que el balón deje de estar en juego.</t>
  </si>
  <si>
    <t xml:space="preserve">Si el árbitro no está en condiciones de seguir dirigiendo el partido, podrá continuar bajo la supervisión de los demás miembros del equipo arbitral hasta que el balón deje de estar en juego.</t>
  </si>
  <si>
    <t xml:space="preserve">RJ5-014</t>
  </si>
  <si>
    <t xml:space="preserve">Respecto al acta del partido, el árbitro:</t>
  </si>
  <si>
    <t xml:space="preserve">Tomará nota de las incidencias y remitirá el acta a las autoridades competentes.</t>
  </si>
  <si>
    <t xml:space="preserve">Delegará su elaboración en el cuarto árbitro y se limitará a firmarla al finalizar.</t>
  </si>
  <si>
    <t xml:space="preserve">Anotará el resultado final, sin necesidad de detallar las medidas disciplinarias.</t>
  </si>
  <si>
    <t xml:space="preserve">El árbitro cronometrará el tiempo, tomará nota de las incidencias del partido y remitirá el informe o acta a las autoridades competentes, detallando las medidas disciplinarias y demás incidencias.</t>
  </si>
  <si>
    <t xml:space="preserve">Regla 5.3</t>
  </si>
  <si>
    <t xml:space="preserve">RJ5-015</t>
  </si>
  <si>
    <t xml:space="preserve">Un incidente pasa inadvertido al árbitro, pero lo ha visto el árbitro asistente. El árbitro...</t>
  </si>
  <si>
    <t xml:space="preserve">Puede actuar conforme a la indicación del árbitro asistente.</t>
  </si>
  <si>
    <t xml:space="preserve">Solo puede sancionar lo que haya visto personalmente.</t>
  </si>
  <si>
    <t xml:space="preserve">Esperará al descanso para revisarlo antes de decidir.</t>
  </si>
  <si>
    <t xml:space="preserve">El árbitro actuará conforme a las indicaciones de los otros miembros del equipo arbitral respecto a incidencias que le hayan pasado inadvertidas.</t>
  </si>
  <si>
    <t xml:space="preserve">RJ5-016</t>
  </si>
  <si>
    <t xml:space="preserve">Se comete una infracción, pero el equipo adversario mantiene la posesión y una situación claramente ventajosa. ¿Qué debe hacer el árbitro?</t>
  </si>
  <si>
    <t xml:space="preserve">Permitirá que el juego prosiga y sancionará la infracción si la situación ventajosa no se produce de manera inmediata o transcurridos unos pocos segundos.</t>
  </si>
  <si>
    <t xml:space="preserve">Permitirá que el juego prosiga, sin poder sancionar ya la infracción cometida en ningún momento posterior aunque no se produzca la ventaja.</t>
  </si>
  <si>
    <t xml:space="preserve">Detendrá el juego de inmediato para sancionar la infracción, sin valorar la ventaja obtenida por el equipo adversario.</t>
  </si>
  <si>
    <t xml:space="preserve">El árbitro permitirá que el juego prosiga si el equipo adversario se beneficia de la ventaja, y sancionará la infracción o indicará que se repita la reanudación si la ventaja no se materializa de forma inmediata o en unos pocos segundos.</t>
  </si>
  <si>
    <t xml:space="preserve">RJ5-017</t>
  </si>
  <si>
    <t xml:space="preserve">Dos jugadores cometen dos infracciones al mismo tiempo. El árbitro...</t>
  </si>
  <si>
    <t xml:space="preserve">Castigará la infracción más grave en función de la sanción, la reanudación, la gravedad física y las repercusiones tácticas.</t>
  </si>
  <si>
    <t xml:space="preserve">Castigará la infracción más grave en función de la reanudación, la sanción, la gravedad física y las repercusiones tácticas.</t>
  </si>
  <si>
    <t xml:space="preserve">Castigará la infracción más grave en función de la sanción, la reanudación, las repercusiones tácticas y la gravedad física.</t>
  </si>
  <si>
    <t xml:space="preserve">Cuando se cometa más de una infracción al mismo tiempo, el árbitro castigará la más grave en función de la sanción, la reanudación, la gravedad física y las repercusiones tácticas.</t>
  </si>
  <si>
    <t xml:space="preserve">RJ5-018</t>
  </si>
  <si>
    <t xml:space="preserve">¿Desde qué momento y hasta cuándo tiene el árbitro autoridad para tomar medidas disciplinarias?</t>
  </si>
  <si>
    <t xml:space="preserve">Desde que entra en el terreno de juego para la inspección previa hasta que lo abandona tras el partido, tanda de penales incluida.</t>
  </si>
  <si>
    <t xml:space="preserve">Desde el saque inicial hasta el final del tiempo reglamentario y la prórroga, sin incluir la tanda de penales.</t>
  </si>
  <si>
    <t xml:space="preserve">Desde que entra en el terreno de juego para la inspección previa hasta el final de la prórroga, sin incluir la tanda de penales.</t>
  </si>
  <si>
    <t xml:space="preserve">El árbitro tiene autoridad para tomar medidas disciplinarias desde el momento en que entra al terreno de juego para la inspección previa hasta que lo abandona tras el partido, lo cual incluye la tanda de penales.</t>
  </si>
  <si>
    <t xml:space="preserve">RJ5-019</t>
  </si>
  <si>
    <t xml:space="preserve">Antes de entrar en el terreno de juego al comienzo del partido, un jugador comete una infracción merecedora de expulsión. ¿Qué puede hacer el árbitro?</t>
  </si>
  <si>
    <t xml:space="preserve">Podrá impedir que el jugador participe en el partido.</t>
  </si>
  <si>
    <t xml:space="preserve">No podrá tomar ninguna medida, ya que el partido aún no ha comenzado formalmente.</t>
  </si>
  <si>
    <t xml:space="preserve">Permitirá que el jugador salte al terreno de juego y lo amonestará en la primera interrupción.</t>
  </si>
  <si>
    <t xml:space="preserve">Si antes de entrar en el terreno de juego un jugador comete una infracción merecedora de expulsión, el árbitro podrá impedir que participe en el partido.</t>
  </si>
  <si>
    <t xml:space="preserve">RJ5-020</t>
  </si>
  <si>
    <t xml:space="preserve">¿Durante qué periodo puede el árbitro mostrar tarjetas amarillas o rojas a un jugador?</t>
  </si>
  <si>
    <t xml:space="preserve">Desde que entra en el terreno de juego al comienzo hasta el final del partido, con el descanso, la prórroga y la tanda de penales.</t>
  </si>
  <si>
    <t xml:space="preserve">Desde que entra en el terreno de juego al comienzo hasta el final del partido, con la prórroga y la tanda de penales, pero no en el descanso.</t>
  </si>
  <si>
    <t xml:space="preserve">Desde que entra en el terreno de juego al comienzo hasta el final del partido, con el descanso y la prórroga, pero no en la tanda de penales.</t>
  </si>
  <si>
    <t xml:space="preserve">El árbitro tiene autoridad para mostrar tarjetas desde que el jugador entra en el terreno de juego hasta que termina el partido, lo que incluye el descanso, la prórroga y la tanda de penales.</t>
  </si>
  <si>
    <t xml:space="preserve">RJ5-021</t>
  </si>
  <si>
    <t xml:space="preserve">Un miembro del cuerpo técnico no actúa de forma responsable en el área técnica y no puede identificarse con exactitud al infractor. ¿A quién sancionará el árbitro?</t>
  </si>
  <si>
    <t xml:space="preserve">A todo el cuerpo técnico presente en el área técnica de forma colectiva.</t>
  </si>
  <si>
    <t xml:space="preserve">No podrá sancionar a nadie, al no poder determinarse con exactitud la identidad del infractor.</t>
  </si>
  <si>
    <t xml:space="preserve">Al primer entrenador presente en el área técnica.</t>
  </si>
  <si>
    <t xml:space="preserve">Si no fuera posible identificar al infractor entre los miembros del cuerpo técnico, se sancionará al primer entrenador presente en el área técnica.</t>
  </si>
  <si>
    <t xml:space="preserve">RJ5-022</t>
  </si>
  <si>
    <t xml:space="preserve">El único médico de un equipo comete una infracción sancionable con expulsión y el equipo no dispone de otro médico. El árbitro...</t>
  </si>
  <si>
    <t xml:space="preserve">Puede permitir que permanezca, por si un jugador necesita atención médica.</t>
  </si>
  <si>
    <t xml:space="preserve">Puede permitir que permanezca, si el equipo renuncia a la asistencia médica.</t>
  </si>
  <si>
    <t xml:space="preserve">Lo expulsa, como a cualquier otro miembro del cuerpo técnico del equipo.</t>
  </si>
  <si>
    <t xml:space="preserve">Si un médico del cuerpo técnico comete una infracción sancionable con expulsión, podrá permanecer si el equipo no cuenta con otro médico disponible, para intervenir si un jugador requiere atención médica.</t>
  </si>
  <si>
    <t xml:space="preserve">RJ5-023</t>
  </si>
  <si>
    <t xml:space="preserve">¿Cuándo detendrá el árbitro el juego por una lesión de un jugador?</t>
  </si>
  <si>
    <t xml:space="preserve">Solo si el jugador ha sufrido una lesión grave.</t>
  </si>
  <si>
    <t xml:space="preserve">Cuando lo solicite el cuerpo técnico del equipo del jugador lesionado.</t>
  </si>
  <si>
    <t xml:space="preserve">En cuanto cualquier jugador manifieste sentir molestias, sea cual sea su gravedad.</t>
  </si>
  <si>
    <t xml:space="preserve">El árbitro detendrá el juego solo si un jugador ha sufrido una lesión grave, permitiendo que sea transportado fuera del terreno de juego.</t>
  </si>
  <si>
    <t xml:space="preserve">RJ5-024</t>
  </si>
  <si>
    <t xml:space="preserve">Un jugador sufre una lesión leve mientras el balón está en juego. ¿Debe el árbitro detener el juego de inmediato?</t>
  </si>
  <si>
    <t xml:space="preserve">No, permitirá que el juego continúe hasta que el balón ya no esté en juego.</t>
  </si>
  <si>
    <t xml:space="preserve">Sí, salvo que el equipo del jugador lesionado esté en clara situación de ventaja en ese momento.</t>
  </si>
  <si>
    <t xml:space="preserve">Sí, deberá detener el juego de inmediato, sea cual sea la gravedad de la lesión.</t>
  </si>
  <si>
    <t xml:space="preserve">Si la lesión del jugador es leve, el árbitro permitirá que el juego continúe hasta que el balón deje de estar en juego.</t>
  </si>
  <si>
    <t xml:space="preserve">RJ5-025</t>
  </si>
  <si>
    <t xml:space="preserve">Si se detiene el juego o se retrasa su reanudación por una lesión, ¿cuánto tiempo debe transcurrir desde que se reanuda el juego para que el jugador lesionado pueda volver a entrar?</t>
  </si>
  <si>
    <t xml:space="preserve">Un minuto.</t>
  </si>
  <si>
    <t xml:space="preserve">Dos minutos.</t>
  </si>
  <si>
    <t xml:space="preserve">Los jugadores lesionados deberán abandonar el campo y no se les permitirá volver a entrar hasta que haya transcurrido un minuto desde que el juego se haya reanudado.</t>
  </si>
  <si>
    <t xml:space="preserve">RJ5-026</t>
  </si>
  <si>
    <t xml:space="preserve">Tras recibir tratamiento fuera del campo, un jugador lesionado quiere reincorporarse mientras el balón está en juego. ¿Por dónde debe volver a entrar?</t>
  </si>
  <si>
    <t xml:space="preserve">Por la línea de banda, con permiso del árbitro.</t>
  </si>
  <si>
    <t xml:space="preserve">Por la línea de meta más cercana a la portería de su equipo, con permiso del árbitro.</t>
  </si>
  <si>
    <t xml:space="preserve">Por cualquiera de las líneas de demarcación, con permiso del árbitro.</t>
  </si>
  <si>
    <t xml:space="preserve">Si el balón está en juego, el jugador lesionado volverá al campo por la línea de banda; si el balón no está en juego, podrá hacerlo por cualquier línea de demarcación.</t>
  </si>
  <si>
    <t xml:space="preserve">RJ5-027</t>
  </si>
  <si>
    <t xml:space="preserve">¿En cuál de estos casos NO se exige que el jugador lesionado abandone el terreno de juego para recibir tratamiento?</t>
  </si>
  <si>
    <t xml:space="preserve">Cuando se lesiona el guardameta, que puede recibir tratamiento dentro del terreno de juego.</t>
  </si>
  <si>
    <t xml:space="preserve">Cuando un jugador sufre un esguince leve de tobillo tras un choque fortuito con un adversario.</t>
  </si>
  <si>
    <t xml:space="preserve">Cuando dos jugadores de equipos distintos chocan tras disputar un balón dividido.</t>
  </si>
  <si>
    <t xml:space="preserve">Entre las excepciones a la salida obligatoria para recibir tratamiento se encuentran: que se lesione un guardameta, que un guardameta y un jugador de campo choquen y requieran atención médica, que choquen varios jugadores del mismo equipo, lesión grave, lesión por infracción sancionable con amonestación o expulsión del adversario, o que se vaya a lanzar un penal el propio jugador lesionado.</t>
  </si>
  <si>
    <t xml:space="preserve">RJ5-028</t>
  </si>
  <si>
    <t xml:space="preserve">Un defensor comete una entrada temeraria sobre un atacante y es amonestado; el atacante resulta lesionado por esa infracción. ¿Debe el atacante abandonar el terreno de juego para recibir atención?</t>
  </si>
  <si>
    <t xml:space="preserve">No, es una de las excepciones que le permiten ser atendido sin salir.</t>
  </si>
  <si>
    <t xml:space="preserve">Sí, salvo que el árbitro considere que la lesión es de escasa entidad.</t>
  </si>
  <si>
    <t xml:space="preserve">Sí, al igual que cualquier jugador lesionado que reciba atención médica.</t>
  </si>
  <si>
    <t xml:space="preserve">Si la lesión de un jugador es consecuencia de una infracción física por la cual se amonesta o expulsa al adversario, se trata de una de las excepciones que permiten no salir del terreno de juego para recibir tratamiento.</t>
  </si>
  <si>
    <t xml:space="preserve">RJ5-029</t>
  </si>
  <si>
    <t xml:space="preserve">Se concede un tiro penal y el propio jugador lesionado va a lanzarlo. ¿Debe abandonar el terreno de juego para recibir tratamiento antes de ejecutarlo?</t>
  </si>
  <si>
    <t xml:space="preserve">No, se trata de una de las excepciones en las que el jugador lesionado no tiene que salir del terreno de juego.</t>
  </si>
  <si>
    <t xml:space="preserve">Sí, deberá abandonar el terreno de juego y ser sustituido por otro jugador para poder ejecutar el tiro penal.</t>
  </si>
  <si>
    <t xml:space="preserve">Sí, y el tiro penal deberá aplazarse hasta que sea atendido fuera del terreno de juego y pueda regresar.</t>
  </si>
  <si>
    <t xml:space="preserve">Cuando se conceda un tiro penal y el jugador lesionado vaya a lanzarlo, es una de las excepciones que le permiten no abandonar el terreno de juego para recibir tratamiento.</t>
  </si>
  <si>
    <t xml:space="preserve">RJ5-030</t>
  </si>
  <si>
    <t xml:space="preserve">Un jugador está sangrando durante el partido. El árbitro...</t>
  </si>
  <si>
    <t xml:space="preserve">Le invita a salir y solo podrá volver, tras su señal, si la hemorragia ha cesado y no hay sangre en su equipamiento.</t>
  </si>
  <si>
    <t xml:space="preserve">Le invita a salir y podrá volver en cuanto se haya cambiado la camiseta, aunque la hemorragia no haya cesado.</t>
  </si>
  <si>
    <t xml:space="preserve">Le permite seguir jugando si la sangre no afecta a otros jugadores y lo comprueba en el siguiente descanso.</t>
  </si>
  <si>
    <t xml:space="preserve">Si un jugador está sangrando, el árbitro le invitará a abandonar el terreno de juego, y solo podrá volver a entrar tras la señal del árbitro, comprobando que la hemorragia haya cesado y no haya sangre en su equipamiento.</t>
  </si>
  <si>
    <t xml:space="preserve">RJ5-031</t>
  </si>
  <si>
    <t xml:space="preserve">El árbitro autoriza la entrada de los médicos para atender a un jugador lesionado, pero este se niega a salir del terreno de juego caminando o en camilla. ¿Qué decisión debe tomar el árbitro?</t>
  </si>
  <si>
    <t xml:space="preserve">Deberá amonestarlo por conducta antideportiva.</t>
  </si>
  <si>
    <t xml:space="preserve">Deberá expulsarlo por desobedecer una orden expresa del árbitro.</t>
  </si>
  <si>
    <t xml:space="preserve">No podrá tomar ninguna medida disciplinaria, ya que se trata de un asunto médico.</t>
  </si>
  <si>
    <t xml:space="preserve">Si el árbitro autoriza la entrada de médicos o camilleros y el jugador lesionado no acata la orden de salir del terreno de juego, deberá ser amonestado por conducta antideportiva.</t>
  </si>
  <si>
    <t xml:space="preserve">RJ5-032</t>
  </si>
  <si>
    <t xml:space="preserve">El árbitro decide amonestar a un jugador que además debe abandonar el terreno de juego para recibir atención médica. ¿Cuándo debe mostrarle la tarjeta?</t>
  </si>
  <si>
    <t xml:space="preserve">Una vez que el jugador haya sido atendido y regrese al terreno de juego.</t>
  </si>
  <si>
    <t xml:space="preserve">Antes de que el jugador abandone el terreno de juego.</t>
  </si>
  <si>
    <t xml:space="preserve">En el descanso del partido, junto con el resto de incidencias disciplinarias acumuladas.</t>
  </si>
  <si>
    <t xml:space="preserve">Si el árbitro decide amonestar o expulsar a un jugador lesionado que deba salir para recibir atención médica, deberá mostrarle la tarjeta antes de que abandone el terreno de juego.</t>
  </si>
  <si>
    <t xml:space="preserve">RJ5-033</t>
  </si>
  <si>
    <t xml:space="preserve">El árbitro detiene el juego por la lesión fortuita de un jugador, sin que haya existido ninguna infracción. ¿Cómo se reanuda el juego?</t>
  </si>
  <si>
    <t xml:space="preserve">Con un tiro libre indirecto a favor del equipo del lesionado.</t>
  </si>
  <si>
    <t xml:space="preserve">Con un saque de banda a favor del equipo que tenía el balón.</t>
  </si>
  <si>
    <t xml:space="preserve">Si el juego no se detuvo por cualquier otro motivo, o la lesión no fue consecuencia de una infracción de las Reglas de Juego, se reanudará con un balón a tierra.</t>
  </si>
  <si>
    <t xml:space="preserve">RJ5-034</t>
  </si>
  <si>
    <t xml:space="preserve">Durante un partido, la iluminación artificial del estadio resulta inadecuada para continuar. El árbitro...</t>
  </si>
  <si>
    <t xml:space="preserve">Puede detener o suspender, temporal o definitivamente, el partido.</t>
  </si>
  <si>
    <t xml:space="preserve">No puede adoptar ninguna medida, al no estar prevista en las Reglas.</t>
  </si>
  <si>
    <t xml:space="preserve">Puede suspender el partido solo de forma definitiva, no temporalmente.</t>
  </si>
  <si>
    <t xml:space="preserve">Una iluminación artificial inadecuada es una de las circunstancias de interferencia externa ante las que el árbitro podrá detener, suspender temporalmente o suspender definitivamente el partido.</t>
  </si>
  <si>
    <t xml:space="preserve">RJ5-035</t>
  </si>
  <si>
    <t xml:space="preserve">Un espectador lanza un objeto que golpea a un árbitro asistente. En función de la gravedad, el árbitro...</t>
  </si>
  <si>
    <t xml:space="preserve">Puede permitir que el partido continúe, o detenerlo o suspenderlo temporal o definitivamente.</t>
  </si>
  <si>
    <t xml:space="preserve">Debe suspender el partido de forma definitiva, sea cual sea la gravedad del incidente.</t>
  </si>
  <si>
    <t xml:space="preserve">Debe detener el partido y solo puede reanudarlo cuando se identifique al espectador.</t>
  </si>
  <si>
    <t xml:space="preserve">Cuando un espectador lanza un objeto que golpea a un miembro del equipo arbitral, en función de la gravedad el árbitro podrá permitir que el partido continúe, o detenerlo, suspenderlo temporalmente o de forma definitiva.</t>
  </si>
  <si>
    <t xml:space="preserve">RJ5-036</t>
  </si>
  <si>
    <t xml:space="preserve">Un espectador hace sonar un silbato que interfiere en el juego y el árbitro lo detiene. ¿Cómo se reanuda el juego?</t>
  </si>
  <si>
    <t xml:space="preserve">Con un tiro libre indirecto a favor del equipo que tenía el balón.</t>
  </si>
  <si>
    <t xml:space="preserve">Con un tiro libre directo a favor del equipo que tenía el balón.</t>
  </si>
  <si>
    <t xml:space="preserve">Si un espectador hace sonar un silbato que interfiere en el juego, el árbitro detendrá el juego y lo reanudará con un balón a tierra.</t>
  </si>
  <si>
    <t xml:space="preserve">RJ5-037</t>
  </si>
  <si>
    <t xml:space="preserve">Un perro entra al terreno de juego mientras se desarrolla una jugada, pero no interfiere en ningún momento con el juego. ¿Qué debe hacer el árbitro?</t>
  </si>
  <si>
    <t xml:space="preserve">Permitirá que el juego continúe y ordenará que el animal se retire del terreno de juego lo antes posible.</t>
  </si>
  <si>
    <t xml:space="preserve">Detendrá el juego y lo reanudará con un saque de banda a favor del equipo que tuviera la posesión del balón.</t>
  </si>
  <si>
    <t xml:space="preserve">Detendrá el juego y lo reanudará con un balón a tierra en el lugar donde se encontraba el balón.</t>
  </si>
  <si>
    <t xml:space="preserve">Si un segundo balón, objeto o animal entra en el terreno de juego y no interfiere en el juego, el árbitro permitirá que continúe y ordenará que se retire lo antes posible.</t>
  </si>
  <si>
    <t xml:space="preserve">RJ5-038</t>
  </si>
  <si>
    <t xml:space="preserve">Un segundo balón entra en el terreno de juego e interfiere en el desarrollo del juego, pero el balón original no se dirigía hacia la portería. ¿Cómo debe reanudarse el juego?</t>
  </si>
  <si>
    <t xml:space="preserve">Con un tiro libre indirecto a favor del equipo que no tuviera el control del balón original en ese momento.</t>
  </si>
  <si>
    <t xml:space="preserve">El juego debe continuar sin interrupción, retirando el balón sobrante en la siguiente detención natural del juego.</t>
  </si>
  <si>
    <t xml:space="preserve">Con un balón a tierra, únicamente si el segundo balón interfirió en el juego.</t>
  </si>
  <si>
    <t xml:space="preserve">El árbitro deberá detener el juego (reanudándolo con un balón a tierra) únicamente si el segundo balón, objeto o animal interfiriera en el juego.</t>
  </si>
  <si>
    <t xml:space="preserve">RJ5-039</t>
  </si>
  <si>
    <t xml:space="preserve">Un segundo balón entra en el terreno de juego mientras el balón original se dirige a la portería; la interferencia no impide que un defensor juegue el balón, que finalmente entra en la portería. El árbitro...</t>
  </si>
  <si>
    <t xml:space="preserve">Si el balón original iba a entrar en la portería y la interferencia no impidió que un defensor jugara el balón, se concederá gol, incluso si se produjo contacto con el segundo balón, salvo que la interferencia la hubiera causado el equipo atacante.</t>
  </si>
  <si>
    <t xml:space="preserve">RJ5-041</t>
  </si>
  <si>
    <t xml:space="preserve">Una vez reanudado el juego, ¿en qué casos puede el árbitro revisar una acción anterior e imponer la sanción disciplinaria correspondiente?</t>
  </si>
  <si>
    <t xml:space="preserve">En confusión de identidad o en posible expulsión por conducta violenta, escupir, morder o actuar de forma extremadamente ofensiva.</t>
  </si>
  <si>
    <t xml:space="preserve">En confusión de identidad o en cualquier infracción sancionable con amonestación o expulsión que no hubiera visto el árbitro.</t>
  </si>
  <si>
    <t xml:space="preserve">En cualquier infracción del cuerpo técnico o en posible expulsión por conducta violenta, escupir, morder o actuar de forma ofensiva.</t>
  </si>
  <si>
    <t xml:space="preserve">Si el juego se reanuda tras ser detenido, el árbitro únicamente podrá revisar e imponer sanción en casos de confusión de identidad o ante infracciones de expulsión por conducta violenta, escupir, morder o conducta extremadamente ofensiva.</t>
  </si>
  <si>
    <t xml:space="preserve">RJ5-044</t>
  </si>
  <si>
    <t xml:space="preserve">¿Sobre cuál de las siguientes situaciones NO puede intervenir el VAR según sus supuestos previstos?</t>
  </si>
  <si>
    <t xml:space="preserve">Confusión de identidad, cuando el árbitro amonesta o expulsa a un jugador equivocado por error de identificación.</t>
  </si>
  <si>
    <t xml:space="preserve">Gol o no gol, incluidas las decisiones relacionadas con posibles infracciones previas a la anotación del tanto.</t>
  </si>
  <si>
    <t xml:space="preserve">Una amonestación por una falta cometida a mitad del campo sin repercusión clara en el marcador.</t>
  </si>
  <si>
    <t xml:space="preserve">El VAR puede asistir en gol/no gol, penal/no penal, tarjeta roja, confusión de identidad y, como opción de competición, saques de esquina claramente erróneos; una amonestación simple por falta sin mayor repercusión no está entre esos supuestos.</t>
  </si>
  <si>
    <t xml:space="preserve">Regla 5.4</t>
  </si>
  <si>
    <t xml:space="preserve">RJ5-045</t>
  </si>
  <si>
    <t xml:space="preserve">¿Puede revisarse con el VAR un saque de esquina concedido de forma claramente errónea?</t>
  </si>
  <si>
    <t xml:space="preserve">Sí, si la competición lo prevé y puede cambiarse de inmediato sin retrasar la reanudación.</t>
  </si>
  <si>
    <t xml:space="preserve">Sí, en todas las competiciones y aunque se retrase la reanudación del juego.</t>
  </si>
  <si>
    <t xml:space="preserve">No, los saques de esquina no pueden revisarse con el VAR en ninguna competición.</t>
  </si>
  <si>
    <t xml:space="preserve">Un saque de esquina concedido de forma claramente errónea puede revisarse por el VAR siempre que el cambio pueda hacerse inmediatamente sin retrasar la reanudación, siendo esta una opción para las competiciones.</t>
  </si>
  <si>
    <t xml:space="preserve">RJ5-048</t>
  </si>
  <si>
    <t xml:space="preserve">Salvo en los casos de «incidente grave inadvertido», ¿qué debe hacer siempre el árbitro ante una jugada, incluso si decide no sancionar una posible infracción?</t>
  </si>
  <si>
    <t xml:space="preserve">Tomar siempre una decisión, incluida la de no penalizar la posible infracción.</t>
  </si>
  <si>
    <t xml:space="preserve">Consultar con el VAR antes de adoptar cualquier decisión, aunque la jugada sea clara.</t>
  </si>
  <si>
    <t xml:space="preserve">Esperar a la siguiente detención del juego para comunicar su decisión a ambos capitanes.</t>
  </si>
  <si>
    <t xml:space="preserve">Excepto en los casos de «incidente grave inadvertido», el árbitro deberá tomar siempre una decisión, incluso la de no penalizar una posible infracción, y dicha decisión no se modificará salvo error claro, obvio y manifiesto.</t>
  </si>
  <si>
    <t xml:space="preserve">RJ5-049</t>
  </si>
  <si>
    <t xml:space="preserve">¿Cuál de los siguientes dispositivos NO está autorizado para su uso por los árbitros en el terreno de juego según la Regla 5?</t>
  </si>
  <si>
    <t xml:space="preserve">Sistemas de seguimiento electrónico del rendimiento o dispositivos de control del rendimiento físico.</t>
  </si>
  <si>
    <t xml:space="preserve">Intercomunicadores como banderines con señal acústica o auriculares para contactar con el resto del equipo arbitral.</t>
  </si>
  <si>
    <t xml:space="preserve">Cualquier equipamiento electrónico o cámara distinta de las cámaras corporales autorizadas.</t>
  </si>
  <si>
    <t xml:space="preserve">Los árbitros están autorizados a emplear intercomunicadores, sistemas de seguimiento del rendimiento y, en su caso, cámaras corporales; se prohíbe cualquier otro equipamiento electrónico, incluidas otras cámaras.</t>
  </si>
  <si>
    <t xml:space="preserve">RJ5-050</t>
  </si>
  <si>
    <t xml:space="preserve">Respecto a las cámaras corporales que pueda usar el equipo arbitral, ¿qué condición se establece sobre los micrófonos que puedan incluir?</t>
  </si>
  <si>
    <t xml:space="preserve">No se pueden usar para retransmitir las comunicaciones con el VAR, aunque las autoridades competentes pueden usar sus imágenes y sonido para asuntos disciplinarios.</t>
  </si>
  <si>
    <t xml:space="preserve">Se pueden usar para retransmitir las comunicaciones con el VAR, y las autoridades competentes no pueden usar sus imágenes para asuntos disciplinarios.</t>
  </si>
  <si>
    <t xml:space="preserve">Deben permanecer desactivados en todo momento durante el desarrollo del encuentro.</t>
  </si>
  <si>
    <t xml:space="preserve">Las cámaras corporales pueden incluir micrófonos, pero no se pueden usar para retransmitir las comunicaciones con el VAR; su imagen y sonido sí pueden usarse por las autoridades competentes para asuntos disciplinarios.</t>
  </si>
  <si>
    <t xml:space="preserve">RJ5-051</t>
  </si>
  <si>
    <t xml:space="preserve">¿Pueden los árbitros llevar accesorios personales durante el partido?</t>
  </si>
  <si>
    <t xml:space="preserve">Sí, pueden llevarlos siempre que no sean peligrosos para nadie.</t>
  </si>
  <si>
    <t xml:space="preserve">No, ningún accesorio está permitido para los miembros del equipo arbitral en el terreno de juego.</t>
  </si>
  <si>
    <t xml:space="preserve">Sí, sin restricción ni condición alguna, a diferencia de lo que ocurre con los jugadores.</t>
  </si>
  <si>
    <t xml:space="preserve">Los árbitros pueden llevar accesorios siempre y cuando no sean peligrosos.</t>
  </si>
  <si>
    <t xml:space="preserve">RJ5-052</t>
  </si>
  <si>
    <t xml:space="preserve">¿Cuál de los siguientes elementos forma parte del equipamiento obligatorio del árbitro?</t>
  </si>
  <si>
    <t xml:space="preserve">Silbato(s), cronómetro(s), tarjetas rojas y amarillas y otro medio para anotar las incidencias del partido.</t>
  </si>
  <si>
    <t xml:space="preserve">Silbato(s), banderín de córner y un intercomunicador homologado por la federación organizadora.</t>
  </si>
  <si>
    <t xml:space="preserve">Cronómetro(s), tarjetas rojas y amarillas y una cámara corporal proporcionada por el club local.</t>
  </si>
  <si>
    <t xml:space="preserve">El equipamiento obligatorio del árbitro incluye silbato(s), cronómetro(s), tarjetas rojas y amarillas, y otro medio para anotar las incidencias del partido.</t>
  </si>
  <si>
    <t xml:space="preserve">Regla 5.5</t>
  </si>
  <si>
    <t xml:space="preserve">RJ5-053</t>
  </si>
  <si>
    <t xml:space="preserve">Un entrenador reacciona de forma incorrecta ante una decisión arbitral, sin llegar a merecer una tarjeta roja directa. ¿Qué puede hacer el árbitro?</t>
  </si>
  <si>
    <t xml:space="preserve">Podrá advertirle o, según la gravedad, amonestarlo directamente con tarjeta amarilla.</t>
  </si>
  <si>
    <t xml:space="preserve">Podrá expulsarlo con tarjeta roja, sin posibilidad de amonestación previa.</t>
  </si>
  <si>
    <t xml:space="preserve">No podrá tomar ninguna medida disciplinaria contra los miembros del cuerpo técnico.</t>
  </si>
  <si>
    <t xml:space="preserve">El árbitro tomará medidas contra los miembros del cuerpo técnico que no actúen de forma responsable, pudiendo hacerles una advertencia y amonestarlos con tarjeta amarilla, o mostrarles tarjeta roja y expulsarlos.</t>
  </si>
  <si>
    <t xml:space="preserve">RJ5-054</t>
  </si>
  <si>
    <t xml:space="preserve">¿Hasta dónde alcanza la potestad del árbitro para expulsar del terreno de juego y sus inmediaciones a un miembro del cuerpo técnico?</t>
  </si>
  <si>
    <t xml:space="preserve">Incluye el área técnica, además del terreno de juego y sus inmediaciones.</t>
  </si>
  <si>
    <t xml:space="preserve">Alcanza las gradas reservadas al cuerpo técnico, pero no el banquillo del equipo.</t>
  </si>
  <si>
    <t xml:space="preserve">Alcanza el banquillo de suplentes, sin extenderse al resto del área técnica.</t>
  </si>
  <si>
    <t xml:space="preserve">El árbitro podrá mostrar tarjeta roja y expulsar a un miembro del cuerpo técnico del terreno de juego y sus inmediaciones, incluida el área técnica.</t>
  </si>
  <si>
    <t xml:space="preserve">RJ5-055</t>
  </si>
  <si>
    <t xml:space="preserve">¿Qué debe hacer el árbitro si detecta cualquier tipo de conducta incorrecta durante el partido, además de las medidas disciplinarias que le correspondan?</t>
  </si>
  <si>
    <t xml:space="preserve">Informará sobre dicha conducta incorrecta a las autoridades competentes.</t>
  </si>
  <si>
    <t xml:space="preserve">Guardará constancia de ella solo si ha sido sancionada con tarjeta roja.</t>
  </si>
  <si>
    <t xml:space="preserve">Comunicará dicha conducta al finalizar la temporada, dentro de un informe global.</t>
  </si>
  <si>
    <t xml:space="preserve">Entre las facultades y obligaciones del árbitro se incluye informar sobre cualquier tipo de conducta incorrecta.</t>
  </si>
  <si>
    <t xml:space="preserve">RJ5-057</t>
  </si>
  <si>
    <t xml:space="preserve">Según la Regla 5, los miembros del equipo arbitral no serán responsables de:</t>
  </si>
  <si>
    <t xml:space="preserve">Lesiones, daños a la propiedad o cualquier otra pérdida derivada de una decisión tomada conforme a las Reglas de Juego.</t>
  </si>
  <si>
    <t xml:space="preserve">Las lesiones de los jugadores, pero sí de los daños a la propiedad derivados de una decisión tomada conforme a las Reglas.</t>
  </si>
  <si>
    <t xml:space="preserve">Ninguna consecuencia de sus decisiones, aunque no se hayan tomado conforme a las Reglas de Juego o al procedimiento normal.</t>
  </si>
  <si>
    <t xml:space="preserve">Los árbitros y los otros miembros del equipo arbitral no serán responsables de lesiones, daños a la propiedad ni de cualquier otra pérdida que se deba a una decisión tomada conforme a las Reglas de Juego o al procedimiento normal requerido para el partido.</t>
  </si>
  <si>
    <t xml:space="preserve">Regla 5.7</t>
  </si>
  <si>
    <t xml:space="preserve">RJ5-058</t>
  </si>
  <si>
    <t xml:space="preserve">El árbitro decide no disputar un partido por el mal estado del terreno de juego y un club le reclama los perjuicios económicos. ¿Es responsable el árbitro?</t>
  </si>
  <si>
    <t xml:space="preserve">No, es una de las decisiones de las que el equipo arbitral no es responsable.</t>
  </si>
  <si>
    <t xml:space="preserve">Sí, si su decisión no estaba suficientemente justificada por el estado del terreno.</t>
  </si>
  <si>
    <t xml:space="preserve">Sí, si la decisión se toma antes del inicio y no una vez comenzado el partido.</t>
  </si>
  <si>
    <t xml:space="preserve">Entre las decisiones de las que el equipo arbitral no es responsable se incluye permitir o no la disputa del encuentro según las condiciones del terreno de juego, sus inmediaciones o las condiciones meteorológicas.</t>
  </si>
  <si>
    <t xml:space="preserve">RJ5-059</t>
  </si>
  <si>
    <t xml:space="preserve">¿Es responsable el árbitro de las consecuencias de suspender definitivamente un partido por la razón que estime oportuna?</t>
  </si>
  <si>
    <t xml:space="preserve">Sí, salvo que la suspensión sea por condiciones meteorológicas.</t>
  </si>
  <si>
    <t xml:space="preserve">Sí, salvo que la haya consultado antes con ambos capitanes.</t>
  </si>
  <si>
    <t xml:space="preserve">El equipo arbitral no será responsable de las consecuencias de suspender definitivamente un partido por la razón que estime oportuna.</t>
  </si>
  <si>
    <t xml:space="preserve">RJ5-060</t>
  </si>
  <si>
    <t xml:space="preserve">¿De qué tipo de decisión, entre las siguientes, no será responsable el equipo arbitral en relación con el material del partido?</t>
  </si>
  <si>
    <t xml:space="preserve">De determinar la idoneidad del equipamiento o del balón utilizados durante el partido.</t>
  </si>
  <si>
    <t xml:space="preserve">De determinar el fabricante oficial del balón utilizado en la competición.</t>
  </si>
  <si>
    <t xml:space="preserve">De fijar el precio de las entradas al estadio en función del equipamiento utilizado.</t>
  </si>
  <si>
    <t xml:space="preserve">Entre las decisiones de las que no será responsable el equipo arbitral se encuentra determinar la idoneidad del equipamiento o del balón utilizados durante el partido.</t>
  </si>
  <si>
    <t xml:space="preserve">RJ5-064</t>
  </si>
  <si>
    <t xml:space="preserve">El médico de un equipo entra en el terreno de juego, de manera respetuosa y pacífica, para atender a un jugador sin el permiso del árbitro. El árbitro...</t>
  </si>
  <si>
    <t xml:space="preserve">Le advierte.</t>
  </si>
  <si>
    <t xml:space="preserve">Lo permite, porque va a atender a un lesionado.</t>
  </si>
  <si>
    <t xml:space="preserve">Regla 1 (pág. 27): el médico o el fisioterapeuta entran en el terreno de juego «con el permiso del árbitro». Regla 12 (pág. 68): entrar en el terreno de juego de manera respetuosa y pacífica tiene, por lo general, como resultado una advertencia. Reglamento de Competiciones, Art. 156: el árbitro prohibirá que entren sin su autorización otras personas.</t>
  </si>
  <si>
    <t xml:space="preserve">RJ5-065</t>
  </si>
  <si>
    <t xml:space="preserve">¿Puede el árbitro modificar el resultado de un partido ya finalizado si detecta con posterioridad un error suyo?</t>
  </si>
  <si>
    <t xml:space="preserve">No, una vez finalizado el partido las decisiones del árbitro son definitivas.</t>
  </si>
  <si>
    <t xml:space="preserve">Sí, si el error es reconocido por ambos equipos tras el partido.</t>
  </si>
  <si>
    <t xml:space="preserve">Sí, si lo solicita el club perjudicado dentro de las 24 horas siguientes.</t>
  </si>
  <si>
    <t xml:space="preserve">Las decisiones del árbitro relativas a los hechos ocurridos en relación con el juego, incluido el resultado, son definitivas.</t>
  </si>
  <si>
    <t xml:space="preserve">RJ5-067</t>
  </si>
  <si>
    <t xml:space="preserve">El árbitro observa que un árbitro asistente ha cometido un error evidente al señalar un fuera de juego inexistente, sin que el juego se haya reanudado todavía. ¿Puede rectificar?</t>
  </si>
  <si>
    <t xml:space="preserve">Sí, puede rectificar la decisión mientras el juego no se haya reanudado.</t>
  </si>
  <si>
    <t xml:space="preserve">No, una vez levantado el banderín por el asistente, la decisión es irrevocable.</t>
  </si>
  <si>
    <t xml:space="preserve">Solo puede rectificar si el VAR se lo indica expresamente.</t>
  </si>
  <si>
    <t xml:space="preserve">El árbitro puede modificar una decisión, incluida la de un asistente, si se percata de un error antes de que el juego se reanude.</t>
  </si>
  <si>
    <t xml:space="preserve">RJ5-068</t>
  </si>
  <si>
    <t xml:space="preserve">Durante el partido, el árbitro necesita comunicar una decisión importante y su silbato deja de funcionar. ¿Qué puede hacer?</t>
  </si>
  <si>
    <t xml:space="preserve">Utilizar cualquier otro medio a su alcance para comunicar la decisión y detener o reanudar el juego.</t>
  </si>
  <si>
    <t xml:space="preserve">Detener el partido definitivamente hasta disponer de un silbato de repuesto.</t>
  </si>
  <si>
    <t xml:space="preserve">Delegar temporalmente sus funciones en el cuarto árbitro hasta solucionar el problema.</t>
  </si>
  <si>
    <t xml:space="preserve">El árbitro puede valerse de cualquier medio adecuado, además del silbato, para comunicar sus decisiones.</t>
  </si>
  <si>
    <t xml:space="preserve">RJ5-070</t>
  </si>
  <si>
    <t xml:space="preserve">Durante la segunda parte, la iluminación del estadio empeora notablemente. El árbitro...</t>
  </si>
  <si>
    <t xml:space="preserve">Puede suspender el partido, temporal o definitivamente, si las condiciones no son adecuadas.</t>
  </si>
  <si>
    <t xml:space="preserve">Debe continuar el partido, porque la iluminación no es una causa de suspensión.</t>
  </si>
  <si>
    <t xml:space="preserve">Puede reducir la duración de la segunda parte para evitar suspender el partido.</t>
  </si>
  <si>
    <t xml:space="preserve">Entre las circunstancias que pueden motivar la suspensión del partido está cualquier tipo de interferencia externa, incluidas unas condiciones inadecuadas para el juego.</t>
  </si>
  <si>
    <t xml:space="preserve">RJ5-071</t>
  </si>
  <si>
    <t xml:space="preserve">¿Puede el árbitro conceder ventaja tras una infracción y, si esta no se produce como esperaba, volver a sancionar la infracción original?</t>
  </si>
  <si>
    <t xml:space="preserve">Sí, si la ventaja anticipada no se materializa de inmediato o en los segundos siguientes, puede sancionar la infracción original.</t>
  </si>
  <si>
    <t xml:space="preserve">No, una vez concedida la ventaja, el árbitro no puede volver a sancionar esa infracción bajo ningún concepto.</t>
  </si>
  <si>
    <t xml:space="preserve">Sí, pero solo puede hacerlo antes de que el balón vuelva a ser tocado por cualquier jugador.</t>
  </si>
  <si>
    <t xml:space="preserve">El árbitro puede sancionar la infracción original si la ventaja prevista no se produce de manera inmediata o en los segundos siguientes.</t>
  </si>
  <si>
    <t xml:space="preserve">RJ5-072</t>
  </si>
  <si>
    <t xml:space="preserve">El árbitro decide detener el partido de forma definitiva por una agresión masiva entre aficionados en la grada. ¿Tiene autoridad para ello?</t>
  </si>
  <si>
    <t xml:space="preserve">Sí, el árbitro puede suspender definitivamente el partido ante circunstancias de este tipo.</t>
  </si>
  <si>
    <t xml:space="preserve">No, solo el delegado de campo puede tomar esta decisión.</t>
  </si>
  <si>
    <t xml:space="preserve">No, esta decisión corresponde exclusivamente al organizador de la competición durante el partido.</t>
  </si>
  <si>
    <t xml:space="preserve">El árbitro tiene autoridad para suspender definitivamente el partido cuando concurran circunstancias graves, como incidentes de público.</t>
  </si>
  <si>
    <t xml:space="preserve">RJ5-073</t>
  </si>
  <si>
    <t xml:space="preserve">Un jugador sufre una lesión leve y el árbitro decide no detener el juego. ¿Es correcto?</t>
  </si>
  <si>
    <t xml:space="preserve">Sí, ante una lesión leve puede dejar que el juego continúe.</t>
  </si>
  <si>
    <t xml:space="preserve">No, cualquier lesión obliga a detener el juego de inmediato.</t>
  </si>
  <si>
    <t xml:space="preserve">No, solo puede continuar si lo solicita el jugador lesionado.</t>
  </si>
  <si>
    <t xml:space="preserve">Ante lesiones leves, el árbitro puede optar por no detener el juego, permitiendo que continúe con normalidad.</t>
  </si>
  <si>
    <t xml:space="preserve">RJ5-074</t>
  </si>
  <si>
    <t xml:space="preserve">¿Puede el árbitro anular una decisión ya comunicada si el cuarto árbitro le informa de un error evidente antes de que el juego se reanude?</t>
  </si>
  <si>
    <t xml:space="preserve">Sí, puede modificar su decisión si el juego no se ha reanudado todavía.</t>
  </si>
  <si>
    <t xml:space="preserve">No, una vez comunicada verbalmente una decisión, esta es irrevocable.</t>
  </si>
  <si>
    <t xml:space="preserve">Sí, únicamente si la modificación beneficia al equipo local.</t>
  </si>
  <si>
    <t xml:space="preserve">El árbitro puede modificar una decisión, con la ayuda de otros miembros del equipo arbitral, siempre que el juego no se haya reanudado.</t>
  </si>
  <si>
    <t xml:space="preserve">RJ5-075</t>
  </si>
  <si>
    <t xml:space="preserve">Un entrenador abandona deliberadamente el área técnica para protestar una decisión al árbitro. El árbitro...</t>
  </si>
  <si>
    <t xml:space="preserve">Regla 12 (pág. 68): entre las infracciones merecedoras de expulsión de un miembro del cuerpo técnico está «abandonar el área técnica de forma deliberada para mostrar su desacuerdo o protestar a uno de los árbitros».</t>
  </si>
  <si>
    <t xml:space="preserve">RJ5-076</t>
  </si>
  <si>
    <t xml:space="preserve">El árbitro duda sobre cuál es la reanudación correcta. ¿Puede reanudar con un balón a tierra por ese motivo?</t>
  </si>
  <si>
    <t xml:space="preserve">Sí, el balón a tierra se usa cuando duda de la reanudación.</t>
  </si>
  <si>
    <t xml:space="preserve">No, el balón a tierra no está previsto para resolver dudas.</t>
  </si>
  <si>
    <t xml:space="preserve">Sí, si ambos capitanes están de acuerdo.</t>
  </si>
  <si>
    <t xml:space="preserve">Regla 8: el balón a tierra se utiliza, entre otros casos, cuando el árbitro detiene el juego por un motivo no contemplado en las Reglas de Juego. No está previsto como solución cuando el árbitro duda de la reanudación que corresponde.</t>
  </si>
  <si>
    <t xml:space="preserve">RJ5-077</t>
  </si>
  <si>
    <t xml:space="preserve">Un espectador informa al árbitro de un incidente que este no ha visto. ¿Puede el árbitro tomar una decisión basándose en esa información?</t>
  </si>
  <si>
    <t xml:space="preserve">No, solo en su criterio y en el de su equipo arbitral.</t>
  </si>
  <si>
    <t xml:space="preserve">Sí, si el espectador estaba cerca del lugar del incidente.</t>
  </si>
  <si>
    <t xml:space="preserve">Sí, si ningún miembro del equipo arbitral pudo verlo.</t>
  </si>
  <si>
    <t xml:space="preserve">Las decisiones arbitrales se basan en el criterio del árbitro y la información de su equipo arbitral, no en la opinión de personas ajenas a él.</t>
  </si>
  <si>
    <t xml:space="preserve">RJ5-078</t>
  </si>
  <si>
    <t xml:space="preserve">El árbitro aplica la ventaja tras una falta y, segundos después, el equipo beneficiado pierde el balón sin que la ventaja haya llegado a materializarse. El árbitro...</t>
  </si>
  <si>
    <t xml:space="preserve">Puede sancionar la infracción original.</t>
  </si>
  <si>
    <t xml:space="preserve">No puede sancionar ya la infracción original.</t>
  </si>
  <si>
    <t xml:space="preserve">Solo puede sancionar la infracción si se repite.</t>
  </si>
  <si>
    <t xml:space="preserve">Si la ventaja concedida no llega a materializarse en los segundos siguientes, el árbitro puede sancionar la infracción original.</t>
  </si>
  <si>
    <t xml:space="preserve">RJ5-079</t>
  </si>
  <si>
    <t xml:space="preserve">¿Puede el árbitro suspender un partido si detecta que las condiciones de seguridad del estadio han empeorado gravemente durante el encuentro?</t>
  </si>
  <si>
    <t xml:space="preserve">Sí, la seguridad del recinto es una de las circunstancias que puede motivar la suspensión del partido.</t>
  </si>
  <si>
    <t xml:space="preserve">No, la seguridad del estadio es responsabilidad exclusiva del organizador, sin intervención del árbitro.</t>
  </si>
  <si>
    <t xml:space="preserve">Sí, únicamente si lo solicitan conjuntamente ambos equipos.</t>
  </si>
  <si>
    <t xml:space="preserve">El árbitro puede suspender el partido cuando concurran circunstancias que comprometan la seguridad, entre otras causas previstas.</t>
  </si>
  <si>
    <t xml:space="preserve">RJ5-080</t>
  </si>
  <si>
    <t xml:space="preserve">En una competición sin VAR, un miembro del cuerpo técnico solicita al árbitro revisar una jugada en las imágenes de televisión. El árbitro...</t>
  </si>
  <si>
    <t xml:space="preserve">No atiende la petición.</t>
  </si>
  <si>
    <t xml:space="preserve">Revisa las imágenes de televisión disponibles.</t>
  </si>
  <si>
    <t xml:space="preserve">Revisa las imágenes si ambos equipos lo solicitan.</t>
  </si>
  <si>
    <t xml:space="preserve">El uso del VAR depende de que la competición cumpla los requisitos de implementación exigidos; sin ellos, no existe esa vía de revisión.</t>
  </si>
  <si>
    <t xml:space="preserve">RJ5-081</t>
  </si>
  <si>
    <t xml:space="preserve">Según la Regla 5, las decisiones del árbitro sobre hechos sucedidos durante el encuentro, incluido dar por válido un gol o el resultado del partido:</t>
  </si>
  <si>
    <t xml:space="preserve">Son irrevocables.</t>
  </si>
  <si>
    <t xml:space="preserve">Puede revisarlas la competición tras el partido.</t>
  </si>
  <si>
    <t xml:space="preserve">Pueden cambiarse si ambos capitanes lo piden.</t>
  </si>
  <si>
    <t xml:space="preserve">Regla 5 (pág. 41): «Las decisiones arbitrales sobre hechos y acciones sucedidos durante el encuentro, incluyendo dar por válido un gol o el resultado del partido, son irrevocables».</t>
  </si>
  <si>
    <t xml:space="preserve">RJ5-082</t>
  </si>
  <si>
    <t xml:space="preserve">Durante el partido, el árbitro sospecha que un jugador está jugando con la licencia de otro. El árbitro...</t>
  </si>
  <si>
    <t xml:space="preserve">Le impide seguir participando en el partido y lo refleja en el acta.</t>
  </si>
  <si>
    <t xml:space="preserve">Lo refleja en el acta para que lo resuelva el órgano disciplinario.</t>
  </si>
  <si>
    <t xml:space="preserve">Lo expulsa por suplantación de identidad y lo refleja en el acta.</t>
  </si>
  <si>
    <t xml:space="preserve">Reglamento de Competiciones, Art. 156: el árbitro examina las licencias, advierte a quienes no reúnan las condiciones de que pueden incurrir en responsabilidad y lo refleja en el acta. La alineación indebida (Art. 142) la resuelve el órgano disciplinario.</t>
  </si>
  <si>
    <t xml:space="preserve">RJ5-083</t>
  </si>
  <si>
    <t xml:space="preserve">¿Puede el árbitro decidir jugar los dos periodos del partido en sentido contrario al habitual (de derecha a izquierda) sin ningún motivo especial?</t>
  </si>
  <si>
    <t xml:space="preserve">No necesariamente; el sentido de juego lo determina el sorteo previo, no el libre criterio del árbitro.</t>
  </si>
  <si>
    <t xml:space="preserve">Sí, el árbitro puede decidir libremente el sentido de juego de cada periodo del partido.</t>
  </si>
  <si>
    <t xml:space="preserve">Sí, si ambos equipos se lo solicitan conjuntamente antes de comenzar el partido.</t>
  </si>
  <si>
    <t xml:space="preserve">El sentido de juego de cada periodo se determina mediante el procedimiento correspondiente (sorteo y cambio de campo), no a libre criterio del árbitro.</t>
  </si>
  <si>
    <t xml:space="preserve">RJ5-084</t>
  </si>
  <si>
    <t xml:space="preserve">Tras señalar un tiro penal, un jugador necesita atención médica. ¿Puede el árbitro retrasar la ejecución del tiro penal?</t>
  </si>
  <si>
    <t xml:space="preserve">Sí, puede permitir la atención antes de que se ejecute.</t>
  </si>
  <si>
    <t xml:space="preserve">No, el tiro penal debe ejecutarse antes de atenderlo.</t>
  </si>
  <si>
    <t xml:space="preserve">Sí, pero solo si el lesionado es el ejecutor del penal.</t>
  </si>
  <si>
    <t xml:space="preserve">El árbitro puede permitir la atención necesaria a un jugador lesionado antes de proceder a la ejecución de un tiro penal ya concedido.</t>
  </si>
  <si>
    <t xml:space="preserve">RJ5-085</t>
  </si>
  <si>
    <t xml:space="preserve">Por motivos de seguridad, ¿puede el árbitro decidir antes de comenzar el partido que este se dispute sin público?</t>
  </si>
  <si>
    <t xml:space="preserve">No, es una decisión que corresponde al organizador de la competición.</t>
  </si>
  <si>
    <t xml:space="preserve">Sí, el árbitro puede decidirlo por sí solo antes del inicio del partido.</t>
  </si>
  <si>
    <t xml:space="preserve">Sí, si ambos capitanes están de acuerdo antes del inicio del partido.</t>
  </si>
  <si>
    <t xml:space="preserve">Las decisiones relativas a la organización previa del partido, como la disputa sin público, corresponden con carácter general al organizador de la competición.</t>
  </si>
  <si>
    <t xml:space="preserve">RJ5-086</t>
  </si>
  <si>
    <t xml:space="preserve">Ante una duda razonable sobre si un balón cruzó completamente la línea de meta sin sistema de detección automática, ¿en qué debe basarse principalmente el árbitro?</t>
  </si>
  <si>
    <t xml:space="preserve">En su propia percepción y, en su caso, en la información de sus árbitros asistentes.</t>
  </si>
  <si>
    <t xml:space="preserve">Exclusivamente en la reacción de los aficionados presentes en el estadio.</t>
  </si>
  <si>
    <t xml:space="preserve">Exclusivamente en la opinión del capitán del equipo que reclama el gol.</t>
  </si>
  <si>
    <t xml:space="preserve">Sin sistemas tecnológicos disponibles, el árbitro debe basarse en su propia percepción y en la ayuda de su equipo arbitral para tomar la decisión.</t>
  </si>
  <si>
    <t xml:space="preserve">RJ5-087</t>
  </si>
  <si>
    <t xml:space="preserve">Según la Regla 12 (2026/27), si el árbitro aplica la ventaja tras una infracción destinada a evitar una ocasión manifiesta de gol y el equipo atacante marca, el infractor:</t>
  </si>
  <si>
    <t xml:space="preserve">Será amonestado por conducta antideportiva.</t>
  </si>
  <si>
    <t xml:space="preserve">Será expulsado por evitar una ocasión de gol.</t>
  </si>
  <si>
    <t xml:space="preserve">No será amonestado ni expulsado.</t>
  </si>
  <si>
    <t xml:space="preserve">Cambio 2026/27 (Regla 12): «Si el árbitro concede ventaja tras una infracción destinada a evitar un gol o una ocasión manifiesta de gol y, como resultado, el equipo atacante marca un gol, no se amonestará ni expulsará al infractor».</t>
  </si>
  <si>
    <t xml:space="preserve">RJ5-088</t>
  </si>
  <si>
    <t xml:space="preserve">El juego ya se ha reanudado cuando un árbitro asistente informa al árbitro de un error en la identidad del jugador sancionado. ¿Puede corregirse la decisión?</t>
  </si>
  <si>
    <t xml:space="preserve">No, salvo en los supuestos concretos que permiten la revisión con el juego reanudado.</t>
  </si>
  <si>
    <t xml:space="preserve">Sí, el error de identidad puede corregirse en cualquier momento posterior del partido.</t>
  </si>
  <si>
    <t xml:space="preserve">Sí, si se corrige antes de que finalice esa misma parte del partido.</t>
  </si>
  <si>
    <t xml:space="preserve">Una vez reanudado el juego, la decisión no puede modificarse salvo en los supuestos concretos previstos (como la confusión de identidad revisable por el VAR, si está disponible, o infracciones de expulsión por conducta violenta, escupir, morder u ofensas graves).</t>
  </si>
  <si>
    <t xml:space="preserve">RJ5-090</t>
  </si>
  <si>
    <t xml:space="preserve">Un miembro del cuerpo técnico, ya amonestado previamente en el partido, incurre en una nueva conducta que sería normalmente sancionable con una segunda amonestación. ¿Qué decisión debe tomar el árbitro?</t>
  </si>
  <si>
    <t xml:space="preserve">Expulsarlo, al tratarse de una segunda amonestación en el mismo partido, aplicando el mismo criterio que con los jugadores.</t>
  </si>
  <si>
    <t xml:space="preserve">Amonestarlo de nuevo, sin que la reiteración conlleve una consecuencia adicional para el cuerpo técnico.</t>
  </si>
  <si>
    <t xml:space="preserve">Advertirlo únicamente, al no aplicarse a los miembros del cuerpo técnico el criterio de la segunda amonestación.</t>
  </si>
  <si>
    <t xml:space="preserve">El criterio de que una segunda amonestación en el mismo partido conlleve expulsión se aplica también a los miembros del cuerpo técnico, igual que a los jugadores.</t>
  </si>
  <si>
    <t xml:space="preserve">RJ5-091</t>
  </si>
  <si>
    <t xml:space="preserve">El árbitro detiene el juego por una lesión grave de un jugador, cuyo equipo estaba en clara situación de desventaja en la jugada en ese momento. ¿Puede el árbitro haber optado por conceder ventaja en lugar de detener el juego inmediatamente?</t>
  </si>
  <si>
    <t xml:space="preserve">No, ante una lesión grave el árbitro detendrá el juego de inmediato, sin aplicar el criterio de ventaja propio de las infracciones.</t>
  </si>
  <si>
    <t xml:space="preserve">Sí, el criterio de ventaja se aplica igualmente ante cualquier lesión, grave o leve, del mismo modo que ante una infracción.</t>
  </si>
  <si>
    <t xml:space="preserve">Sí, pero solo si el propio equipo del jugador lesionado se encontraba en clara situación de ventaja en la jugada.</t>
  </si>
  <si>
    <t xml:space="preserve">Ante una lesión grave, el árbitro detendrá el juego de inmediato; el criterio de ventaja se aplica a las infracciones de las Reglas de Juego, no a las lesiones graves.</t>
  </si>
  <si>
    <t xml:space="preserve">RJ5-093</t>
  </si>
  <si>
    <t xml:space="preserve">Un espectador invade el terreno de juego y se dirige de forma amenazante hacia un árbitro asistente, sin llegar a tocarlo. El árbitro...</t>
  </si>
  <si>
    <t xml:space="preserve">Puede detener o suspender, temporal o definitivamente, el partido según la gravedad.</t>
  </si>
  <si>
    <t xml:space="preserve">Solo puede reflejar en el acta la falta de seguridad, sin detener el partido.</t>
  </si>
  <si>
    <t xml:space="preserve">Debe dejar que el partido continúe mientras no haya contacto físico con él.</t>
  </si>
  <si>
    <t xml:space="preserve">Ante interferencias de espectadores, incluidas las que suponen un riesgo para la seguridad del equipo arbitral, el árbitro puede optar por detener, suspender temporalmente o suspender definitivamente el partido según la gravedad.</t>
  </si>
  <si>
    <t xml:space="preserve">RJ5-094</t>
  </si>
  <si>
    <t xml:space="preserve">Tras una revisión del VAR, el árbitro anula un gol por fuera de juego. ¿Cómo se reanuda el juego?</t>
  </si>
  <si>
    <t xml:space="preserve">Con un tiro libre indirecto donde se cometió el fuera de juego.</t>
  </si>
  <si>
    <t xml:space="preserve">Con un balón a tierra donde se encontraba el balón al detenerse.</t>
  </si>
  <si>
    <t xml:space="preserve">Con un saque de meta a favor del equipo que había recibido el gol.</t>
  </si>
  <si>
    <t xml:space="preserve">Al anular un gol por fuera de juego tras una revisión, el juego se reanuda aplicando la sanción general correspondiente a esa infracción: tiro libre indirecto en el lugar donde se produjo.</t>
  </si>
  <si>
    <t xml:space="preserve">RJ6-001</t>
  </si>
  <si>
    <t xml:space="preserve">Regla 6</t>
  </si>
  <si>
    <t xml:space="preserve">Se ha marcado un gol, pero el balón parece seguir en juego. ¿Qué señal debe hacer el árbitro asistente?</t>
  </si>
  <si>
    <t xml:space="preserve">Correr rápidamente 25-30 m por la banda hacia la línea central.</t>
  </si>
  <si>
    <t xml:space="preserve">Correr rápidamente 25-30 m por la banda hacia la línea central, con una señal discreta.</t>
  </si>
  <si>
    <t xml:space="preserve">Levantar primero el banderín y después correr 25-30 m por la banda hacia la línea central.</t>
  </si>
  <si>
    <t xml:space="preserve">Directrices prácticas (pág. 117): si se ha marcado gol pero el balón parece hallarse aún en juego, el asistente deberá primeramente levantar el banderín para atraer la atención del árbitro y luego correr 25-30 m hacia la línea de medio campo.</t>
  </si>
  <si>
    <t xml:space="preserve">RJ6-002</t>
  </si>
  <si>
    <t xml:space="preserve">Según la Regla 6, el árbitro asistente de reserva:</t>
  </si>
  <si>
    <t xml:space="preserve">Reemplazará a un asistente, al cuarto árbitro o a un asistente adicional que no pueda continuar, y ayudará al árbitro como el resto del equipo arbitral.</t>
  </si>
  <si>
    <t xml:space="preserve">Reemplazará a un asistente o al cuarto árbitro que no pueda continuar, sin ayudar al árbitro en ninguna otra función durante el partido.</t>
  </si>
  <si>
    <t xml:space="preserve">Ayudará al árbitro en el control del área técnica, sin poder reemplazar a ningún otro miembro del equipo arbitral durante el partido.</t>
  </si>
  <si>
    <t xml:space="preserve">El asistente de reserva puede sustituir a cualquier miembro del equipo arbitral que no pueda continuar (asistente, 4º árbitro o asistente adicional) y colabora con el árbitro principal igual que el resto del equipo arbitral.</t>
  </si>
  <si>
    <t xml:space="preserve">RJ6-005</t>
  </si>
  <si>
    <t xml:space="preserve">¿Cuáles son los miembros del equipo arbitral en el terreno de juego?</t>
  </si>
  <si>
    <t xml:space="preserve">El árbitro principal, los árbitros asistentes, el cuarto árbitro, los árbitros asistentes adicionales y el árbitro asistente de reserva.</t>
  </si>
  <si>
    <t xml:space="preserve">El árbitro principal, los árbitros asistentes, el cuarto árbitro, los árbitros asistentes adicionales y el VAR.</t>
  </si>
  <si>
    <t xml:space="preserve">El árbitro principal, los árbitros asistentes y el árbitro asistente de reserva, quedando el resto fuera de esta categoría.</t>
  </si>
  <si>
    <t xml:space="preserve">Son miembros del equipo arbitral en el terreno de juego el árbitro principal, los árbitros asistentes, el cuarto árbitro, los árbitros asistentes adicionales y el árbitro asistente de reserva.</t>
  </si>
  <si>
    <t xml:space="preserve">RJ6-006</t>
  </si>
  <si>
    <t xml:space="preserve">¿A qué categoría pertenecen el VAR y el AVAR dentro del equipo arbitral?</t>
  </si>
  <si>
    <t xml:space="preserve">Son los miembros del equipo arbitral de vídeo, dentro del equipo arbitral.</t>
  </si>
  <si>
    <t xml:space="preserve">Son miembros del equipo arbitral en el terreno de juego, igual que los árbitros asistentes.</t>
  </si>
  <si>
    <t xml:space="preserve">No forman parte del equipo arbitral, sino de un servicio técnico externo contratado por la competición.</t>
  </si>
  <si>
    <t xml:space="preserve">El VAR y el AVAR son los miembros del equipo arbitral de vídeo, y ayudan al árbitro conforme a las Reglas de Juego y al Protocolo del VAR.</t>
  </si>
  <si>
    <t xml:space="preserve">RJ6-007</t>
  </si>
  <si>
    <t xml:space="preserve">Un árbitro asistente incurre en una interferencia indebida o en una conducta incorrecta durante el partido. El árbitro...</t>
  </si>
  <si>
    <t xml:space="preserve">Prescinde de sus servicios e informa a las autoridades competentes.</t>
  </si>
  <si>
    <t xml:space="preserve">Le advierte verbalmente y permite que continúe en el partido.</t>
  </si>
  <si>
    <t xml:space="preserve">Suspende el partido e informa a las autoridades competentes.</t>
  </si>
  <si>
    <t xml:space="preserve">El resto de miembros del equipo arbitral actuará bajo la dirección del árbitro principal; en caso de interferencia indebida o conducta incorrecta, el árbitro prescindirá de sus servicios e informará a las autoridades competentes.</t>
  </si>
  <si>
    <t xml:space="preserve">RJ6-008</t>
  </si>
  <si>
    <t xml:space="preserve">Un árbitro asistente tiene un mejor ángulo de visión que el árbitro principal sobre una infracción. ¿Qué debe hacer?</t>
  </si>
  <si>
    <t xml:space="preserve">Ayudar al árbitro principal a determinar las faltas e infracciones.</t>
  </si>
  <si>
    <t xml:space="preserve">Detener el juego con su banderín sin comunicárselo al árbitro principal.</t>
  </si>
  <si>
    <t xml:space="preserve">Abstenerse de intervenir, ya que la decisión final corresponde al árbitro principal.</t>
  </si>
  <si>
    <t xml:space="preserve">Los otros miembros del equipo arbitral en el terreno de juego ayudarán al árbitro principal a determinar las faltas e infracciones cuando tengan un mejor ángulo de visión.</t>
  </si>
  <si>
    <t xml:space="preserve">RJ6-009</t>
  </si>
  <si>
    <t xml:space="preserve">Un miembro del equipo arbitral aprecia una conducta incorrecta grave que no han visto ni el árbitro ni el resto del equipo arbitral. ¿Qué debe hacer?</t>
  </si>
  <si>
    <t xml:space="preserve">Incluirla en un informe al final de la temporada sobre las incidencias del club.</t>
  </si>
  <si>
    <t xml:space="preserve">Informar a las autoridades competentes y dar parte de ello al resto del equipo arbitral.</t>
  </si>
  <si>
    <t xml:space="preserve">Nada, porque no fue apreciada ni sancionada en el terreno de juego durante el partido.</t>
  </si>
  <si>
    <t xml:space="preserve">Deberán informar a las autoridades competentes sobre cualquier conducta incorrecta grave u otros incidentes no apreciados por el árbitro ni por el resto del equipo arbitral, y dar parte de ello a los demás miembros.</t>
  </si>
  <si>
    <t xml:space="preserve">RJ6-010</t>
  </si>
  <si>
    <t xml:space="preserve">Además de ayudar a determinar las infracciones, los miembros del equipo arbitral en el terreno de juego ayudan al árbitro a:</t>
  </si>
  <si>
    <t xml:space="preserve">Inspeccionar el terreno, los balones y el equipamiento, y registrar el tiempo, los goles y la conducta incorrecta.</t>
  </si>
  <si>
    <t xml:space="preserve">Registrar el tiempo, los goles y la conducta incorrecta, sin intervenir en la inspección del equipamiento.</t>
  </si>
  <si>
    <t xml:space="preserve">Inspeccionar el terreno, los balones y el equipamiento, y supervisar el acceso de los medios de comunicación.</t>
  </si>
  <si>
    <t xml:space="preserve">Los miembros del equipo arbitral en el terreno de juego ayudan al árbitro a inspeccionar el terreno de juego, los balones y el equipamiento de los jugadores, y a mantener registros de tiempo, goles y conducta incorrecta.</t>
  </si>
  <si>
    <t xml:space="preserve">RJ6-011</t>
  </si>
  <si>
    <t xml:space="preserve">Para el caso de que el árbitro no pueda continuar, ¿qué deberá dejar claro el reglamento de la competición?</t>
  </si>
  <si>
    <t xml:space="preserve">Si asumirá sus funciones el cuarto árbitro, el primer asistente o el primer asistente adicional.</t>
  </si>
  <si>
    <t xml:space="preserve">Si asumirá sus funciones el delegado de campo o el capitán del equipo local hasta el final.</t>
  </si>
  <si>
    <t xml:space="preserve">Si el partido se suspenderá o se dará por finalizado con el resultado que hubiera en ese momento.</t>
  </si>
  <si>
    <t xml:space="preserve">El reglamento de la competición deberá estipular claramente quién sustituirá a un miembro del equipo arbitral que no pueda continuar su labor, dejando claro si asumirá las funciones del árbitro el cuarto árbitro, el primer asistente o el primer asistente adicional.</t>
  </si>
  <si>
    <t xml:space="preserve">RJ6-012</t>
  </si>
  <si>
    <t xml:space="preserve">¿Cuál de las siguientes NO es una tarea propia de los árbitros asistentes según la Regla 6?</t>
  </si>
  <si>
    <t xml:space="preserve">Indicar si el balón ha salido completamente del terreno de juego y a qué equipo corresponde el saque.</t>
  </si>
  <si>
    <t xml:space="preserve">Mostrar directamente tarjetas amarillas o rojas a los jugadores sin intervención del árbitro principal.</t>
  </si>
  <si>
    <t xml:space="preserve">Indicar si un jugador en posición de fuera de juego debe ser sancionado.</t>
  </si>
  <si>
    <t xml:space="preserve">Los árbitros asistentes indican si el balón ha salido del terreno de juego y a qué equipo corresponde el saque, si un jugador en fuera de juego debe ser sancionado o si se solicita una sustitución, entre otras tareas; no tienen la facultad de mostrar tarjetas directamente.</t>
  </si>
  <si>
    <t xml:space="preserve">Regla 6.1</t>
  </si>
  <si>
    <t xml:space="preserve">RJ6-013</t>
  </si>
  <si>
    <t xml:space="preserve">En el lanzamiento de un tiro penal, el árbitro asistente indicará:</t>
  </si>
  <si>
    <t xml:space="preserve">Si el guardameta se separa de la línea de meta antes del lanzamiento y si el balón cruza la línea de meta.</t>
  </si>
  <si>
    <t xml:space="preserve">Si el ejecutor toca el balón dos veces antes de que lo toque otro jugador y si el balón cruza la línea de meta.</t>
  </si>
  <si>
    <t xml:space="preserve">Si algún jugador entra en el área antes del lanzamiento y si el balón cruza completamente la línea de meta.</t>
  </si>
  <si>
    <t xml:space="preserve">En el lanzamiento de un tiro penal, el árbitro asistente indicará si el guardameta se separa de la línea de meta antes del lanzamiento y si el balón cruza la línea de meta.</t>
  </si>
  <si>
    <t xml:space="preserve">RJ6-014</t>
  </si>
  <si>
    <t xml:space="preserve">En un partido se han designado árbitros asistentes adicionales. ¿Dónde debe situarse el árbitro asistente durante la ejecución de un tiro penal?</t>
  </si>
  <si>
    <t xml:space="preserve">A la altura del punto de penal, sobre la línea de banda.</t>
  </si>
  <si>
    <t xml:space="preserve">Detrás del banderín de esquina más cercano a la portería donde se ejecuta el penal.</t>
  </si>
  <si>
    <t xml:space="preserve">En la intersección de la línea de meta con el área de meta, junto al poste.</t>
  </si>
  <si>
    <t xml:space="preserve">Si se hubieran designado árbitros asistentes adicionales, el árbitro asistente deberá situarse a la altura del punto de penal.</t>
  </si>
  <si>
    <t xml:space="preserve">RJ6-015</t>
  </si>
  <si>
    <t xml:space="preserve">¿Qué labor adicional realiza el árbitro asistente relacionada con las sustituciones?</t>
  </si>
  <si>
    <t xml:space="preserve">Supervisar el procedimiento de sustitución de los jugadores.</t>
  </si>
  <si>
    <t xml:space="preserve">Autorizar la entrada del jugador suplente sin conocimiento del árbitro principal.</t>
  </si>
  <si>
    <t xml:space="preserve">Comunicar el número del jugador sustituido a la mesa de control, sin intervención del cuarto árbitro.</t>
  </si>
  <si>
    <t xml:space="preserve">La labor del árbitro asistente incluye también supervisar el procedimiento de sustitución.</t>
  </si>
  <si>
    <t xml:space="preserve">RJ6-016</t>
  </si>
  <si>
    <t xml:space="preserve">¿Para qué pueden entrar los árbitros asistentes en el terreno de juego durante un tiro libre?</t>
  </si>
  <si>
    <t xml:space="preserve">Para ayudar a que se respete la distancia reglamentaria de 9,15 m.</t>
  </si>
  <si>
    <t xml:space="preserve">Para sustituir temporalmente al árbitro principal mientras se dirige al área de revisión del VAR.</t>
  </si>
  <si>
    <t xml:space="preserve">Para colocar la barrera de jugadores defensores en la posición correcta.</t>
  </si>
  <si>
    <t xml:space="preserve">Los árbitros asistentes podrán entrar en el terreno de juego para ayudar a que se respete la distancia de 9,15 metros (10 yardas).</t>
  </si>
  <si>
    <t xml:space="preserve">RJ6-017</t>
  </si>
  <si>
    <t xml:space="preserve">¿Cuál de las siguientes es una labor propia del cuarto árbitro?</t>
  </si>
  <si>
    <t xml:space="preserve">Situarse en la línea de meta para indicar si el balón la ha cruzado completamente durante un tiro penal.</t>
  </si>
  <si>
    <t xml:space="preserve">Comprobar el equipamiento de los jugadores y suplentes.</t>
  </si>
  <si>
    <t xml:space="preserve">Determinar de forma definitiva si un jugador en posición de fuera de juego debe ser sancionado.</t>
  </si>
  <si>
    <t xml:space="preserve">Entre las labores del cuarto árbitro se incluye comprobar el equipamiento de jugadores y suplentes, además de otras funciones como supervisar sustituciones o los balones de reserva.</t>
  </si>
  <si>
    <t xml:space="preserve">Regla 6.2</t>
  </si>
  <si>
    <t xml:space="preserve">RJ6-018</t>
  </si>
  <si>
    <t xml:space="preserve">¿Quién permite la vuelta al terreno de juego de un jugador tras la señal o autorización del árbitro, entre otras labores?</t>
  </si>
  <si>
    <t xml:space="preserve">El cuarto árbitro, tras la señal o autorización del árbitro.</t>
  </si>
  <si>
    <t xml:space="preserve">El árbitro asistente de vídeo (VAR), tras la señal o autorización del árbitro.</t>
  </si>
  <si>
    <t xml:space="preserve">El delegado de campo del equipo local, previa comunicación al árbitro principal.</t>
  </si>
  <si>
    <t xml:space="preserve">Entre las labores del cuarto árbitro se incluye permitir la vuelta al terreno de juego de un jugador tras la señal o autorización del árbitro.</t>
  </si>
  <si>
    <t xml:space="preserve">RJ6-019</t>
  </si>
  <si>
    <t xml:space="preserve">¿Quién indica el tiempo mínimo que el árbitro tiene intención de añadir al final de cada periodo?</t>
  </si>
  <si>
    <t xml:space="preserve">El cuarto árbitro, aunque la decisión final corresponde al árbitro.</t>
  </si>
  <si>
    <t xml:space="preserve">El árbitro asistente de vídeo, que calcula el tiempo perdido en cada detención.</t>
  </si>
  <si>
    <t xml:space="preserve">El primer árbitro asistente, que lo comunica al público con el tablero electrónico.</t>
  </si>
  <si>
    <t xml:space="preserve">El cuarto árbitro indicará el tiempo mínimo que deberá añadirse, si bien el árbitro tomará la decisión final, pudiendo aumentar el tiempo añadido pero no reducirlo.</t>
  </si>
  <si>
    <t xml:space="preserve">Regla 6.2 / Regla 7</t>
  </si>
  <si>
    <t xml:space="preserve">RJ6-020</t>
  </si>
  <si>
    <t xml:space="preserve">Una persona situada en el área técnica se comporta de forma incorrecta y el árbitro principal no lo advierte. ¿Qué debe hacer el cuarto árbitro?</t>
  </si>
  <si>
    <t xml:space="preserve">Comunicar al árbitro que dicha persona se ha comportado de forma incorrecta.</t>
  </si>
  <si>
    <t xml:space="preserve">Expulsar a esa persona del área técnica sin informar al árbitro principal.</t>
  </si>
  <si>
    <t xml:space="preserve">Anotarlo en su registro personal, sin comunicárselo al árbitro durante el partido.</t>
  </si>
  <si>
    <t xml:space="preserve">Entre las labores del cuarto árbitro está comunicar al árbitro si alguna persona situada en el área técnica se comporta de forma incorrecta.</t>
  </si>
  <si>
    <t xml:space="preserve">RJ6-022</t>
  </si>
  <si>
    <t xml:space="preserve">¿Qué pueden indicar los árbitros asistentes adicionales respecto a la línea de meta?</t>
  </si>
  <si>
    <t xml:space="preserve">Si el balón ha atravesado completamente la línea de meta, incluyendo el caso de concederse el gol.</t>
  </si>
  <si>
    <t xml:space="preserve">Si el balón ha salido por la línea de banda más próxima a su posición durante el partido.</t>
  </si>
  <si>
    <t xml:space="preserve">Si el guardameta ha tocado el balón con las manos dentro o fuera de su propia área de penal.</t>
  </si>
  <si>
    <t xml:space="preserve">Los árbitros asistentes adicionales podrán indicar si el balón ha atravesado completamente la línea de meta, incluido el caso de concederse el gol.</t>
  </si>
  <si>
    <t xml:space="preserve">Regla 6.3</t>
  </si>
  <si>
    <t xml:space="preserve">RJ6-023</t>
  </si>
  <si>
    <t xml:space="preserve">¿Qué otra tarea corresponde a los árbitros asistentes adicionales, además de valorar la línea de meta?</t>
  </si>
  <si>
    <t xml:space="preserve">Mostrar la tarjeta roja de forma directa cuando aprecien una infracción grave junto a la portería.</t>
  </si>
  <si>
    <t xml:space="preserve">Indicar a qué equipo corresponde ejecutar el saque de esquina o de meta.</t>
  </si>
  <si>
    <t xml:space="preserve">Determinar de forma exclusiva si se debe expulsar a un jugador por conducta violenta cometida a espaldas del árbitro.</t>
  </si>
  <si>
    <t xml:space="preserve">Los árbitros asistentes adicionales podrán indicar, entre otras cosas, a qué equipo corresponde ejecutar el saque de esquina o de meta.</t>
  </si>
  <si>
    <t xml:space="preserve">RJ6-025</t>
  </si>
  <si>
    <t xml:space="preserve">¿A quién puede reemplazar el árbitro asistente de reserva?</t>
  </si>
  <si>
    <t xml:space="preserve">A un árbitro asistente, cuarto árbitro o árbitro asistente adicional que no pueda continuar con su labor.</t>
  </si>
  <si>
    <t xml:space="preserve">A uno de los árbitros asistentes adicionales, sin poder sustituir a otras figuras arbitrales.</t>
  </si>
  <si>
    <t xml:space="preserve">Al árbitro principal, en caso de que este no pueda seguir dirigiendo el encuentro.</t>
  </si>
  <si>
    <t xml:space="preserve">El árbitro asistente de reserva reemplazará a un árbitro asistente, cuarto árbitro o árbitro asistente adicional que no pueda continuar con su labor.</t>
  </si>
  <si>
    <t xml:space="preserve">Regla 6.4</t>
  </si>
  <si>
    <t xml:space="preserve">RJ6-028</t>
  </si>
  <si>
    <t xml:space="preserve">¿Sobre cuáles de las siguientes situaciones puede asistir el VAR al árbitro, según la Regla 6?</t>
  </si>
  <si>
    <t xml:space="preserve">Gol/no gol, penal/no penal, tarjeta roja (incluida una segunda amonestación claramente incorrecta) o confusión de identidad.</t>
  </si>
  <si>
    <t xml:space="preserve">Fuera de juego, quedando excluidos el resto de supuestos.</t>
  </si>
  <si>
    <t xml:space="preserve">Cualquier decisión relativa a un saque de banda mal ejecutado, con independencia de su repercusión en el juego.</t>
  </si>
  <si>
    <t xml:space="preserve">El VAR puede asistir en caso de gol/no gol, penal/no penal, tarjeta roja (incluida una segunda amonestación claramente incorrecta) o confusión de identidad cuando se amonesta o expulsa al jugador equivocado.</t>
  </si>
  <si>
    <t xml:space="preserve">Regla 6.5</t>
  </si>
  <si>
    <t xml:space="preserve">RJ6-029</t>
  </si>
  <si>
    <t xml:space="preserve">¿Cuál es la principal función del AVAR (asistente del árbitro asistente de vídeo)?</t>
  </si>
  <si>
    <t xml:space="preserve">Ayudar al VAR, por ejemplo viendo las imágenes mientras este realiza un chequeo o una revisión.</t>
  </si>
  <si>
    <t xml:space="preserve">Comunicarse con el árbitro sin intervención del VAR durante los chequeos y las revisiones.</t>
  </si>
  <si>
    <t xml:space="preserve">Sustituir al VAR en cualquier chequeo o revisión que se prolongue más de un minuto.</t>
  </si>
  <si>
    <t xml:space="preserve">El AVAR es un miembro del equipo arbitral que principalmente ayuda al VAR, por ejemplo viendo las imágenes de televisión mientras este realiza un chequeo o revisión.</t>
  </si>
  <si>
    <t xml:space="preserve">RJ6-030</t>
  </si>
  <si>
    <t xml:space="preserve">Además de ver las imágenes de televisión, el AVAR:</t>
  </si>
  <si>
    <t xml:space="preserve">Toma la decisión final sobre la jugada revisada y se la comunica después al cuarto árbitro.</t>
  </si>
  <si>
    <t xml:space="preserve">Sustituye al cuarto árbitro en la supervisión del área técnica mientras dura la revisión.</t>
  </si>
  <si>
    <t xml:space="preserve">Registra las incidencias del VAR y los problemas técnicos, y asiste en la comunicación con el árbitro.</t>
  </si>
  <si>
    <t xml:space="preserve">El AVAR registra los incidentes relacionados con el VAR y los problemas de comunicación o tecnología, y asiste en la comunicación entre el VAR y el árbitro, por ejemplo indicándole que detenga el juego o retrase la reanudación.</t>
  </si>
  <si>
    <t xml:space="preserve">RJ6-031</t>
  </si>
  <si>
    <t xml:space="preserve">¿Quién lleva un registro del tiempo «perdido» mientras el juego se ha detenido para chequear o revisar una jugada con el VAR?</t>
  </si>
  <si>
    <t xml:space="preserve">El AVAR, que lleva el control del tiempo durante la revisión.</t>
  </si>
  <si>
    <t xml:space="preserve">El primer árbitro asistente, que lo comunica al árbitro principal al finalizar el partido.</t>
  </si>
  <si>
    <t xml:space="preserve">El cuarto árbitro, sin intervención del AVAR en el registro de ese tiempo.</t>
  </si>
  <si>
    <t xml:space="preserve">Entre las tareas del AVAR se incluye llevar un registro del tiempo «perdido» mientras el juego se ha detenido para chequear o revisar la jugada.</t>
  </si>
  <si>
    <t xml:space="preserve">RJ6-032</t>
  </si>
  <si>
    <t xml:space="preserve">¿Quién informa sobre la decisión del VAR a las partes correspondientes?</t>
  </si>
  <si>
    <t xml:space="preserve">El AVAR, que informa de la decisión a las partes correspondientes.</t>
  </si>
  <si>
    <t xml:space="preserve">El delegado de campo, una vez finalizado el partido y por escrito en el acta.</t>
  </si>
  <si>
    <t xml:space="preserve">El árbitro principal, sin que el AVAR intervenga en dicha comunicación.</t>
  </si>
  <si>
    <t xml:space="preserve">Entre las funciones del AVAR se incluye informar sobre la decisión del VAR a las partes correspondientes.</t>
  </si>
  <si>
    <t xml:space="preserve">RJ6-033</t>
  </si>
  <si>
    <t xml:space="preserve">¿Qué labor relacionada con el material de juego corresponde también al cuarto árbitro?</t>
  </si>
  <si>
    <t xml:space="preserve">Supervisar los balones de reserva durante el partido.</t>
  </si>
  <si>
    <t xml:space="preserve">Sustituir cualquier balón que considere defectuoso sin consultar al árbitro principal.</t>
  </si>
  <si>
    <t xml:space="preserve">Determinar qué balón oficial se utilizará durante todo el partido, sin intervención del árbitro.</t>
  </si>
  <si>
    <t xml:space="preserve">Entre las labores del cuarto árbitro se incluye supervisar los balones de reserva.</t>
  </si>
  <si>
    <t xml:space="preserve">RJ6-034</t>
  </si>
  <si>
    <t xml:space="preserve">Un árbitro asistente aprecia una infracción por mano dentro del área que el árbitro no ha podido ver. ¿Qué debe hacer?</t>
  </si>
  <si>
    <t xml:space="preserve">Indicárselo al árbitro mediante la señal acordada.</t>
  </si>
  <si>
    <t xml:space="preserve">Detener el juego él mismo levantando el banderín.</t>
  </si>
  <si>
    <t xml:space="preserve">Nada, porque esas infracciones las advierte el VAR.</t>
  </si>
  <si>
    <t xml:space="preserve">Los árbitros asistentes ayudan al árbitro principal a determinar faltas e infracciones cuando este no puede verlas con claridad.</t>
  </si>
  <si>
    <t xml:space="preserve">RJ6-035</t>
  </si>
  <si>
    <t xml:space="preserve">¿Qué función cumple el cuarto árbitro respecto a los carteles de sustitución en un partido profesional?</t>
  </si>
  <si>
    <t xml:space="preserve">Puede supervisar y ayudar en el procedimiento de sustitución, incluida la indicación de los dorsales.</t>
  </si>
  <si>
    <t xml:space="preserve">Es el único autorizado a decidir qué jugador entra como suplente en cada cambio.</t>
  </si>
  <si>
    <t xml:space="preserve">No tiene ninguna función relacionada con las sustituciones, que corresponden solo al árbitro.</t>
  </si>
  <si>
    <t xml:space="preserve">El cuarto árbitro ayuda a supervisar el procedimiento de sustitución, entre otras de sus funciones.</t>
  </si>
  <si>
    <t xml:space="preserve">RJ6-036</t>
  </si>
  <si>
    <t xml:space="preserve">¿Cuál de las siguientes es una labor del asistente del árbitro asistente de vídeo (AVAR)?</t>
  </si>
  <si>
    <t xml:space="preserve">Registrar los incidentes del VAR y los problemas de comunicación o tecnología.</t>
  </si>
  <si>
    <t xml:space="preserve">Decidir si el árbitro debe acudir al área de revisión.</t>
  </si>
  <si>
    <t xml:space="preserve">Indicar el tiempo mínimo que se añadirá al final de cada periodo.</t>
  </si>
  <si>
    <t xml:space="preserve">Regla 6.5: el AVAR ayuda al VAR, entre otras tareas, a «registrar los incidentes relacionados con el VAR y los problemas de comunicación o de la tecnología en uso». El tiempo mínimo lo indica el cuarto árbitro y la revisión la decide el árbitro.</t>
  </si>
  <si>
    <t xml:space="preserve">RJ6-037</t>
  </si>
  <si>
    <t xml:space="preserve">El árbitro asistente de vídeo (VAR) advierte un error claro, obvio y manifiesto en una decisión de fuera de juego relacionada con un gol. ¿Puede intervenir?</t>
  </si>
  <si>
    <t xml:space="preserve">Sí, el fuera de juego es una de las materias revisables.</t>
  </si>
  <si>
    <t xml:space="preserve">No, las decisiones de fuera de juego no pueden revisarse.</t>
  </si>
  <si>
    <t xml:space="preserve">Solo si se lo solicita el capitán del equipo perjudicado.</t>
  </si>
  <si>
    <t xml:space="preserve">El VAR puede intervenir ante un error claro, obvio y manifiesto en las materias revisables, entre ellas el fuera de juego en determinadas circunstancias.</t>
  </si>
  <si>
    <t xml:space="preserve">RJ6-038</t>
  </si>
  <si>
    <t xml:space="preserve">Un árbitro asistente advierte que un jugador ha entrado al terreno de juego sin autorización durante una interrupción, sin que el árbitro lo haya visto. ¿Qué debe hacer?</t>
  </si>
  <si>
    <t xml:space="preserve">Informar al árbitro de lo sucedido para que este adopte la decisión oportuna.</t>
  </si>
  <si>
    <t xml:space="preserve">Detener por sí mismo el juego levantando el banderín de forma continua.</t>
  </si>
  <si>
    <t xml:space="preserve">No intervenir, al no ser una infracción relacionada con el fuera de juego.</t>
  </si>
  <si>
    <t xml:space="preserve">Los árbitros asistentes ayudan al árbitro a determinar infracciones que este no haya podido presenciar, informándole para que adopte la decisión correspondiente.</t>
  </si>
  <si>
    <t xml:space="preserve">RJ6-039</t>
  </si>
  <si>
    <t xml:space="preserve">¿Puede el cuarto árbitro indicar al árbitro principal el tiempo de recuperación que considera adecuado al final de un periodo?</t>
  </si>
  <si>
    <t xml:space="preserve">Sí, el cuarto árbitro puede informar de su cálculo, aunque la decisión final corresponde al árbitro principal.</t>
  </si>
  <si>
    <t xml:space="preserve">No, el cálculo del tiempo añadido corresponde en exclusiva al árbitro principal, sin intervención del cuarto árbitro.</t>
  </si>
  <si>
    <t xml:space="preserve">Sí, y su indicación resulta vinculante para el árbitro principal.</t>
  </si>
  <si>
    <t xml:space="preserve">El cuarto árbitro puede ayudar en el cálculo del tiempo perdido, pero la decisión final sobre el tiempo añadido corresponde al árbitro principal.</t>
  </si>
  <si>
    <t xml:space="preserve">RJ6-040</t>
  </si>
  <si>
    <t xml:space="preserve">Un árbitro asistente adicional aprecia una clara infracción por mano dentro del área que el árbitro no ha visto. ¿Puede comunicárselo?</t>
  </si>
  <si>
    <t xml:space="preserve">Sí, ayuda a determinar infracciones dentro y cerca del área penal.</t>
  </si>
  <si>
    <t xml:space="preserve">No, su función se limita a indicar si el balón cruza la línea de meta.</t>
  </si>
  <si>
    <t xml:space="preserve">No, solo el VAR puede comunicar este tipo de infracciones al árbitro.</t>
  </si>
  <si>
    <t xml:space="preserve">Los árbitros asistentes adicionales, entre otras funciones, ayudan a determinar infracciones cometidas dentro o cerca del área penal.</t>
  </si>
  <si>
    <t xml:space="preserve">RJ6-041</t>
  </si>
  <si>
    <t xml:space="preserve">¿Puede un árbitro asistente detener el juego por sí mismo ante una infracción evidente?</t>
  </si>
  <si>
    <t xml:space="preserve">No, la señala, pero es el árbitro quien detiene el juego.</t>
  </si>
  <si>
    <t xml:space="preserve">Sí, puede detener el juego levantando el banderín.</t>
  </si>
  <si>
    <t xml:space="preserve">Sí, pero solo si la infracción es dentro del área.</t>
  </si>
  <si>
    <t xml:space="preserve">Los árbitros asistentes señalan las infracciones para ayudar al árbitro, pero es este quien tiene la autoridad para detener el juego.</t>
  </si>
  <si>
    <t xml:space="preserve">RJ6-042</t>
  </si>
  <si>
    <t xml:space="preserve">El VAR advierte un posible error claro y obvio en una decisión de tarjeta roja directa. ¿Cuándo puede intervenir?</t>
  </si>
  <si>
    <t xml:space="preserve">Antes de que el juego se reanude tras esa decisión.</t>
  </si>
  <si>
    <t xml:space="preserve">En el descanso, aunque el juego ya se haya reanudado.</t>
  </si>
  <si>
    <t xml:space="preserve">Cuando lo solicite el capitán del equipo afectado.</t>
  </si>
  <si>
    <t xml:space="preserve">El VAR puede intervenir ante un error claro y obvio en las materias revisables, incluida la tarjeta roja directa, mientras el juego lo permita.</t>
  </si>
  <si>
    <t xml:space="preserve">RJ6-043</t>
  </si>
  <si>
    <t xml:space="preserve">¿Dónde se sitúa el árbitro asistente adicional durante el desarrollo normal del partido?</t>
  </si>
  <si>
    <t xml:space="preserve">Junto a la línea de meta, fuera del terreno de juego.</t>
  </si>
  <si>
    <t xml:space="preserve">Dentro del área penal, durante todo el partido.</t>
  </si>
  <si>
    <t xml:space="preserve">En el centro del terreno, cerca del árbitro.</t>
  </si>
  <si>
    <t xml:space="preserve">El árbitro asistente adicional se sitúa junto a la línea de meta, generalmente fuera del terreno de juego, para ayudar en las decisiones relacionadas con esa zona.</t>
  </si>
  <si>
    <t xml:space="preserve">RJ6-044</t>
  </si>
  <si>
    <t xml:space="preserve">El cuarto árbitro observa un incidente en el banquillo de un equipo que el árbitro no ha podido ver. ¿Qué debe hacer?</t>
  </si>
  <si>
    <t xml:space="preserve">Comunicárselo al árbitro.</t>
  </si>
  <si>
    <t xml:space="preserve">Sancionar él mismo al infractor.</t>
  </si>
  <si>
    <t xml:space="preserve">Nada, no es una de sus funciones.</t>
  </si>
  <si>
    <t xml:space="preserve">Entre las funciones del cuarto árbitro está supervisar el área técnica y comunicar al árbitro cualquier incidente relevante que este no haya podido presenciar.</t>
  </si>
  <si>
    <t xml:space="preserve">RJ6-046</t>
  </si>
  <si>
    <t xml:space="preserve">Durante una revisión del VAR, ¿quién selecciona las imágenes que se muestran al árbitro?</t>
  </si>
  <si>
    <t xml:space="preserve">El VAR, con la asistencia del técnico de repeticiones.</t>
  </si>
  <si>
    <t xml:space="preserve">El técnico de repeticiones, sin intervención del VAR.</t>
  </si>
  <si>
    <t xml:space="preserve">El cuarto árbitro, con la asistencia del técnico de repeticiones.</t>
  </si>
  <si>
    <t xml:space="preserve">El VAR selecciona el ángulo y la velocidad de las imágenes más apropiadas, con la asistencia técnica del técnico de repeticiones.</t>
  </si>
  <si>
    <t xml:space="preserve">RJ6-047</t>
  </si>
  <si>
    <t xml:space="preserve">¿Puede el árbitro asistente de reserva sustituir a un árbitro asistente titular durante el desarrollo de un partido?</t>
  </si>
  <si>
    <t xml:space="preserve">Sí, si el árbitro asistente titular no puede continuar por lesión u otra causa.</t>
  </si>
  <si>
    <t xml:space="preserve">No, el árbitro asistente de reserva únicamente puede actuar en el partido siguiente.</t>
  </si>
  <si>
    <t xml:space="preserve">Sí, en cualquier momento del partido, sin necesidad de que exista una causa justificada.</t>
  </si>
  <si>
    <t xml:space="preserve">El árbitro asistente de reserva puede sustituir a un árbitro asistente que no pueda continuar durante el partido.</t>
  </si>
  <si>
    <t xml:space="preserve">RJ6-048</t>
  </si>
  <si>
    <t xml:space="preserve">Un árbitro asistente adicional advierte que el balón, tras un rebote, ha cruzado completamente la línea de meta sin que el árbitro lo haya visto con claridad. ¿Qué debe hacer?</t>
  </si>
  <si>
    <t xml:space="preserve">Comunicárselo de inmediato al árbitro para que conceda el gol.</t>
  </si>
  <si>
    <t xml:space="preserve">Levantar el banderín para señalar fuera de juego, aunque no sea esa la situación.</t>
  </si>
  <si>
    <t xml:space="preserve">Esperar a que el VAR confirme la jugada antes de comunicar nada.</t>
  </si>
  <si>
    <t xml:space="preserve">Ayudar a determinar si el balón ha cruzado la línea de meta es una de las funciones específicas del árbitro asistente adicional.</t>
  </si>
  <si>
    <t xml:space="preserve">RJ6-052</t>
  </si>
  <si>
    <t xml:space="preserve">En un partido de Segunda Federación, el árbitro principal no puede continuar por lesión. Según el Reglamento de Competiciones, ¿quién lo sustituye?</t>
  </si>
  <si>
    <t xml:space="preserve">El árbitro asistente nº 2, que es un árbitro de Tercera Federación.</t>
  </si>
  <si>
    <t xml:space="preserve">El árbitro asistente nº 1, por ser el de mayor categoría como asistente.</t>
  </si>
  <si>
    <t xml:space="preserve">El delegado de campo, hasta que se designe otro árbitro principal.</t>
  </si>
  <si>
    <t xml:space="preserve">Reglamento de Competiciones, Art. 111.4: en los partidos de Segunda Federación actuará como árbitro asistente nº 2 un árbitro de Tercera Federación, «que sustituirá al/a la árbitro principal en caso de incapacidad». Es coherente con el Art. 155.5: sustituye al árbitro el asistente «adscrito a superior categoría arbitral».</t>
  </si>
  <si>
    <t xml:space="preserve">RJ6-053</t>
  </si>
  <si>
    <t xml:space="preserve">En un partido sin VAR ni árbitros asistentes adicionales, un árbitro asistente ve con claridad una agresión que el árbitro no ha visto. ¿Puede indicar él mismo al agresor que abandone el terreno de juego?</t>
  </si>
  <si>
    <t xml:space="preserve">No, debe comunicárselo al árbitro, que es quien detiene el juego y muestra la tarjeta.</t>
  </si>
  <si>
    <t xml:space="preserve">Sí, puede ordenárselo él mismo e informar después al árbitro de lo que ha sucedido.</t>
  </si>
  <si>
    <t xml:space="preserve">Sí, si el árbitro se encuentra a más de 30 metros del lugar en el que se produjo.</t>
  </si>
  <si>
    <t xml:space="preserve">Los árbitros asistentes ayudan al árbitro comunicándole lo que han presenciado; la autoridad para detener el juego y mostrar tarjetas corresponde en exclusiva al árbitro principal.</t>
  </si>
  <si>
    <t xml:space="preserve">RJ6-055</t>
  </si>
  <si>
    <t xml:space="preserve">En un partido con dos árbitros asistentes adicionales, uno de ellos observa que el balón ha entrado y salido rápidamente de la portería sin que nadie más lo haya advertido. ¿Cuál es su función en este caso?</t>
  </si>
  <si>
    <t xml:space="preserve">Ayudar a determinar si el balón ha cruzado por completo la línea de meta, comunicándoselo al árbitro.</t>
  </si>
  <si>
    <t xml:space="preserve">Detener el juego por sí mismo haciendo sonar un silbato propio, sin comunicárselo antes al árbitro.</t>
  </si>
  <si>
    <t xml:space="preserve">Esperar a que el VAR confirme la jugada antes de comunicar nada al árbitro principal.</t>
  </si>
  <si>
    <t xml:space="preserve">Entre las funciones específicas de los árbitros asistentes adicionales está ayudar a determinar si el balón ha cruzado por completo la línea de meta.</t>
  </si>
  <si>
    <t xml:space="preserve">RJ6-056</t>
  </si>
  <si>
    <t xml:space="preserve">¿Cuál de las siguientes NO figura entre lo que pueden indicar los árbitros asistentes adicionales, según la Regla 6?</t>
  </si>
  <si>
    <t xml:space="preserve">Si un jugador en posición de fuera de juego debe ser sancionado.</t>
  </si>
  <si>
    <t xml:space="preserve">Si el balón ha atravesado completamente la línea de meta, incluido el gol.</t>
  </si>
  <si>
    <t xml:space="preserve">A qué equipo corresponde ejecutar el saque de esquina o de meta.</t>
  </si>
  <si>
    <t xml:space="preserve">Regla 6.3: los árbitros asistentes adicionales podrán indicar si el balón ha atravesado completamente la línea de meta (incluido el gol), a qué equipo corresponde el saque de esquina o de meta y si, en un penal, el guardameta se separa de la línea antes del lanzamiento y si el balón cruza la línea. Indicar el fuera de juego es tarea de los árbitros asistentes.</t>
  </si>
  <si>
    <t xml:space="preserve">RJ6-057</t>
  </si>
  <si>
    <t xml:space="preserve">El árbitro principal debe abandonar el terreno de juego por una lesión repentina. Su equipo arbitral está compuesto por dos árbitros asistentes, cuarto árbitro y árbitro asistente de reserva. Si el reglamento de la competición no estipula nada al respecto, ¿existe un criterio general en las Reglas de Juego sobre quién asume las funciones del árbitro?</t>
  </si>
  <si>
    <t xml:space="preserve">No de forma automática; corresponde al reglamento de la competición estipular con claridad quién sustituye al árbitro principal en ese caso.</t>
  </si>
  <si>
    <t xml:space="preserve">Sí, asume automáticamente sus funciones el primer árbitro asistente en todos los casos, sin necesidad de previsión reglamentaria.</t>
  </si>
  <si>
    <t xml:space="preserve">Sí, asume automáticamente sus funciones el árbitro asistente de reserva, por ser la figura prevista específicamente para sustituciones.</t>
  </si>
  <si>
    <t xml:space="preserve">El reglamento de la competición debe estipular con claridad quién sustituye al árbitro si este no puede continuar, dejando claro si será el cuarto árbitro, el primer asistente o el primer asistente adicional.</t>
  </si>
  <si>
    <t xml:space="preserve">RJ6-059</t>
  </si>
  <si>
    <t xml:space="preserve">En una competición con VAR pero sin árbitros asistentes adicionales, en una jugada dudosa de gol, ¿quién puede comprobar si el balón ha cruzado la línea de meta?</t>
  </si>
  <si>
    <t xml:space="preserve">El VAR, revisando las imágenes disponibles.</t>
  </si>
  <si>
    <t xml:space="preserve">Nadie, si no hay asistentes adicionales.</t>
  </si>
  <si>
    <t xml:space="preserve">El cuarto árbitro, desde la línea de meta.</t>
  </si>
  <si>
    <t xml:space="preserve">Si no hay árbitros asistentes adicionales, la revisión de si el balón cruzó la línea de meta en una jugada dudosa corresponde, cuando esté disponible, al sistema VAR mediante la revisión de imágenes.</t>
  </si>
  <si>
    <t xml:space="preserve">RJ6-060</t>
  </si>
  <si>
    <t xml:space="preserve">En una jugada de fuera de juego dudosa, un árbitro asistente retrasa levantar el banderín para no interrumpir un ataque claro. ¿Es correcto?</t>
  </si>
  <si>
    <t xml:space="preserve">Sí, forma parte del criterio que deben aplicar los árbitros asistentes.</t>
  </si>
  <si>
    <t xml:space="preserve">No, debe señalar el fuera de juego de inmediato en cuanto lo aprecie.</t>
  </si>
  <si>
    <t xml:space="preserve">No, salvo que el árbitro le haya autorizado antes a retrasar la señal.</t>
  </si>
  <si>
    <t xml:space="preserve">Los árbitros asistentes deben aplicar el criterio de retrasar la señal de fuera de juego en situaciones de ataque claro que lo justifiquen, como parte de su forma de señalizar correctamente.</t>
  </si>
  <si>
    <t xml:space="preserve">RJ7-001</t>
  </si>
  <si>
    <t xml:space="preserve">Regla 7</t>
  </si>
  <si>
    <t xml:space="preserve">El árbitro añade 3 minutos de tiempo añadido; en el minuto 92:50 se produce un penal a favor de un equipo. ¿Qué decisión toma el árbitro?</t>
  </si>
  <si>
    <t xml:space="preserve">Decreta el final del encuentro, ya que el lanzamiento sería fuera de tiempo.</t>
  </si>
  <si>
    <t xml:space="preserve">Prolonga el tiempo necesario hasta que se ejecute el penal.</t>
  </si>
  <si>
    <t xml:space="preserve">Puede lanzarse por haberse producido antes del minuto 93:00; si hubiera sido después, decretaría el final.</t>
  </si>
  <si>
    <t xml:space="preserve">Cuando se concede un penal antes de finalizar el tiempo (incluido el añadido), se prolonga el partido el tiempo necesario hasta que se ejecute y resuelva el lanzamiento. Esto incluye la repetición del lanzamiento si procede (por ejemplo, tras un rechace con infracción).</t>
  </si>
  <si>
    <t xml:space="preserve">RJ7-005</t>
  </si>
  <si>
    <t xml:space="preserve">¿En qué condiciones pueden reducirse los dos periodos de 45 minutos?</t>
  </si>
  <si>
    <t xml:space="preserve">Por acuerdo entre el árbitro y los dos equipos antes del comienzo del partido, si lo permite el reglamento de la competición.</t>
  </si>
  <si>
    <t xml:space="preserve">Por decisión del árbitro, comunicándolo a ambos equipos antes del inicio del encuentro.</t>
  </si>
  <si>
    <t xml:space="preserve">Por acuerdo entre los dos equipos antes del comienzo del partido, sin que sea necesaria la conformidad del árbitro.</t>
  </si>
  <si>
    <t xml:space="preserve">Los periodos solo pueden reducirse por acuerdo entre el árbitro y los dos equipos antes del comienzo del partido, siempre que esté permitido por el reglamento de la competición.</t>
  </si>
  <si>
    <t xml:space="preserve">Regla 7.1</t>
  </si>
  <si>
    <t xml:space="preserve">RJ7-006</t>
  </si>
  <si>
    <t xml:space="preserve">¿Cuál es la duración máxima de la pausa del descanso de medio tiempo a la que tienen derecho los jugadores?</t>
  </si>
  <si>
    <t xml:space="preserve">No superior a 15 minutos.</t>
  </si>
  <si>
    <t xml:space="preserve">No superior a 10 minutos.</t>
  </si>
  <si>
    <t xml:space="preserve">No superior a 20 minutos.</t>
  </si>
  <si>
    <t xml:space="preserve">Los jugadores tendrán derecho a una pausa en el descanso de medio tiempo no superior a 15 minutos.</t>
  </si>
  <si>
    <t xml:space="preserve">Regla 7.2</t>
  </si>
  <si>
    <t xml:space="preserve">RJ7-007</t>
  </si>
  <si>
    <t xml:space="preserve">¿Quién puede modificar la duración de la pausa de medio tiempo estipulada por el reglamento de la competición?</t>
  </si>
  <si>
    <t xml:space="preserve">Solo con el permiso del árbitro, aunque el reglamento de la competición fije otra duración.</t>
  </si>
  <si>
    <t xml:space="preserve">No podrá modificarse una vez fijada por el reglamento de la competición.</t>
  </si>
  <si>
    <t xml:space="preserve">Podrá modificarse por acuerdo entre los dos capitanes antes del inicio del partido.</t>
  </si>
  <si>
    <t xml:space="preserve">El reglamento de la competición deberá estipular claramente la duración de la pausa de medio tiempo, la cual solamente podrá modificarse con el permiso del árbitro.</t>
  </si>
  <si>
    <t xml:space="preserve">RJ7-008</t>
  </si>
  <si>
    <t xml:space="preserve">Tras el primer periodo del tiempo suplementario (prórroga), ¿qué tipo de pausa se permite?</t>
  </si>
  <si>
    <t xml:space="preserve">Una pausa idéntica a la del descanso de medio tiempo, de hasta 15 minutos de duración.</t>
  </si>
  <si>
    <t xml:space="preserve">Una pausa breve para beber no superior a un minuto.</t>
  </si>
  <si>
    <t xml:space="preserve">No se permite ningún tipo de pausa adicional tras el primer periodo de la prórroga.</t>
  </si>
  <si>
    <t xml:space="preserve">También se permite una pausa breve para beber, no superior a un minuto, tras el primer periodo del tiempo suplementario.</t>
  </si>
  <si>
    <t xml:space="preserve">RJ7-009</t>
  </si>
  <si>
    <t xml:space="preserve">¿Por cuál de los siguientes motivos NO podrá el árbitro prolongar un periodo para recuperar el tiempo perdido?</t>
  </si>
  <si>
    <t xml:space="preserve">Por sustituciones realizadas durante ese periodo, sin que sea necesario acreditar el tiempo exacto empleado.</t>
  </si>
  <si>
    <t xml:space="preserve">Por la atención o retirada de jugadores lesionados, con independencia de la gravedad de la lesión sufrida.</t>
  </si>
  <si>
    <t xml:space="preserve">Por una protesta verbal de un capitán ante una decisión arbitral que el árbitro considera ajustada a las reglas.</t>
  </si>
  <si>
    <t xml:space="preserve">El árbitro podrá prolongar el periodo por motivos como sustituciones, atención a lesionados, pérdida deliberada de tiempo, sanciones disciplinarias, pausas médicas, retrasos del VAR, celebraciones de goles u otros retrasos significativos; una simple protesta verbal sin más consecuencia no figura entre esos motivos.</t>
  </si>
  <si>
    <t xml:space="preserve">Regla 7.3</t>
  </si>
  <si>
    <t xml:space="preserve">RJ7-010</t>
  </si>
  <si>
    <t xml:space="preserve">¿Cuál es la duración máxima de las pausas de rehidratación que pueden autorizarse conforme al reglamento de la competición?</t>
  </si>
  <si>
    <t xml:space="preserve">No superior a un minuto.</t>
  </si>
  <si>
    <t xml:space="preserve">No superior a 30 segundos.</t>
  </si>
  <si>
    <t xml:space="preserve">Entre 90 segundos y tres minutos.</t>
  </si>
  <si>
    <t xml:space="preserve">Entre los motivos para recuperar el tiempo perdido se incluyen las pausas de rehidratación, que no serán superiores a un minuto.</t>
  </si>
  <si>
    <t xml:space="preserve">RJ7-011</t>
  </si>
  <si>
    <t xml:space="preserve">Las pausas de refresco que puede contemplar el reglamento de la competición tendrán una duración de:</t>
  </si>
  <si>
    <t xml:space="preserve">Entre 90 segundos y 3 minutos.</t>
  </si>
  <si>
    <t xml:space="preserve">Entre 2 y 5 minutos como máximo.</t>
  </si>
  <si>
    <t xml:space="preserve">Entre los motivos para recuperar el tiempo perdido se incluyen las pausas de refresco, de entre 90 segundos y tres minutos.</t>
  </si>
  <si>
    <t xml:space="preserve">RJ7-012</t>
  </si>
  <si>
    <t xml:space="preserve">Durante un periodo se producen sustituciones, sanciones disciplinarias que requieren tiempo, celebraciones prolongadas de goles, revisiones o chequeos del VAR, pérdida deliberada de tiempo, o un retraso significativo por la interferencia de un agente externo (por ejemplo, un espectador que invade el campo). ¿Puede el árbitro prolongar el periodo para recuperar el tiempo perdido por estos motivos?</t>
  </si>
  <si>
    <t xml:space="preserve">Sí, todos son motivos válidos para prolongar el periodo y recuperar el tiempo perdido.</t>
  </si>
  <si>
    <t xml:space="preserve">Solo por las sustituciones; el resto de motivos no justifica prolongar el periodo.</t>
  </si>
  <si>
    <t xml:space="preserve">No, el tiempo perdido solo puede compensarse por acuerdo previo de ambos equipos.</t>
  </si>
  <si>
    <t xml:space="preserve">El árbitro puede prolongar el periodo para recuperar el tiempo perdido por sustituciones, atención de lesiones, sanciones disciplinarias, pausas, celebraciones de goles, retrasos por chequeos y revisiones del VAR, pérdida deliberada de tiempo y, en general, cualquier retraso significativo al reanudarse el juego (incluida la interferencia de agentes externos).</t>
  </si>
  <si>
    <t xml:space="preserve">RJ7-013</t>
  </si>
  <si>
    <t xml:space="preserve">¿Quién indica el tiempo mínimo que deberá añadirse al final de cada periodo?</t>
  </si>
  <si>
    <t xml:space="preserve">El primer árbitro asistente, mediante comunicación directa al marcador electrónico del estadio.</t>
  </si>
  <si>
    <t xml:space="preserve">El árbitro asistente de vídeo, de forma vinculante para el árbitro principal.</t>
  </si>
  <si>
    <t xml:space="preserve">El cuarto árbitro, si bien la decisión final corresponde al árbitro.</t>
  </si>
  <si>
    <t xml:space="preserve">El cuarto árbitro indicará el tiempo mínimo que deberá añadirse, si bien el árbitro tomará la decisión final al respecto.</t>
  </si>
  <si>
    <t xml:space="preserve">RJ7-014</t>
  </si>
  <si>
    <t xml:space="preserve">¿Puede el árbitro reducir el tiempo añadido indicado por el cuarto árbitro?</t>
  </si>
  <si>
    <t xml:space="preserve">No, el árbitro podrá aumentar el tiempo añadido, pero no reducirlo.</t>
  </si>
  <si>
    <t xml:space="preserve">Sí, el árbitro puede tanto aumentar como reducir el tiempo indicado por el cuarto árbitro.</t>
  </si>
  <si>
    <t xml:space="preserve">Sí, si ambos equipos están de acuerdo en que el tiempo indicado es excesivo.</t>
  </si>
  <si>
    <t xml:space="preserve">El cuarto árbitro indicará el tiempo mínimo a añadir, pero el árbitro tomará la decisión final y podrá aumentar el tiempo añadido, aunque no reducirlo.</t>
  </si>
  <si>
    <t xml:space="preserve">RJ7-015</t>
  </si>
  <si>
    <t xml:space="preserve">En la primera parte, el árbitro añadió por error menos tiempo del debido. ¿Puede compensarlo alargando la segunda parte?</t>
  </si>
  <si>
    <t xml:space="preserve">No, no puede compensar el error cambiando la duración de la segunda parte.</t>
  </si>
  <si>
    <t xml:space="preserve">Sí, debe compensarlo añadiendo ese tiempo al final de la segunda parte.</t>
  </si>
  <si>
    <t xml:space="preserve">Sí, si el tiempo que añade a la segunda parte no supera los cinco minutos.</t>
  </si>
  <si>
    <t xml:space="preserve">El árbitro no podrá compensar un error de cronometraje del primer periodo cambiando la duración del segundo periodo.</t>
  </si>
  <si>
    <t xml:space="preserve">RJ7-018</t>
  </si>
  <si>
    <t xml:space="preserve">Un partido se suspende definitivamente antes de su conclusión. ¿Qué ocurre con dicho encuentro, salvo que se estipule otro procedimiento?</t>
  </si>
  <si>
    <t xml:space="preserve">Se volverá a jugar, salvo que se estipule otro procedimiento.</t>
  </si>
  <si>
    <t xml:space="preserve">Se da por finalizado con el resultado del marcador en el momento de la suspensión.</t>
  </si>
  <si>
    <t xml:space="preserve">Se considera empate a cero con independencia del resultado en el momento de la suspensión.</t>
  </si>
  <si>
    <t xml:space="preserve">Se volverán a jugar los partidos suspendidos definitivamente, a menos que el reglamento de la competición o el organizador estipulen otro procedimiento.</t>
  </si>
  <si>
    <t xml:space="preserve">Regla 7.5</t>
  </si>
  <si>
    <t xml:space="preserve">RJ7-019</t>
  </si>
  <si>
    <t xml:space="preserve">¿Quién puede estipular un procedimiento distinto al de volver a jugar un partido suspendido definitivamente?</t>
  </si>
  <si>
    <t xml:space="preserve">El reglamento de la competición o el organizador de la misma.</t>
  </si>
  <si>
    <t xml:space="preserve">El árbitro que dirigía el encuentro en el momento de la suspensión.</t>
  </si>
  <si>
    <t xml:space="preserve">Los dos equipos, mediante acuerdo mutuo alcanzado tras la suspensión del partido.</t>
  </si>
  <si>
    <t xml:space="preserve">Los partidos suspendidos definitivamente se volverán a jugar, a menos que el reglamento de la competición o el organizador de la misma estipulen otro procedimiento.</t>
  </si>
  <si>
    <t xml:space="preserve">RJ7-024</t>
  </si>
  <si>
    <t xml:space="preserve">Según las Reglas de Juego, ¿qué es la 'pausa de refresco'?</t>
  </si>
  <si>
    <t xml:space="preserve">Una pausa de 90 segundos a 3 minutos contemplada por condiciones meteorológicas de temperatura y humedad altas, distinta de la de rehidratación.</t>
  </si>
  <si>
    <t xml:space="preserve">Una interrupción no superior a un minuto para que los jugadores se rehidraten.</t>
  </si>
  <si>
    <t xml:space="preserve">Una pausa de 90 segundos a 3 minutos en interés de los jugadores y su salud, sin relación con las condiciones meteorológicas.</t>
  </si>
  <si>
    <t xml:space="preserve">La pausa de refresco se prevé, por motivos meteorológicos (temperatura y humedad altas), con duración de 90 segundos a 3 minutos, y se distingue de la pausa de rehidratación.</t>
  </si>
  <si>
    <t xml:space="preserve">Reglamento de la competición</t>
  </si>
  <si>
    <t xml:space="preserve">RJ7-025</t>
  </si>
  <si>
    <t xml:space="preserve">Durante el segundo tiempo, se producen tres sustituciones y una revisión del VAR que retrasan considerablemente el juego. ¿Quién determina el tiempo añadido final?</t>
  </si>
  <si>
    <t xml:space="preserve">El árbitro, a partir del tiempo perdido calculado por el cuarto árbitro.</t>
  </si>
  <si>
    <t xml:space="preserve">El cuarto árbitro, de forma vinculante y sin intervención del árbitro principal.</t>
  </si>
  <si>
    <t xml:space="preserve">Los capitanes de ambos equipos, de mutuo acuerdo con el árbitro.</t>
  </si>
  <si>
    <t xml:space="preserve">El árbitro decide el tiempo añadido en función del tiempo perdido durante el periodo, con la ayuda del cuarto árbitro en su cálculo.</t>
  </si>
  <si>
    <t xml:space="preserve">RJ7-026</t>
  </si>
  <si>
    <t xml:space="preserve">El reglamento de una competición no prevé pausas de refresco. ¿Puede el árbitro concederlas igualmente?</t>
  </si>
  <si>
    <t xml:space="preserve">No, dependen de que el reglamento de la competición las contemple.</t>
  </si>
  <si>
    <t xml:space="preserve">Sí, cuando lo considere oportuno, con independencia del reglamento.</t>
  </si>
  <si>
    <t xml:space="preserve">Sí, si ambos equipos lo solicitan conjuntamente durante el partido.</t>
  </si>
  <si>
    <t xml:space="preserve">Las pausas de refresco solo se aplican en las competiciones cuyo reglamento las contempla, conforme a las condiciones fijadas.</t>
  </si>
  <si>
    <t xml:space="preserve">RJ7-027</t>
  </si>
  <si>
    <t xml:space="preserve">Un partido se suspende definitivamente durante la primera parte por una tormenta. ¿Qué ocurre?</t>
  </si>
  <si>
    <t xml:space="preserve">Se volverá a jugar, salvo que el reglamento de la competición o su organizador dispongan otra cosa.</t>
  </si>
  <si>
    <t xml:space="preserve">Se mantiene el resultado que había en el momento de la suspensión, salvo acuerdo entre los clubes.</t>
  </si>
  <si>
    <t xml:space="preserve">Se da por perdido al equipo visitante, salvo que el organizador de la competición disponga otra cosa.</t>
  </si>
  <si>
    <t xml:space="preserve">Según la Regla 7.5, los partidos suspendidos definitivamente se vuelven a jugar, a menos que el reglamento de la competición o su organizador estipulen otro procedimiento.</t>
  </si>
  <si>
    <t xml:space="preserve">RJ7-028</t>
  </si>
  <si>
    <t xml:space="preserve">¿Puede reducirse la duración de las partes de un partido?</t>
  </si>
  <si>
    <t xml:space="preserve">No, aunque el árbitro y ambos equipos estén de acuerdo antes del partido.</t>
  </si>
  <si>
    <t xml:space="preserve">Sí, por acuerdo previo del árbitro y los equipos, si lo permite la competición.</t>
  </si>
  <si>
    <t xml:space="preserve">Sí, por decisión del árbitro durante el partido, si lo justifica el clima.</t>
  </si>
  <si>
    <t xml:space="preserve">Regla 7 (pág. 51): los dos periodos de 45 minutos «pueden reducirse únicamente por acuerdo entre el árbitro y los dos equipos antes del comienzo del partido —siempre y cuando esté permitido por el reglamento de la competición—».</t>
  </si>
  <si>
    <t xml:space="preserve">RJ7-029</t>
  </si>
  <si>
    <t xml:space="preserve">Con autorización del reglamento de la competición, el árbitro y ambos equipos acuerdan antes del partido que cada parte dure 40 minutos. Una vez comenzado, ¿puede modificarse esa duración?</t>
  </si>
  <si>
    <t xml:space="preserve">Sí, si ambos equipos lo solicitan durante el descanso.</t>
  </si>
  <si>
    <t xml:space="preserve">Sí, si empeoran las condiciones climatológicas.</t>
  </si>
  <si>
    <t xml:space="preserve">La duración de los periodos solo puede modificarse por acuerdo entre el árbitro y los equipos antes de que comience el partido; una vez iniciado, no puede alterarse.</t>
  </si>
  <si>
    <t xml:space="preserve">RJ7-030</t>
  </si>
  <si>
    <t xml:space="preserve">¿Puede el árbitro conceder tiempo añadido en el descanso del partido?</t>
  </si>
  <si>
    <t xml:space="preserve">No, solo se añade al final de cada parte.</t>
  </si>
  <si>
    <t xml:space="preserve">Sí, si el descanso se ha interrumpido.</t>
  </si>
  <si>
    <t xml:space="preserve">Sí, si ambos equipos están de acuerdo.</t>
  </si>
  <si>
    <t xml:space="preserve">El tiempo añadido se concede al final de cada periodo para compensar el tiempo perdido durante el mismo, no durante el descanso entre ambos.</t>
  </si>
  <si>
    <t xml:space="preserve">RJ7-031</t>
  </si>
  <si>
    <t xml:space="preserve">Durante el tiempo añadido de la segunda parte, un jugador sufre una lesión que requiere una atención prolongada. El árbitro...</t>
  </si>
  <si>
    <t xml:space="preserve">Puede añadir también el tiempo perdido por esa atención.</t>
  </si>
  <si>
    <t xml:space="preserve">No puede ampliar más el tiempo añadido ya indicado.</t>
  </si>
  <si>
    <t xml:space="preserve">Debe finalizar el partido al cumplirse el tiempo añadido.</t>
  </si>
  <si>
    <t xml:space="preserve">El árbitro puede seguir compensando el tiempo perdido, incluso durante el propio periodo de tiempo añadido, si se producen nuevos motivos de retraso.</t>
  </si>
  <si>
    <t xml:space="preserve">RJ7-032</t>
  </si>
  <si>
    <t xml:space="preserve">Un equipo pide que se suprima o se acorte el descanso para recuperar tiempo. ¿Es posible?</t>
  </si>
  <si>
    <t xml:space="preserve">No, los jugadores tienen derecho a un descanso entre ambas partes.</t>
  </si>
  <si>
    <t xml:space="preserve">Sí, si ambos equipos y el árbitro lo acuerdan antes del partido.</t>
  </si>
  <si>
    <t xml:space="preserve">Sí, si el reglamento de la competición no dice nada al respecto.</t>
  </si>
  <si>
    <t xml:space="preserve">Todos los jugadores tienen derecho a un intervalo de descanso entre ambos periodos del partido; es un derecho de los jugadores y no puede suprimirse ni reducirse a instancia de un equipo.</t>
  </si>
  <si>
    <t xml:space="preserve">RJ7-033</t>
  </si>
  <si>
    <t xml:space="preserve">¿Pueden los periodos de la prórroga tener tiempo añadido?</t>
  </si>
  <si>
    <t xml:space="preserve">Sí, igual que en el tiempo reglamentario.</t>
  </si>
  <si>
    <t xml:space="preserve">No, la prórroga tiene una duración fija.</t>
  </si>
  <si>
    <t xml:space="preserve">Sí, pero solo en el segundo periodo.</t>
  </si>
  <si>
    <t xml:space="preserve">Los periodos del tiempo suplementario también pueden llevar tiempo añadido, siguiendo el mismo criterio que en el tiempo reglamentario.</t>
  </si>
  <si>
    <t xml:space="preserve">RJ7-034</t>
  </si>
  <si>
    <t xml:space="preserve">¿Puede el árbitro finalizar una parte antes de que se cumpla el tiempo añadido que se ha indicado?</t>
  </si>
  <si>
    <t xml:space="preserve">No, el tiempo indicado es el mínimo que debe añadirse.</t>
  </si>
  <si>
    <t xml:space="preserve">Sí, puede finalizarla cuando considere oportuno.</t>
  </si>
  <si>
    <t xml:space="preserve">Sí, si el resultado ya está claramente decidido.</t>
  </si>
  <si>
    <t xml:space="preserve">El tiempo añadido indicado debe respetarse hasta su conclusión, salvo circunstancias excepcionales que justifiquen lo contrario.</t>
  </si>
  <si>
    <t xml:space="preserve">RJ7-036</t>
  </si>
  <si>
    <t xml:space="preserve">Un partido se suspende definitivamente por fuerza mayor al terminar la primera parte. Según el Reglamento de Competiciones, ¿qué ocurre?</t>
  </si>
  <si>
    <t xml:space="preserve">Se celebrará o proseguirá el día que determine el órgano competente.</t>
  </si>
  <si>
    <t xml:space="preserve">Se da por bueno el resultado que había en el momento de la suspensión.</t>
  </si>
  <si>
    <t xml:space="preserve">Se da por ganador al equipo local, salvo acuerdo entre ambos clubes.</t>
  </si>
  <si>
    <t xml:space="preserve">Reglamento de Competiciones, Art. 159: si el partido se suspendiera por causa de fuerza mayor, se celebrará o proseguirá el día que el órgano competente determine. Regla 7.5: los partidos suspendidos definitivamente se vuelven a jugar, salvo que la competición estipule otro procedimiento.</t>
  </si>
  <si>
    <t xml:space="preserve">RJ7-037</t>
  </si>
  <si>
    <t xml:space="preserve">Durante el tiempo añadido del segundo periodo se cumple el tiempo mientras el balón está en juego tras un saque de esquina. El árbitro...</t>
  </si>
  <si>
    <t xml:space="preserve">Puede señalar el final aunque el balón siga en juego.</t>
  </si>
  <si>
    <t xml:space="preserve">Debe esperar a que el balón deje de estar en juego.</t>
  </si>
  <si>
    <t xml:space="preserve">Debe esperar a que el equipo atacante termine la jugada.</t>
  </si>
  <si>
    <t xml:space="preserve">Regla 7: el periodo termina al cumplirse su duración más el tiempo añadido. Solo se prolonga para completar un penal: «En caso de que se deba ejecutar o repetir un penal al final de un periodo, se prolongará este hasta que el penal se haya completado».</t>
  </si>
  <si>
    <t xml:space="preserve">Regla 7.4</t>
  </si>
  <si>
    <t xml:space="preserve">RJ7-038</t>
  </si>
  <si>
    <t xml:space="preserve">Según la Regla 7, las pausas de rehidratación y de refresco:</t>
  </si>
  <si>
    <t xml:space="preserve">Puede contemplarlas el reglamento de la competición, y el tiempo perdido se recupera.</t>
  </si>
  <si>
    <t xml:space="preserve">Las decide libremente el árbitro, y el tiempo perdido no se recupera.</t>
  </si>
  <si>
    <t xml:space="preserve">Son obligatorias en todos los partidos, y el tiempo perdido no se recupera.</t>
  </si>
  <si>
    <t xml:space="preserve">Regla 7 (pág. 51): el árbitro prolongará cada periodo para recuperar el tiempo perdido por las pausas por motivos médicos autorizadas por el reglamento de la competición: las de rehidratación (no superiores a un minuto) y las de refresco (entre 90 segundos y tres minutos).</t>
  </si>
  <si>
    <t xml:space="preserve">RJ7-039</t>
  </si>
  <si>
    <t xml:space="preserve">Según la Regla 7, la pausa del descanso del medio tiempo no podrá ser superior a:</t>
  </si>
  <si>
    <t xml:space="preserve">10 minutos.</t>
  </si>
  <si>
    <t xml:space="preserve">Regla 7 (pág. 51): «Los jugadores tendrán derecho a una pausa en el descanso de medio tiempo no superior a 15 minutos»; el reglamento de la competición deberá estipular claramente su duración.</t>
  </si>
  <si>
    <t xml:space="preserve">RJ7-040</t>
  </si>
  <si>
    <t xml:space="preserve">Hace un calor extremo, pero el reglamento de la competición no prevé pausas de refresco. ¿Puede el árbitro aplicar una por su cuenta?</t>
  </si>
  <si>
    <t xml:space="preserve">No, solo se aplican si las contempla el reglamento.</t>
  </si>
  <si>
    <t xml:space="preserve">Sí, puede aplicarla cuando lo considere necesario.</t>
  </si>
  <si>
    <t xml:space="preserve">Sí, si ambos capitanes lo solicitan durante el partido.</t>
  </si>
  <si>
    <t xml:space="preserve">Las pausas de refresco solo se aplican en las competiciones cuyo reglamento las contempla expresamente, conforme a las condiciones fijadas.</t>
  </si>
  <si>
    <t xml:space="preserve">RJ7-042</t>
  </si>
  <si>
    <t xml:space="preserve">¿Puede el árbitro decidir suspender temporalmente el partido, en lugar de definitivamente, ante una tormenta eléctrica?</t>
  </si>
  <si>
    <t xml:space="preserve">Sí, el árbitro puede optar por una suspensión temporal si considera que las condiciones pueden mejorar.</t>
  </si>
  <si>
    <t xml:space="preserve">No, cualquier tormenta eléctrica obliga a suspender el partido de forma definitiva.</t>
  </si>
  <si>
    <t xml:space="preserve">No, ante fenómenos meteorológicos el árbitro solo puede continuar o suspender definitivamente, sin opción intermedia.</t>
  </si>
  <si>
    <t xml:space="preserve">El árbitro puede optar por detener, suspender temporalmente o suspender definitivamente el partido, según la valoración de las circunstancias.</t>
  </si>
  <si>
    <t xml:space="preserve">RJ7-043</t>
  </si>
  <si>
    <t xml:space="preserve">Durante el segundo periodo, las celebraciones de los goles han hecho perder varios minutos. El árbitro...</t>
  </si>
  <si>
    <t xml:space="preserve">Puede prolongar el periodo para recuperar ese tiempo.</t>
  </si>
  <si>
    <t xml:space="preserve">No puede recuperarlo, al no ser una interrupción del juego.</t>
  </si>
  <si>
    <t xml:space="preserve">Solo puede recuperarlo si lo solicita el equipo perjudicado.</t>
  </si>
  <si>
    <t xml:space="preserve">Regla 7.3: el árbitro podrá prolongar cada periodo para recuperar el tiempo perdido, entre otros motivos, por «celebraciones de goles».</t>
  </si>
  <si>
    <t xml:space="preserve">RJ7-044</t>
  </si>
  <si>
    <t xml:space="preserve">Un partido se disputa con el reglamento de la competición autorizando periodos de 40 minutos. Antes del inicio, el árbitro y ambos equipos no llegan a ningún acuerdo distinto. ¿Qué duración tendrá el partido?</t>
  </si>
  <si>
    <t xml:space="preserve">40 minutos por parte, al no haberse alcanzado un acuerdo distinto antes del inicio del encuentro.</t>
  </si>
  <si>
    <t xml:space="preserve">45 minutos por parte, al ser la duración estándar que prevalece si no hay acuerdo expreso.</t>
  </si>
  <si>
    <t xml:space="preserve">40 minutos la primera parte y 45 la segunda, para compensar la falta de acuerdo previo.</t>
  </si>
  <si>
    <t xml:space="preserve">La duración de cada periodo puede fijarse por acuerdo entre el árbitro y los equipos antes del inicio del partido, siempre que lo permita el reglamento de la competición; sin acuerdo distinto, prevalece la duración ya fijada por dicho reglamento.</t>
  </si>
  <si>
    <t xml:space="preserve">RJ7-045</t>
  </si>
  <si>
    <t xml:space="preserve">Se cumple el tiempo añadido del segundo periodo en el momento en que el balón sale por la línea de banda. El árbitro...</t>
  </si>
  <si>
    <t xml:space="preserve">Puede señalar el final sin que se saque de banda.</t>
  </si>
  <si>
    <t xml:space="preserve">Debe permitir que se ejecute el saque de banda.</t>
  </si>
  <si>
    <t xml:space="preserve">Debe añadir un minuto más para compensar.</t>
  </si>
  <si>
    <t xml:space="preserve">Regla 7: no existe obligación de ejecutar la reanudación pendiente al cumplirse el tiempo. El único supuesto en que se prolonga un periodo es el penal: «se prolongará este hasta que el penal se haya completado».</t>
  </si>
  <si>
    <t xml:space="preserve">RJ7-047</t>
  </si>
  <si>
    <t xml:space="preserve">Durante el segundo periodo de la prórroga, ¿puede el árbitro añadir tiempo con el mismo criterio que en el tiempo reglamentario?</t>
  </si>
  <si>
    <t xml:space="preserve">Sí, cada periodo de la prórroga puede tener su propio tiempo añadido.</t>
  </si>
  <si>
    <t xml:space="preserve">No, los periodos de la prórroga no admiten tiempo añadido.</t>
  </si>
  <si>
    <t xml:space="preserve">Sí, pero solo en el segundo periodo de la prórroga, no en el primero.</t>
  </si>
  <si>
    <t xml:space="preserve">Los periodos del tiempo suplementario también pueden llevar tiempo añadido, aplicando el mismo criterio que en los periodos del tiempo reglamentario.</t>
  </si>
  <si>
    <t xml:space="preserve">RJ7-048</t>
  </si>
  <si>
    <t xml:space="preserve">Un partido se suspende definitivamente durante el tiempo añadido de la segunda parte, con un resultado muy amplio, y el reglamento de la competición no contempla ese supuesto. ¿A quién corresponde decidir si se da por válido el resultado o se vuelve a jugar?</t>
  </si>
  <si>
    <t xml:space="preserve">Al reglamento de la competición o a su organizador.</t>
  </si>
  <si>
    <t xml:space="preserve">Al árbitro, antes de abandonar el terreno de juego.</t>
  </si>
  <si>
    <t xml:space="preserve">A los dos capitanes, de mutuo acuerdo tras la suspensión.</t>
  </si>
  <si>
    <t xml:space="preserve">Corresponde al reglamento de la competición o a su organizador determinar el resultado de un partido suspendido definitivamente antes de su conclusión, incluidos los supuestos no previstos expresamente.</t>
  </si>
  <si>
    <t xml:space="preserve">RJ7-049</t>
  </si>
  <si>
    <t xml:space="preserve">El reglamento de una competición prevé pausas de refresco con unas condiciones meteorológicas concretas. Se dan esas condiciones, pero el árbitro decide no aplicarlas porque considera que el ritmo del partido no lo requiere. ¿Es correcto?</t>
  </si>
  <si>
    <t xml:space="preserve">No, debe aplicarlas según las condiciones fijadas por el reglamento de la competición.</t>
  </si>
  <si>
    <t xml:space="preserve">Sí, aplicar o no las pausas de refresco queda a la libre decisión del árbitro.</t>
  </si>
  <si>
    <t xml:space="preserve">Sí, puede no aplicarlas si el marcador refleja ya una diferencia amplia de goles.</t>
  </si>
  <si>
    <t xml:space="preserve">Cuando el reglamento de la competición fija las condiciones objetivas (como parámetros meteorológicos) para aplicar la pausa de refresco, corresponde seguir ese criterio, no una decisión discrecional al margen de él.</t>
  </si>
  <si>
    <t xml:space="preserve">RJ7-050</t>
  </si>
  <si>
    <t xml:space="preserve">Tras añadir en la primera parte el tiempo perdido por una lesión, el árbitro quiere recortar ese mismo tiempo en la segunda parte para que el partido no dure más de lo previsto. ¿Puede hacerlo?</t>
  </si>
  <si>
    <t xml:space="preserve">No, no puede reducir una parte para compensar la otra.</t>
  </si>
  <si>
    <t xml:space="preserve">Sí, si la suma de las dos partes es la duración total.</t>
  </si>
  <si>
    <t xml:space="preserve">Sí, si ambos equipos lo aceptan antes de la segunda parte.</t>
  </si>
  <si>
    <t xml:space="preserve">El árbitro no podrá compensar un error o un ajuste de cronometraje de un periodo cambiando la duración de otro; cada periodo se gestiona de forma independiente.</t>
  </si>
  <si>
    <t xml:space="preserve">RJ8-001</t>
  </si>
  <si>
    <t xml:space="preserve">Regla 8</t>
  </si>
  <si>
    <t xml:space="preserve">El árbitro concede un balón a tierra al guardameta dentro de su propia área penal. ¿Deben el resto de jugadores abandonar el área penal?</t>
  </si>
  <si>
    <t xml:space="preserve">No es obligatorio abandonar el área; basta con que todos los jugadores, de ambos equipos, guarden una distancia mínima de 4 metros con respecto al balón hasta que esté en juego.</t>
  </si>
  <si>
    <t xml:space="preserve">Sí; todos los jugadores de ambos equipos deben abandonar el área penal, pudiendo permanecer dentro solo el guardameta.</t>
  </si>
  <si>
    <t xml:space="preserve">Los adversarios deben abandonar el área; los compañeros del guardameta pueden permanecer dentro, guardando una distancia mínima de 4 metros con respecto al balón.</t>
  </si>
  <si>
    <t xml:space="preserve">El resto de jugadores, de ambos equipos, deberán mantener una distancia mínima de 4 m (4,5 yd) con respecto al balón hasta que esté en juego; no existe obligación de abandonar el área penal.</t>
  </si>
  <si>
    <t xml:space="preserve">RJ8-002</t>
  </si>
  <si>
    <t xml:space="preserve">¿Qué condición debe darse para que sea válido un gol tras un balón a tierra?</t>
  </si>
  <si>
    <t xml:space="preserve">Que el balón haya tocado como mínimo a dos jugadores.</t>
  </si>
  <si>
    <t xml:space="preserve">Que el balón haya tocado a dos jugadores del mismo equipo.</t>
  </si>
  <si>
    <t xml:space="preserve">Que el balón haya tocado a dos jugadores, uno de cada equipo.</t>
  </si>
  <si>
    <t xml:space="preserve">Si tras un balón a tierra el balón entra en la portería sin haber tocado como mínimo a dos jugadores, no sube el gol; la regla no exige que esos dos jugadores pertenezcan a equipos distintos.</t>
  </si>
  <si>
    <t xml:space="preserve">RJ8-003</t>
  </si>
  <si>
    <t xml:space="preserve">El árbitro detiene el juego por una causa no prevista en otra regla (por ejemplo, un objeto lanzado desde la grada, o una lesión), sin que ningún equipo haya cometido infracción. ¿Cómo reanuda el juego?</t>
  </si>
  <si>
    <t xml:space="preserve">Con un balón a tierra en el lugar donde se encontraba el balón cuando se detuvo el juego.</t>
  </si>
  <si>
    <t xml:space="preserve">Con un tiro libre indirecto a favor del equipo que tuviera la posesión en ese momento.</t>
  </si>
  <si>
    <t xml:space="preserve">Con un saque de banda a favor del equipo más cercano al lugar de la detención.</t>
  </si>
  <si>
    <t xml:space="preserve">Cuando el juego se detiene sin que se haya cometido ninguna infracción (por cualquier causa no prevista expresamente, como una lesión o la interferencia de un objeto), se reanuda con un balón a tierra en el lugar donde se encontraba el balón.</t>
  </si>
  <si>
    <t xml:space="preserve">RJ8-004</t>
  </si>
  <si>
    <t xml:space="preserve">El equipo que realiza el saque inicial pasa el balón con el pie, de forma deliberada, hacia su guardameta, que lo coge con las manos dentro de su área. ¿Qué decide el árbitro?</t>
  </si>
  <si>
    <t xml:space="preserve">Concede un tiro libre indirecto al equipo adversario.</t>
  </si>
  <si>
    <t xml:space="preserve">Permite que continúe el juego, porque el balón procede de un saque inicial.</t>
  </si>
  <si>
    <t xml:space="preserve">Concede un tiro libre directo al equipo adversario.</t>
  </si>
  <si>
    <t xml:space="preserve">La excepción para que el guardameta toque con las manos un balón recibido directamente de un saque solo recoge el saque de banda. Un pase deliberado con el pie de un compañero, aunque sea desde el saque inicial, se castiga con libre indirecto.</t>
  </si>
  <si>
    <t xml:space="preserve">RJ8-005</t>
  </si>
  <si>
    <t xml:space="preserve">En el saque inicial, ¿pueden los adversarios del equipo que saca situarse dentro del círculo central?</t>
  </si>
  <si>
    <t xml:space="preserve">No, deben permanecer fuera del círculo central (al menos a 9,15 m del balón) hasta que el balón esté en juego.</t>
  </si>
  <si>
    <t xml:space="preserve">Sí, si no llegan a tocar el balón antes de que este esté en juego.</t>
  </si>
  <si>
    <t xml:space="preserve">Sí, el capitán rival puede permanecer dentro del círculo, y el resto de sus compañeros fuera.</t>
  </si>
  <si>
    <t xml:space="preserve">En el saque inicial, todos los jugadores del equipo que no saca deben permanecer fuera del círculo central hasta que el balón esté en juego.</t>
  </si>
  <si>
    <t xml:space="preserve">RJ8-007</t>
  </si>
  <si>
    <t xml:space="preserve">El árbitro detiene el juego por un motivo no contemplado en las Reglas de Juego. ¿Cómo se reanuda el juego?</t>
  </si>
  <si>
    <t xml:space="preserve">Con un saque de banda a favor del equipo más próximo.</t>
  </si>
  <si>
    <t xml:space="preserve">Cuando el árbitro detenga el juego por un motivo no contemplado en las Reglas de Juego, este se reanudará con un balón a tierra.</t>
  </si>
  <si>
    <t xml:space="preserve">RJ8-008</t>
  </si>
  <si>
    <t xml:space="preserve">Se comete una infracción mientras el balón no está en juego. ¿Afecta a la forma en que se reanudará el juego?</t>
  </si>
  <si>
    <t xml:space="preserve">Sí, la reanudación se concede al equipo perjudicado.</t>
  </si>
  <si>
    <t xml:space="preserve">Sí, si la comete un jugador y no un suplente.</t>
  </si>
  <si>
    <t xml:space="preserve">Las infracciones cometidas cuando el balón no esté en juego no afectarán a la manera en que este se reanude.</t>
  </si>
  <si>
    <t xml:space="preserve">Regla 8.1</t>
  </si>
  <si>
    <t xml:space="preserve">RJ8-012</t>
  </si>
  <si>
    <t xml:space="preserve">En el saque inicial, ¿dónde deben situarse los jugadores, excepto el ejecutor, y a qué distancia del balón deben encontrarse los adversarios del equipo que saca?</t>
  </si>
  <si>
    <t xml:space="preserve">Todos, excepto el ejecutor, en su propia mitad del terreno de juego; los adversarios, además, a un mínimo de 9,15 m del balón hasta que entre en juego.</t>
  </si>
  <si>
    <t xml:space="preserve">Todos, excepto el ejecutor, en su propia mitad del terreno de juego; los adversarios, además, a un mínimo de 4 m del balón hasta que entre en juego.</t>
  </si>
  <si>
    <t xml:space="preserve">Los compañeros del ejecutor pueden situarse en cualquier mitad del terreno de juego; los adversarios, en su propia mitad y a un mínimo de 9,15 m del balón.</t>
  </si>
  <si>
    <t xml:space="preserve">En el saque inicial, todos los jugadores, excepto el que ejecute el saque, deberán encontrarse en su propia mitad del terreno de juego, y los adversarios del equipo que efectúe el saque, como mínimo a 9,15 m (10 yd) del balón hasta que entre en juego.</t>
  </si>
  <si>
    <t xml:space="preserve">RJ8-013</t>
  </si>
  <si>
    <t xml:space="preserve">¿A qué distancia mínima del balón deben encontrarse los adversarios del equipo que efectúa el saque inicial?</t>
  </si>
  <si>
    <t xml:space="preserve">9,15 metros (10 yardas), hasta que el balón entre en juego.</t>
  </si>
  <si>
    <t xml:space="preserve">4 metros (4,5 yardas), igual que en el caso de un balón a tierra.</t>
  </si>
  <si>
    <t xml:space="preserve">5 metros, distancia general aplicable a cualquier reanudación del juego.</t>
  </si>
  <si>
    <t xml:space="preserve">Los adversarios del equipo que efectúe el saque deberán encontrarse como mínimo a 9,15 m (10 yd) del balón hasta que entre en juego.</t>
  </si>
  <si>
    <t xml:space="preserve">RJ8-014</t>
  </si>
  <si>
    <t xml:space="preserve">¿Puede el balón golpearse con el pie en el saque inicial antes de que el árbitro dé la señal?</t>
  </si>
  <si>
    <t xml:space="preserve">No, el balón se colocará en el punto central y no se podrá golpear con el pie hasta que el árbitro lo indique.</t>
  </si>
  <si>
    <t xml:space="preserve">Sí, si el equipo que ejecute el saque avisa previamente al árbitro de su intención de sacar.</t>
  </si>
  <si>
    <t xml:space="preserve">Sí, el balón puede golpearse en cuanto esté correctamente colocado en el punto central, sin esperar señal.</t>
  </si>
  <si>
    <t xml:space="preserve">En el saque inicial, el balón se colocará en el punto central y no se podrá golpear con el pie hasta que el árbitro así lo indique.</t>
  </si>
  <si>
    <t xml:space="preserve">RJ8-016</t>
  </si>
  <si>
    <t xml:space="preserve">En un saque inicial, el balón entra directamente en la meta del equipo que ejecuta el saque, sin haber sido tocado por ningún otro jugador. ¿Qué decisión debe tomar el árbitro?</t>
  </si>
  <si>
    <t xml:space="preserve">Ordenará la repetición del saque inicial, sin conceder ninguna reanudación a favor del adversario.</t>
  </si>
  <si>
    <t xml:space="preserve">Concederá un gol válido al equipo adversario, al haber entrado el balón en la portería.</t>
  </si>
  <si>
    <t xml:space="preserve">Concederá un saque de esquina al equipo adversario.</t>
  </si>
  <si>
    <t xml:space="preserve">Será posible marcar un gol directo al equipo adversario desde el saque inicial; si el balón entrara directamente en la meta del lanzador, se concederá saque de esquina al adversario.</t>
  </si>
  <si>
    <t xml:space="preserve">RJ8-017</t>
  </si>
  <si>
    <t xml:space="preserve">El jugador que ejecuta el saque inicial toca el balón por segunda vez de forma voluntaria con el pie, antes de que lo haya tocado otro jugador. ¿Qué decisión toma el árbitro?</t>
  </si>
  <si>
    <t xml:space="preserve">Concederá un tiro libre indirecto a favor del equipo adversario.</t>
  </si>
  <si>
    <t xml:space="preserve">Ordenará la repetición del saque inicial, sin sanción adicional para el equipo infractor.</t>
  </si>
  <si>
    <t xml:space="preserve">Concederá un tiro libre directo a favor del equipo adversario.</t>
  </si>
  <si>
    <t xml:space="preserve">En caso de que el jugador que ejecute el saque inicial toque el balón por segunda vez antes de que lo toque otro jugador, se concederá un tiro libre indirecto, o bien un libre directo si cometiese una infracción por mano.</t>
  </si>
  <si>
    <t xml:space="preserve">RJ8-019</t>
  </si>
  <si>
    <t xml:space="preserve">En el saque inicial se comete una infracción del procedimiento distinta al doble toque del ejecutor, por ejemplo un jugador que invade el campo contrario antes de que el balón esté en juego. ¿Cómo debe actuar el árbitro?</t>
  </si>
  <si>
    <t xml:space="preserve">Ordenará que se repita el saque inicial, sin sancionar al jugador infractor.</t>
  </si>
  <si>
    <t xml:space="preserve">Ordenará que se repita el saque inicial y amonestará al jugador infractor por conducta antideportiva.</t>
  </si>
  <si>
    <t xml:space="preserve">Concederá un tiro libre indirecto a favor del equipo adversario en el lugar donde se cometió la infracción.</t>
  </si>
  <si>
    <t xml:space="preserve">Para cualquier otra infracción del procedimiento de saque inicial distinta al doble toque, se repetirá dicho saque.</t>
  </si>
  <si>
    <t xml:space="preserve">RJ8-020</t>
  </si>
  <si>
    <t xml:space="preserve">¿A qué distancia mínima del balón deben permanecer los jugadores que no ejecutan un balón a tierra?</t>
  </si>
  <si>
    <t xml:space="preserve">1 metro, al tratarse de una reanudación de menor entidad que el saque inicial.</t>
  </si>
  <si>
    <t xml:space="preserve">9,15 metros (10 yardas), la misma distancia exigida en el saque inicial y los tiros libres.</t>
  </si>
  <si>
    <t xml:space="preserve">4 metros (4,5 yardas), hasta que el balón esté en juego.</t>
  </si>
  <si>
    <t xml:space="preserve">El resto de jugadores, de ambos equipos, deberán mantener una distancia mínima de 4 m (4,5 yd) con respecto al balón hasta que este esté en juego.</t>
  </si>
  <si>
    <t xml:space="preserve">Regla 8.2</t>
  </si>
  <si>
    <t xml:space="preserve">RJ8-021</t>
  </si>
  <si>
    <t xml:space="preserve">El árbitro debe conceder un balón a tierra y el balón se encontraba dentro del área penal en el momento de la detención. ¿A quién se concede?</t>
  </si>
  <si>
    <t xml:space="preserve">A un jugador del equipo que hubiera conservado o ganado la posesión, aunque no sea el guardameta.</t>
  </si>
  <si>
    <t xml:space="preserve">Al capitán del equipo defensor, que decidirá libremente en qué punto del área se ejecuta.</t>
  </si>
  <si>
    <t xml:space="preserve">Al guardameta del equipo defensor, dentro de su propia área penal.</t>
  </si>
  <si>
    <t xml:space="preserve">Si el balón está en el área penal, el árbitro concederá un balón a tierra al guardameta del equipo defensor dentro de su área penal.</t>
  </si>
  <si>
    <t xml:space="preserve">RJ8-022</t>
  </si>
  <si>
    <t xml:space="preserve">El árbitro debe conceder un balón a tierra y el balón se encontraba fuera del área penal. ¿A favor de quién se concede, con carácter general?</t>
  </si>
  <si>
    <t xml:space="preserve">Del jugador que se encuentre físicamente más cercano al lugar donde se produjo la detención del juego.</t>
  </si>
  <si>
    <t xml:space="preserve">Del guardameta del equipo defensor, con independencia del lugar del terreno de juego en que se produzca.</t>
  </si>
  <si>
    <t xml:space="preserve">De un jugador del equipo que habría conservado o ganado la posesión del balón, si el árbitro puede determinarlo.</t>
  </si>
  <si>
    <t xml:space="preserve">Si el balón está fuera del área penal, el árbitro concederá el balón a tierra a favor de un jugador del equipo que habría conservado o ganado la posesión, siempre que pueda determinarlo.</t>
  </si>
  <si>
    <t xml:space="preserve">RJ8-023</t>
  </si>
  <si>
    <t xml:space="preserve">El árbitro no puede determinar con claridad qué equipo habría conservado o ganado la posesión del balón al detener el juego fuera del área penal. ¿Cómo debe proceder?</t>
  </si>
  <si>
    <t xml:space="preserve">Suspenderá temporalmente el partido hasta poder determinar con seguridad a qué equipo corresponde.</t>
  </si>
  <si>
    <t xml:space="preserve">Concederá el balón a tierra al equipo visitante, por defecto, salvo acuerdo expreso entre ambos capitanes.</t>
  </si>
  <si>
    <t xml:space="preserve">Dejará caer el balón ante un jugador del equipo que lo tocó por última vez.</t>
  </si>
  <si>
    <t xml:space="preserve">Si el árbitro no puede determinar qué equipo habría conservado o ganado la posesión, dejará caer el balón ante un jugador del equipo que lo tocó por última vez.</t>
  </si>
  <si>
    <t xml:space="preserve">RJ8-024</t>
  </si>
  <si>
    <t xml:space="preserve">¿Dónde deberá tocar el suelo el balón en un balón a tierra, con carácter general?</t>
  </si>
  <si>
    <t xml:space="preserve">En el lugar en el que se encontraba cuando se detuvo el juego.</t>
  </si>
  <si>
    <t xml:space="preserve">En el punto del terreno de juego más cercano al círculo central.</t>
  </si>
  <si>
    <t xml:space="preserve">En el punto medio entre la posición del balón y la portería del equipo beneficiado.</t>
  </si>
  <si>
    <t xml:space="preserve">El balón deberá tocar el suelo en el lugar en el que se encontraba cuando se detuvo el juego, salvo que hubiera impactado en un árbitro o agente externo.</t>
  </si>
  <si>
    <t xml:space="preserve">RJ8-025</t>
  </si>
  <si>
    <t xml:space="preserve">El juego se detiene porque el balón impacta en el árbitro y permanece en el terreno de juego, provocando un cambio en la posesión. ¿Dónde debe dejarse caer el balón a tierra?</t>
  </si>
  <si>
    <t xml:space="preserve">En el lugar en el que se produjo la interferencia o el contacto con el árbitro.</t>
  </si>
  <si>
    <t xml:space="preserve">En el círculo central, al tratarse de una interferencia del propio equipo arbitral y no de un jugador.</t>
  </si>
  <si>
    <t xml:space="preserve">En el lugar exacto en el que se encontraba el balón antes de impactar en el árbitro, sin tener en cuenta el punto de contacto.</t>
  </si>
  <si>
    <t xml:space="preserve">El balón deberá tocar el suelo en el lugar donde se encontraba cuando se detuvo el juego, a menos que hubiera impactado en un árbitro o un agente externo, en cuyo caso se dejará caer en el lugar de la interferencia o el contacto.</t>
  </si>
  <si>
    <t xml:space="preserve">RJ8-026</t>
  </si>
  <si>
    <t xml:space="preserve">Al ejecutarse un balón a tierra, el balón toca a un jugador antes de tocar el suelo, o sale del terreno de juego inmediatamente después de tocar el suelo sin haber tocado a ningún jugador. ¿Qué decisión debe tomar el árbitro en ambos casos?</t>
  </si>
  <si>
    <t xml:space="preserve">En ambos casos se repetirá el balón a tierra.</t>
  </si>
  <si>
    <t xml:space="preserve">Solo se repite si toca a un jugador antes del suelo; si sale del terreno de juego, se concede saque de banda.</t>
  </si>
  <si>
    <t xml:space="preserve">Se concede un tiro libre indirecto al equipo contrario en ambos casos.</t>
  </si>
  <si>
    <t xml:space="preserve">El balón a tierra se repite si toca a un jugador antes de tocar el suelo y también si sale del terreno de juego tras tocar el suelo sin haber tocado a ningún jugador.</t>
  </si>
  <si>
    <t xml:space="preserve">RJ8-029</t>
  </si>
  <si>
    <t xml:space="preserve">Tras un balón a tierra, el propio balón entra en la portería del jugador que lo tocó, sin haber sido tocado como mínimo por dos jugadores. ¿Cómo se reanuda el juego?</t>
  </si>
  <si>
    <t xml:space="preserve">Con un saque de esquina a favor del equipo adversario, al no haber tocado el balón a dos jugadores.</t>
  </si>
  <si>
    <t xml:space="preserve">El gol se considerará válido, al tratarse de una reanudación reglamentaria del juego.</t>
  </si>
  <si>
    <t xml:space="preserve">Con un saque de meta a favor del equipo que sufrió el gol en su propia portería.</t>
  </si>
  <si>
    <t xml:space="preserve">Si tras un balón a tierra, este entrara en la portería sin tocar como mínimo a dos jugadores, el juego se reanudará con un saque de esquina si entró en la portería del jugador que tocó el balón.</t>
  </si>
  <si>
    <t xml:space="preserve">RJ8-032</t>
  </si>
  <si>
    <t xml:space="preserve">Tras un balón a tierra, el balón golpea al árbitro, cambia de dirección y entra directamente en la portería. El árbitro...</t>
  </si>
  <si>
    <t xml:space="preserve">No concede el gol y reanuda con un balón a tierra.</t>
  </si>
  <si>
    <t xml:space="preserve">Concede el gol, porque el balón ha entrado en la portería.</t>
  </si>
  <si>
    <t xml:space="preserve">No concede el gol y reanuda con un saque de esquina.</t>
  </si>
  <si>
    <t xml:space="preserve">El balón deja de estar en juego cuando cambia de equipo en posesión tras tocar al árbitro, salvo las excepciones previstas para no interrumpir un ataque en curso; si no se aplica ninguna excepción, no procede el gol.</t>
  </si>
  <si>
    <t xml:space="preserve">RJ8-034</t>
  </si>
  <si>
    <t xml:space="preserve">Un jugador ejecuta el saque inicial y, antes de que ningún otro jugador toque el balón, este golpea el poste y regresa hacia él, que lo vuelve a tocar. ¿Es infracción?</t>
  </si>
  <si>
    <t xml:space="preserve">Sí, se trata de un doble toque, sancionable con tiro libre indirecto a favor del equipo contrario.</t>
  </si>
  <si>
    <t xml:space="preserve">No, al no haber intervenido ningún jugador adversario en el desarrollo de la jugada.</t>
  </si>
  <si>
    <t xml:space="preserve">No, porque el balón no ha llegado a salir en ningún momento del círculo central.</t>
  </si>
  <si>
    <t xml:space="preserve">El ejecutor de un saque inicial no puede volver a tocar el balón antes de que lo haga otro jugador; hacerlo se sanciona con tiro libre indirecto.</t>
  </si>
  <si>
    <t xml:space="preserve">RJ8-037</t>
  </si>
  <si>
    <t xml:space="preserve">Tras un gol, ¿qué jugador del equipo que lo ha recibido debe ejecutar el saque inicial?</t>
  </si>
  <si>
    <t xml:space="preserve">Cualquier jugador de ese equipo.</t>
  </si>
  <si>
    <t xml:space="preserve">El capitán de ese equipo.</t>
  </si>
  <si>
    <t xml:space="preserve">El jugador más cercano al punto central.</t>
  </si>
  <si>
    <t xml:space="preserve">No existe en la Regla 8 una exigencia sobre qué jugador concreto debe ejecutar el saque inicial de su equipo.</t>
  </si>
  <si>
    <t xml:space="preserve">RJ8-038</t>
  </si>
  <si>
    <t xml:space="preserve">El árbitro detiene el juego cuando el balón está dentro del área penal. ¿A quién se concede el balón a tierra?</t>
  </si>
  <si>
    <t xml:space="preserve">Al guardameta del equipo defensor.</t>
  </si>
  <si>
    <t xml:space="preserve">A un jugador del equipo defensor, a elección del árbitro.</t>
  </si>
  <si>
    <t xml:space="preserve">A un jugador de cada equipo, que lo disputan entre ellos.</t>
  </si>
  <si>
    <t xml:space="preserve">Si un balón a tierra se produce dentro del área penal, se realizará con el guardameta del equipo defensor, salvo las excepciones que prevé la Regla 8.</t>
  </si>
  <si>
    <t xml:space="preserve">RJ8-039</t>
  </si>
  <si>
    <t xml:space="preserve">El árbitro concede un balón a tierra fuera del área penal y puede determinar qué equipo habría conservado la posesión. Deja caer el balón...</t>
  </si>
  <si>
    <t xml:space="preserve">Ante un jugador del equipo que habría conservado o ganado la posesión.</t>
  </si>
  <si>
    <t xml:space="preserve">Ante un jugador de cada equipo, que se disputarán el balón.</t>
  </si>
  <si>
    <t xml:space="preserve">Ante el jugador más cercano al balón, sea del equipo que sea.</t>
  </si>
  <si>
    <t xml:space="preserve">Regla 8.2: fuera del área penal, el árbitro concederá un balón a tierra «a favor de un jugador del equipo que habría conservado o ganado la posesión»; el resto de jugadores, de ambos equipos, deberán estar a un mínimo de 4 m. Ya no hay disputa entre un jugador de cada equipo.</t>
  </si>
  <si>
    <t xml:space="preserve">RJ8-040</t>
  </si>
  <si>
    <t xml:space="preserve">Tras un balón a tierra, el balón entra directamente en la portería adversaria sin haber tocado como mínimo a dos jugadores. ¿Qué decisión toma el árbitro?</t>
  </si>
  <si>
    <t xml:space="preserve">Saque de meta.</t>
  </si>
  <si>
    <t xml:space="preserve">Gol.</t>
  </si>
  <si>
    <t xml:space="preserve">Repetición del balón a tierra.</t>
  </si>
  <si>
    <t xml:space="preserve">Regla 8.2: si tras un balón a tierra el balón entrara en la portería sin tocar como mínimo a dos jugadores, se reanudará con «un saque de meta si el balón entró en la portería del adversario» o con un saque de esquina si entró en la del jugador que tocó el balón.</t>
  </si>
  <si>
    <t xml:space="preserve">RJ8-042</t>
  </si>
  <si>
    <t xml:space="preserve">El árbitro detiene el juego con el balón fuera del área penal y debe reanudarlo con un balón a tierra. ¿A favor de quién lo concede?</t>
  </si>
  <si>
    <t xml:space="preserve">De un jugador del equipo que habría conservado o ganado la posesión o, si no puede determinarlo, del que lo tocó por última vez.</t>
  </si>
  <si>
    <t xml:space="preserve">De un jugador de cada equipo, que lo disputan entre ellos cuando el balón toca el suelo, sin que el árbitro elija a ninguno.</t>
  </si>
  <si>
    <t xml:space="preserve">De los capitanes de ambos equipos, que lo disputan entre ellos, salvo que el árbitro decida concedérselo a otro jugador.</t>
  </si>
  <si>
    <t xml:space="preserve">Si al detener el juego el balón está fuera del área penal, se concede un balón a tierra a favor de un jugador del equipo que habría conservado o ganado la posesión, siempre que el árbitro pueda determinarlo; en caso contrario, a un jugador del equipo que lo tocó por última vez (Regla 8.2).</t>
  </si>
  <si>
    <t xml:space="preserve">RJ8-043</t>
  </si>
  <si>
    <t xml:space="preserve">En el saque inicial, el ejecutor golpea el balón hacia atrás, hacia su propio campo. ¿Es correcto?</t>
  </si>
  <si>
    <t xml:space="preserve">Sí, el balón no tiene que ir hacia el campo contrario.</t>
  </si>
  <si>
    <t xml:space="preserve">No, el balón debe ir hacia el campo contrario.</t>
  </si>
  <si>
    <t xml:space="preserve">No, se sanciona con un tiro libre indirecto.</t>
  </si>
  <si>
    <t xml:space="preserve">No se exige que el balón avance hacia el campo contrario tras el saque inicial, solo que se mueva claramente hacia delante en el momento del golpeo.</t>
  </si>
  <si>
    <t xml:space="preserve">RJ8-046</t>
  </si>
  <si>
    <t xml:space="preserve">Un jugador ejecuta el saque inicial, pero el balón no llega a moverse con claridad. ¿Está el balón en juego?</t>
  </si>
  <si>
    <t xml:space="preserve">No, debe moverse con claridad.</t>
  </si>
  <si>
    <t xml:space="preserve">Sí, al autorizarlo el árbitro.</t>
  </si>
  <si>
    <t xml:space="preserve">Sí, en cuanto el jugador lo toca.</t>
  </si>
  <si>
    <t xml:space="preserve">El balón está en juego cuando ha sido golpeado con el pie y se mueve con claridad hacia delante; si no se mueve, la ejecución no es válida.</t>
  </si>
  <si>
    <t xml:space="preserve">RJ8-048</t>
  </si>
  <si>
    <t xml:space="preserve">En un balón a tierra, el jugador ante el que se deja caer el balón lo toca antes de que este toque el suelo. ¿Qué decisión toma el árbitro?</t>
  </si>
  <si>
    <t xml:space="preserve">Repite el balón a tierra.</t>
  </si>
  <si>
    <t xml:space="preserve">Concede tiro libre indirecto al equipo contrario.</t>
  </si>
  <si>
    <t xml:space="preserve">Permite que el juego continúe.</t>
  </si>
  <si>
    <t xml:space="preserve">Regla 8.2: «Se repetirá el balón a tierra si este toca a un jugador antes de tocar el suelo». El balón está en juego en el momento en que toca el suelo.</t>
  </si>
  <si>
    <t xml:space="preserve">RJ8-049</t>
  </si>
  <si>
    <t xml:space="preserve">En un balón a tierra, el resto de jugadores de ambos equipos deberán mantenerse, hasta que el balón esté en juego, a una distancia mínima de:</t>
  </si>
  <si>
    <t xml:space="preserve">4 m.</t>
  </si>
  <si>
    <t xml:space="preserve">Regla 8 (pág. 54): «El resto de jugadores (de ambos equipos) deberán mantener una distancia mínima de 4 m (4,5 yd) con respecto al balón hasta que este esté en juego».</t>
  </si>
  <si>
    <t xml:space="preserve">RJ8-050</t>
  </si>
  <si>
    <t xml:space="preserve">Tras un saque inicial, el balón sale directamente por la línea de banda sin que lo toque ningún otro jugador. ¿Cómo se reanuda el juego?</t>
  </si>
  <si>
    <t xml:space="preserve">Con un saque de banda a favor del equipo contrario.</t>
  </si>
  <si>
    <t xml:space="preserve">Con la repetición del saque inicial.</t>
  </si>
  <si>
    <t xml:space="preserve">Con un balón a tierra donde se ejecutó el saque.</t>
  </si>
  <si>
    <t xml:space="preserve">Una vez en juego, si el balón sale por la línea de banda tras haber sido golpeado por el ejecutor, se concede saque de banda al equipo contrario en el lugar por donde cruzó la línea.</t>
  </si>
  <si>
    <t xml:space="preserve">RJ8-051</t>
  </si>
  <si>
    <t xml:space="preserve">El árbitro concede un balón a tierra al guardameta dentro de su área penal y este, tras tocar el balón el suelo, lo coge con las manos. El árbitro...</t>
  </si>
  <si>
    <t xml:space="preserve">Deja que el juego continúe.</t>
  </si>
  <si>
    <t xml:space="preserve">Concede un tiro penal.</t>
  </si>
  <si>
    <t xml:space="preserve">Concede un tiro libre indirecto.</t>
  </si>
  <si>
    <t xml:space="preserve">Regla 8 (pág. 54): si al detener el juego el balón está en el área penal, se concede un balón a tierra al guardameta, y el balón está en juego en cuanto toca el suelo. El guardameta puede tocarlo con las manos dentro de su propia área.</t>
  </si>
  <si>
    <t xml:space="preserve">RJ8-052</t>
  </si>
  <si>
    <t xml:space="preserve">En un balón a tierra, el balón toca a un jugador antes de tocar el suelo. El árbitro...</t>
  </si>
  <si>
    <t xml:space="preserve">Regla 8 (pág. 54): se repetirá el balón a tierra si este toca a un jugador antes de tocar el suelo, o si sale del terreno de juego después de tocar el suelo sin haber tocado a un jugador.</t>
  </si>
  <si>
    <t xml:space="preserve">RJ8-054</t>
  </si>
  <si>
    <t xml:space="preserve">En el saque inicial, el ejecutor envía deliberadamente el balón con el pie a su guardameta, que lo coge con las manos dentro de su área. El árbitro...</t>
  </si>
  <si>
    <t xml:space="preserve">Deja que el juego continúe, al proceder de un saque inicial.</t>
  </si>
  <si>
    <t xml:space="preserve">La restricción sobre que el guardameta no pueda tocar con las manos una cesión deliberada con el pie de un compañero se aplica también cuando esa cesión se produce desde un saque inicial.</t>
  </si>
  <si>
    <t xml:space="preserve">RJ8-055</t>
  </si>
  <si>
    <t xml:space="preserve">Tras un balón a tierra, el balón entra en la portería adversaria sin haber tocado como mínimo a dos jugadores. ¿Cómo se reanuda el juego?</t>
  </si>
  <si>
    <t xml:space="preserve">Con un saque de meta.</t>
  </si>
  <si>
    <t xml:space="preserve">Se concede el gol.</t>
  </si>
  <si>
    <t xml:space="preserve">Se repite el balón a tierra.</t>
  </si>
  <si>
    <t xml:space="preserve">Regla 8 (pág. 54): si tras un balón a tierra el balón entrara en la portería sin tocar como mínimo a dos jugadores, se reanudará con un saque de meta si entró en la portería del adversario.</t>
  </si>
  <si>
    <t xml:space="preserve">RJ8-057</t>
  </si>
  <si>
    <t xml:space="preserve">Tras un balón a tierra, el jugador que lo recibe envía el balón a su propia portería sin que lo toque nadie más. ¿Cómo se reanuda el juego?</t>
  </si>
  <si>
    <t xml:space="preserve">Con un saque de esquina.</t>
  </si>
  <si>
    <t xml:space="preserve">Regla 8 (pág. 54): si tras un balón a tierra el balón entrara en la portería sin tocar como mínimo a dos jugadores, se reanudará con un saque de esquina si entró en la portería del jugador que tocó el balón.</t>
  </si>
  <si>
    <t xml:space="preserve">RJ8-058</t>
  </si>
  <si>
    <t xml:space="preserve">En el saque inicial, un adversario se sitúa dentro del círculo central sin que el árbitro lo advierta e intercepta el balón en el momento del golpeo. El árbitro...</t>
  </si>
  <si>
    <t xml:space="preserve">Ordena repetir el saque inicial.</t>
  </si>
  <si>
    <t xml:space="preserve">Todos los jugadores del equipo que no ejecuta el saque inicial deben permanecer a una distancia mínima de 9,15 m del balón hasta que este esté en juego; su incumplimiento obliga a repetir el saque.</t>
  </si>
  <si>
    <t xml:space="preserve">RJ9-001</t>
  </si>
  <si>
    <t xml:space="preserve">Regla 9</t>
  </si>
  <si>
    <t xml:space="preserve">Durante el partido, un segundo balón entra en el terreno de juego sin interferir en el juego. El árbitro...</t>
  </si>
  <si>
    <t xml:space="preserve">Deja que el juego continúe; si llega a interferir, lo detiene y reanuda con un balón a tierra.</t>
  </si>
  <si>
    <t xml:space="preserve">Detiene el juego para retirarlo, aunque no interfiera, y reanuda con un balón a tierra.</t>
  </si>
  <si>
    <t xml:space="preserve">Detiene el juego para retirarlo, aunque no interfiera, y reanuda con un saque de banda.</t>
  </si>
  <si>
    <t xml:space="preserve">El criterio general es dejar continuar el juego si el balón sobrante no interfiere; si interfiere, se detiene y reanuda con balón a tierra, salvo las excepciones relativas a un gol que ya iba a producirse.</t>
  </si>
  <si>
    <t xml:space="preserve">RJ9-002</t>
  </si>
  <si>
    <t xml:space="preserve">Un atacante dispara a portería desde fuera del área; el balón golpea al árbitro, situado dentro del área penal, y sale por la línea de meta. ¿Cómo se reanuda el juego?</t>
  </si>
  <si>
    <t xml:space="preserve">Con un balón a tierra a favor del equipo atacante.</t>
  </si>
  <si>
    <t xml:space="preserve">Con un balón a tierra al guardameta del equipo defensor.</t>
  </si>
  <si>
    <t xml:space="preserve">Cuando el balón sale por línea de meta tras tocar al árbitro (agente neutro) sin haber entrado en la portería, se reanuda con saque de meta, como en cualquier salida por esa línea procedente de un atacante.</t>
  </si>
  <si>
    <t xml:space="preserve">RJ9-003</t>
  </si>
  <si>
    <t xml:space="preserve">El guardameta lanza el balón lejos de su portería para pedir asistencia médica; el árbitro detiene el juego justo cuando el balón iba a ser recogido con claridad por un jugador del equipo contrario. ¿Cómo reanuda el árbitro el juego?</t>
  </si>
  <si>
    <t xml:space="preserve">Con balón a tierra a favor del equipo del guardameta, en el lugar donde estaba el balón al detenerse el juego.</t>
  </si>
  <si>
    <t xml:space="preserve">Con balón a tierra a favor del portero, dentro de su propia área.</t>
  </si>
  <si>
    <t xml:space="preserve">Con balón a tierra a favor del equipo contrario, en el lugar donde estaba el balón al detenerse el juego.</t>
  </si>
  <si>
    <t xml:space="preserve">Cuando se detiene el juego por una causa ajena al desarrollo normal (petición de asistencia) y el balón iba a ser recogido claramente por el equipo contrario, el balón a tierra se concede a ese equipo en el lugar donde estaba el balón.</t>
  </si>
  <si>
    <t xml:space="preserve">RJ9-004</t>
  </si>
  <si>
    <t xml:space="preserve">El balón rebota en un poste y vuelve al terreno de juego sin haber atravesado la línea de meta. ¿Sigue el balón en juego?</t>
  </si>
  <si>
    <t xml:space="preserve">No, el contacto con la portería lo deja fuera de juego.</t>
  </si>
  <si>
    <t xml:space="preserve">Solo si después lo toca el guardameta.</t>
  </si>
  <si>
    <t xml:space="preserve">El balón permanece en juego tras rebotar en los postes o el travesaño, siempre que no haya cruzado completamente la línea correspondiente ni el árbitro haya detenido el juego.</t>
  </si>
  <si>
    <t xml:space="preserve">RJ9-005</t>
  </si>
  <si>
    <t xml:space="preserve">Un espectador invade el terreno de juego, toca el balón e interfiere en el juego. ¿Cómo se reanuda el juego?</t>
  </si>
  <si>
    <t xml:space="preserve">Con un saque de banda, de meta o de esquina, según por dónde salga.</t>
  </si>
  <si>
    <t xml:space="preserve">Cuando un agente externo (incluido un espectador que invade el terreno) toca el balón interfiriendo el juego, se reanuda con balón a tierra en el lugar donde se produjo el contacto.</t>
  </si>
  <si>
    <t xml:space="preserve">RJ9-007</t>
  </si>
  <si>
    <t xml:space="preserve">Además de salir del terreno de juego, ¿en qué otro caso general el balón no estará en juego?</t>
  </si>
  <si>
    <t xml:space="preserve">Cuando el juego haya sido detenido por el árbitro.</t>
  </si>
  <si>
    <t xml:space="preserve">Cuando el balón toque a cualquier miembro del equipo arbitral.</t>
  </si>
  <si>
    <t xml:space="preserve">Cuando el balón rebote en el poste o el travesaño y permanezca en el terreno de juego.</t>
  </si>
  <si>
    <t xml:space="preserve">El balón no estará en juego cuando el juego haya sido detenido por el árbitro.</t>
  </si>
  <si>
    <t xml:space="preserve">Regla 9.1</t>
  </si>
  <si>
    <t xml:space="preserve">RJ9-008</t>
  </si>
  <si>
    <t xml:space="preserve">El balón toca a un árbitro asistente y permanece en el terreno de juego. ¿En cuál de estos casos deja de estar en juego?</t>
  </si>
  <si>
    <t xml:space="preserve">Si a raíz del contacto un equipo inicia un ataque prometedor o cambia el equipo en posesión del balón.</t>
  </si>
  <si>
    <t xml:space="preserve">Solo si a raíz del contacto un equipo inicia un ataque prometedor, pero no si cambia la posesión.</t>
  </si>
  <si>
    <t xml:space="preserve">Solo si a raíz del contacto cambia el equipo en posesión del balón, pero no si se inicia un ataque.</t>
  </si>
  <si>
    <t xml:space="preserve">El balón deja de estar en juego cuando, tras tocar a un miembro del equipo arbitral, se inicia un ataque prometedor o cambia el equipo en posesión del balón; son dos de las excepciones previstas junto con la entrada directa en la portería.</t>
  </si>
  <si>
    <t xml:space="preserve">RJ9-009</t>
  </si>
  <si>
    <t xml:space="preserve">El balón toca al árbitro principal, permanece en el terreno de juego y entra directamente en la portería. ¿Qué decisión toma el árbitro?</t>
  </si>
  <si>
    <t xml:space="preserve">El balón habrá dejado de estar en juego, por lo que no se concederá el gol y se reanudará con un balón a tierra.</t>
  </si>
  <si>
    <t xml:space="preserve">Se concederá el gol, ya que el balón permaneció en el terreno de juego en todo momento tras el contacto.</t>
  </si>
  <si>
    <t xml:space="preserve">Se concederá el gol si el contacto con el árbitro fue accidental y no evitable por su parte.</t>
  </si>
  <si>
    <t xml:space="preserve">El balón no estará en juego cuando toque a un miembro del equipo arbitral, permanezca en el terreno de juego y entre directamente en la portería; el juego se reanudará con un balón a tierra.</t>
  </si>
  <si>
    <t xml:space="preserve">RJ9-011</t>
  </si>
  <si>
    <t xml:space="preserve">El balón deja de estar en juego al tocar a un miembro del equipo arbitral. ¿Cómo se reanuda el juego?</t>
  </si>
  <si>
    <t xml:space="preserve">En todos los casos en los que el balón no esté en juego por contacto con un miembro del equipo arbitral en las circunstancias previstas, el juego se reanudará con un balón a tierra.</t>
  </si>
  <si>
    <t xml:space="preserve">RJ9-012</t>
  </si>
  <si>
    <t xml:space="preserve">El balón toca a un árbitro asistente y permanece en el terreno de juego, sin que se inicie un ataque prometedor, entre directamente en la portería ni cambie la posesión. ¿Sigue el balón en juego?</t>
  </si>
  <si>
    <t xml:space="preserve">No, cualquier contacto con el equipo arbitral lo deja fuera de juego.</t>
  </si>
  <si>
    <t xml:space="preserve">Solo si el árbitro decide que el juego continúe.</t>
  </si>
  <si>
    <t xml:space="preserve">El balón estará en juego en el resto de situaciones en las que entre en contacto con un miembro del equipo arbitral, siempre que no se produzcan los supuestos que lo dejan fuera de juego.</t>
  </si>
  <si>
    <t xml:space="preserve">Regla 9.2</t>
  </si>
  <si>
    <t xml:space="preserve">RJ9-013</t>
  </si>
  <si>
    <t xml:space="preserve">Un disparo rebota en un poste y el balón permanece dentro del terreno de juego. ¿Sigue el balón en juego?</t>
  </si>
  <si>
    <t xml:space="preserve">No, salvo que el rebote haya sido en el travesaño.</t>
  </si>
  <si>
    <t xml:space="preserve">No, el juego se reanuda con un balón a tierra.</t>
  </si>
  <si>
    <t xml:space="preserve">Sí, sigue en juego.</t>
  </si>
  <si>
    <t xml:space="preserve">El balón estará en juego cuando rebote en un poste o un travesaño, o en el banderín de esquina, y permanezca en el terreno de juego.</t>
  </si>
  <si>
    <t xml:space="preserve">RJ9-015</t>
  </si>
  <si>
    <t xml:space="preserve">Un suplente, un jugador lesionado temporalmente fuera del terreno de juego, o un jugador ya sustituido, tocan sin intención de interferir un balón que está claramente a punto de salir del campo. ¿Cómo se sanciona en los tres casos?</t>
  </si>
  <si>
    <t xml:space="preserve">En los tres casos igual: tiro libre indirecto a favor del equipo contrario, sin sanción disciplinaria.</t>
  </si>
  <si>
    <t xml:space="preserve">Solo el suplente se sanciona con tiro libre indirecto; a los otros dos no se les sanciona.</t>
  </si>
  <si>
    <t xml:space="preserve">El suplente y el sustituido se sancionan con tiro libre indirecto; al lesionado no se le sanciona.</t>
  </si>
  <si>
    <t xml:space="preserve">En los tres casos (suplente, jugador lesionado fuera del terreno, jugador sustituido) se aplica la misma sanción: tiro libre indirecto a favor del equipo contrario, sin sanción disciplinaria, al no existir intención de interferir de forma antirreglamentaria.</t>
  </si>
  <si>
    <t xml:space="preserve">RJ9-017</t>
  </si>
  <si>
    <t xml:space="preserve">Un jugador que ha sido expulsado y permanece junto al banquillo toca, sin intención de interferir de forma antirreglamentaria, un balón que está claramente a punto de salir del campo. ¿Qué decisión toma el árbitro?</t>
  </si>
  <si>
    <t xml:space="preserve">Expulsará también al miembro del cuerpo técnico responsable de su supervisión, además de conceder tiro libre indirecto.</t>
  </si>
  <si>
    <t xml:space="preserve">No podrá sancionar la acción, ya que el jugador expulsado no forma parte del desarrollo del juego.</t>
  </si>
  <si>
    <t xml:space="preserve">Sancionará la acción con un tiro libre indirecto a favor del equipo contrario, sin sanción disciplinaria adicional.</t>
  </si>
  <si>
    <t xml:space="preserve">Entre las personas cuyo contacto no intencionado con un balón a punto de salir se sanciona con tiro libre indirecto y sin sanción disciplinaria se incluye a los jugadores expulsados.</t>
  </si>
  <si>
    <t xml:space="preserve">RJ9-018</t>
  </si>
  <si>
    <t xml:space="preserve">¿Qué sanción disciplinaria conlleva que un miembro del cuerpo técnico toque, sin intención de interferir de forma antirreglamentaria, un balón que está claramente a punto de salir del campo?</t>
  </si>
  <si>
    <t xml:space="preserve">Conlleva la amonestación obligatoria del miembro del cuerpo técnico implicado en la acción.</t>
  </si>
  <si>
    <t xml:space="preserve">No conlleva ninguna sanción disciplinaria, únicamente un tiro libre indirecto.</t>
  </si>
  <si>
    <t xml:space="preserve">Conlleva la expulsión del miembro del cuerpo técnico y de un jugador de su equipo a elección del árbitro.</t>
  </si>
  <si>
    <t xml:space="preserve">La acción se sancionará con un tiro libre indirecto; no habrá sanción disciplinaria.</t>
  </si>
  <si>
    <t xml:space="preserve">RJ9-021</t>
  </si>
  <si>
    <t xml:space="preserve">El balón atraviesa por completo la línea de banda, golpea al cuarto árbitro, que está fuera del terreno de juego, y vuelve al campo. El árbitro...</t>
  </si>
  <si>
    <t xml:space="preserve">Detiene el juego y concede un saque de banda.</t>
  </si>
  <si>
    <t xml:space="preserve">Deja que el juego continúe, ya que el balón ha vuelto al campo.</t>
  </si>
  <si>
    <t xml:space="preserve">Detiene el juego y reanuda con un balón a tierra.</t>
  </si>
  <si>
    <t xml:space="preserve">Regla 9 (pág. 55): el balón no está en juego cuando ha atravesado completamente la línea de banda, por el suelo o por el aire. Que después toque al cuarto árbitro y vuelva al campo no cambia nada: corresponde saque de banda.</t>
  </si>
  <si>
    <t xml:space="preserve">RJ9-023</t>
  </si>
  <si>
    <t xml:space="preserve">Un balón sale por la línea de banda tras un desvío en un jugador, pero un espectador lo devuelve rápidamente al terreno de juego antes de que el árbitro detenga el juego. ¿Sigue en juego?</t>
  </si>
  <si>
    <t xml:space="preserve">No, el balón dejó de estar en juego en cuanto atravesó por completo la línea de banda.</t>
  </si>
  <si>
    <t xml:space="preserve">Sí, mientras el árbitro no haya detenido expresamente el juego con el silbato.</t>
  </si>
  <si>
    <t xml:space="preserve">Sí, si el espectador lo devuelve antes de que transcurran cinco segundos.</t>
  </si>
  <si>
    <t xml:space="preserve">El balón deja de estar en juego en cuanto atraviesa por completo la línea de banda o de meta, con independencia de que alguien lo devuelva al terreno de juego.</t>
  </si>
  <si>
    <t xml:space="preserve">RJ9-024</t>
  </si>
  <si>
    <t xml:space="preserve">El balón golpea a un árbitro asistente que se encuentra dentro del terreno de juego y se desvía hacia un jugador. ¿Sigue el balón en juego?</t>
  </si>
  <si>
    <t xml:space="preserve">Sí, salvo que se dé alguna de las excepciones previstas para el contacto con el equipo arbitral.</t>
  </si>
  <si>
    <t xml:space="preserve">No, el contacto con un árbitro asistente detiene el juego, con independencia de lo que ocurra.</t>
  </si>
  <si>
    <t xml:space="preserve">No, cuando el balón toca a un árbitro asistente el juego se reanuda con un balón a tierra.</t>
  </si>
  <si>
    <t xml:space="preserve">El balón está en juego cuando toca a un miembro del equipo arbitral, salvo que se produzca alguna de las excepciones expresamente previstas (ataque prometedor, gol directo o cambio de posesión).</t>
  </si>
  <si>
    <t xml:space="preserve">RJ9-025</t>
  </si>
  <si>
    <t xml:space="preserve">El balón toca al árbitro y, como consecuencia, pasa a controlarlo el equipo que no tenía la posesión. ¿Cómo se reanuda el juego?</t>
  </si>
  <si>
    <t xml:space="preserve">No se detiene el juego.</t>
  </si>
  <si>
    <t xml:space="preserve">Con un tiro libre indirecto.</t>
  </si>
  <si>
    <t xml:space="preserve">Si el balón toca a un miembro del equipo arbitral y, como consecuencia, cambia el equipo en posesión del balón, el juego se detiene y se reanuda con un balón a tierra.</t>
  </si>
  <si>
    <t xml:space="preserve">RJ9-027</t>
  </si>
  <si>
    <t xml:space="preserve">Un miembro del cuerpo técnico, situado en el área técnica, toca de forma accidental un balón que rebota hacia él tras salir despedido, sin intención de interferir en el juego. ¿Cómo se sanciona?</t>
  </si>
  <si>
    <t xml:space="preserve">Con un tiro libre indirecto a favor del equipo contrario, sin sanción disciplinaria adicional.</t>
  </si>
  <si>
    <t xml:space="preserve">Con la expulsión del miembro del cuerpo técnico por interferir en el juego.</t>
  </si>
  <si>
    <t xml:space="preserve">No es sancionable, al tratarse de un miembro del cuerpo técnico y no de un jugador.</t>
  </si>
  <si>
    <t xml:space="preserve">La Regla 9 prevé expresamente este supuesto para miembros del cuerpo técnico, suplentes, sustituidos o expulsados: tiro libre indirecto, sin sanción disciplinaria si no hubo intención de interferir.</t>
  </si>
  <si>
    <t xml:space="preserve">RJ9-028</t>
  </si>
  <si>
    <t xml:space="preserve">El balón toca al árbitro y permanece en el terreno de juego; el mismo equipo conserva la posesión sin iniciar un ataque prometedor. El árbitro...</t>
  </si>
  <si>
    <t xml:space="preserve">Detiene el juego y lo reanuda con balón a tierra.</t>
  </si>
  <si>
    <t xml:space="preserve">Detiene el juego y concede tiro libre indirecto.</t>
  </si>
  <si>
    <t xml:space="preserve">Regla 9: el balón deja de estar en juego si toca a un miembro del equipo arbitral, permanece en el terreno y un equipo inicia un ataque prometedor, el balón entra directamente en la portería o cambia el equipo en posesión. «El balón estará en juego en el resto de situaciones en las que entre en contacto con un miembro del equipo arbitral».</t>
  </si>
  <si>
    <t xml:space="preserve">RJ9-029</t>
  </si>
  <si>
    <t xml:space="preserve">Tras rebotar en un poste, el balón sale por la línea de meta sin que lo toque ningún otro jugador. ¿Cómo se reanuda el juego?</t>
  </si>
  <si>
    <t xml:space="preserve">Con saque de meta o de esquina, según quién lo tocó por última vez.</t>
  </si>
  <si>
    <t xml:space="preserve">Con un balón a tierra donde el balón cruzó la línea de meta.</t>
  </si>
  <si>
    <t xml:space="preserve">Con un saque de meta, sea cual sea el último jugador que lo tocó.</t>
  </si>
  <si>
    <t xml:space="preserve">El balón permanece en juego tras rebotar en el poste; si posteriormente sale por la línea de meta, se reanuda con el saque correspondiente según quién lo tocó en último lugar.</t>
  </si>
  <si>
    <t xml:space="preserve">RJ9-030</t>
  </si>
  <si>
    <t xml:space="preserve">Con el juego detenido por una lesión, un recogepelotas entra y retira un balón que estaba en el terreno de juego. ¿Está el balón en juego en ese momento?</t>
  </si>
  <si>
    <t xml:space="preserve">No, el juego ya estaba detenido.</t>
  </si>
  <si>
    <t xml:space="preserve">Sí, hasta que salga del terreno de juego.</t>
  </si>
  <si>
    <t xml:space="preserve">Sí, hasta que lo toque un jugador.</t>
  </si>
  <si>
    <t xml:space="preserve">El balón no está en juego cuando el árbitro ha detenido el juego, con independencia de quién lo toque después.</t>
  </si>
  <si>
    <t xml:space="preserve">RJ9-031</t>
  </si>
  <si>
    <t xml:space="preserve">Dentro del área penal, el balón golpea al árbitro y entra directamente en la portería. ¿Cómo se reanuda el juego?</t>
  </si>
  <si>
    <t xml:space="preserve">Con un balón a tierra al guardameta.</t>
  </si>
  <si>
    <t xml:space="preserve">Se concede el gol al equipo atacante.</t>
  </si>
  <si>
    <t xml:space="preserve">Con un saque de meta al equipo defensor.</t>
  </si>
  <si>
    <t xml:space="preserve">Regla 9 (pág. 55): el balón no está en juego si toca a un miembro del equipo arbitral, permanece en el terreno de juego y entra directamente en la portería; se reanuda con un balón a tierra, que dentro del área penal se concede al guardameta (Regla 8).</t>
  </si>
  <si>
    <t xml:space="preserve">RJ9-032</t>
  </si>
  <si>
    <t xml:space="preserve">Un miembro del equipo arbitral, dentro del terreno de juego, es golpeado por el balón y esto provoca que se inicie un claro ataque prometedor para el equipo que lo recibe. ¿Qué debe hacer el árbitro?</t>
  </si>
  <si>
    <t xml:space="preserve">Detener el juego y reanudarlo con un balón a tierra en el lugar del contacto.</t>
  </si>
  <si>
    <t xml:space="preserve">Permitir que continúe el ataque prometedor sin detener el juego.</t>
  </si>
  <si>
    <t xml:space="preserve">Conceder un tiro libre indirecto a favor del equipo que inicia el ataque.</t>
  </si>
  <si>
    <t xml:space="preserve">Si el balón toca a un miembro del equipo arbitral y de ello se deriva un ataque prometedor, el juego se detiene y se reanuda con un balón a tierra.</t>
  </si>
  <si>
    <t xml:space="preserve">RJ9-033</t>
  </si>
  <si>
    <t xml:space="preserve">Tras un pase, el balón golpea el banderín de esquina sin salir del terreno de juego y sigue hacia un atacante. ¿Está el balón en juego?</t>
  </si>
  <si>
    <t xml:space="preserve">No, el contacto con el banderín lo deja fuera de juego.</t>
  </si>
  <si>
    <t xml:space="preserve">No, se reanuda con un saque de esquina.</t>
  </si>
  <si>
    <t xml:space="preserve">El balón sigue en juego cuando rebota en el banderín de esquina y permanece dentro del terreno de juego.</t>
  </si>
  <si>
    <t xml:space="preserve">RJ9-034</t>
  </si>
  <si>
    <t xml:space="preserve">Un balón, tras un disparo, golpea sucesivamente el poste, el travesaño y de nuevo el poste, sin salir en ningún momento del terreno de juego, antes de que un jugador lo remate a gol. ¿Es válido el gol?</t>
  </si>
  <si>
    <t xml:space="preserve">Sí, el balón sigue en juego durante esos rebotes, mientras no cruce la línea de meta ni salga del terreno.</t>
  </si>
  <si>
    <t xml:space="preserve">No, tras el segundo rebote en la estructura de la portería el balón deja de estar en juego.</t>
  </si>
  <si>
    <t xml:space="preserve">No, se debe reanudar con un balón a tierra tras el primer rebote en el travesaño.</t>
  </si>
  <si>
    <t xml:space="preserve">El balón permanece en juego mientras rebota en el poste o el travesaño, sin límite en el número de rebotes sucesivos, mientras no atraviese la línea de meta por completo ni el árbitro detenga el juego.</t>
  </si>
  <si>
    <t xml:space="preserve">RJ9-035</t>
  </si>
  <si>
    <t xml:space="preserve">Durante el desarrollo del juego, el balón toca simultáneamente a un miembro del equipo arbitral y a un jugador, sin que pueda determinarse con claridad cuál de los dos contactos se produjo primero, y a consecuencia de ello cambia el equipo en posesión. ¿Cómo debe reanudarse el juego?</t>
  </si>
  <si>
    <t xml:space="preserve">Con un balón a tierra, al no poder determinarse el contacto decisivo y haber cambiado la posesión.</t>
  </si>
  <si>
    <t xml:space="preserve">El juego debe continuar sin interrupción, al no poder determinarse el contacto decisivo.</t>
  </si>
  <si>
    <t xml:space="preserve">Con un tiro libre indirecto a favor del equipo que tenía la posesión antes del contacto.</t>
  </si>
  <si>
    <t xml:space="preserve">Ante la imposibilidad de determinar con precisión las circunstancias de una jugada relacionada con el contacto del balón con el equipo arbitral y un cambio de posesión, el árbitro reanudará con un balón a tierra.</t>
  </si>
  <si>
    <t xml:space="preserve">RJ9-036</t>
  </si>
  <si>
    <t xml:space="preserve">El balón atraviesa por completo la línea de banda, pero antes de que el árbitro pite, un adversario lo vuelve a introducir y continúa la jugada. El árbitro...</t>
  </si>
  <si>
    <t xml:space="preserve">Detiene el juego y concede un saque de banda al equipo que no tocó el balón en último lugar.</t>
  </si>
  <si>
    <t xml:space="preserve">Deja que el juego continúe, porque no había detenido el juego antes de la jugada.</t>
  </si>
  <si>
    <t xml:space="preserve">Deja que el juego continúe si el balón ha estado fuera menos de un segundo.</t>
  </si>
  <si>
    <t xml:space="preserve">El balón deja de estar en juego en el mismo instante en que atraviesa por completo la línea de banda, con independencia de que alguien lo reintroduzca físicamente en el terreno de juego a continuación.</t>
  </si>
  <si>
    <t xml:space="preserve">RJ9-037</t>
  </si>
  <si>
    <t xml:space="preserve">Un balón, tras un despeje, golpea el larguero de una portería, rebota hacia el terreno de juego y, sin que nadie lo toque, sale directamente por la línea de banda. ¿Cómo se reanuda el juego?</t>
  </si>
  <si>
    <t xml:space="preserve">Con un saque de banda a favor del equipo contrario al del último jugador que tocó el balón antes del rebote en el larguero.</t>
  </si>
  <si>
    <t xml:space="preserve">Con un balón a tierra en el lugar donde el balón rebotó en el larguero, al haberse producido un contacto con la estructura de la portería.</t>
  </si>
  <si>
    <t xml:space="preserve">Con un saque de esquina o de meta, según corresponda por el rebote en el larguero, en lugar de un saque de banda.</t>
  </si>
  <si>
    <t xml:space="preserve">El balón permanece en juego tras rebotar en el travesaño; si posteriormente sale por la línea de banda, se aplican las reglas generales de reanudación según el último jugador que lo tocó, con normalidad.</t>
  </si>
  <si>
    <t xml:space="preserve">RJ9-038</t>
  </si>
  <si>
    <t xml:space="preserve">Con el juego detenido por una lesión, el viento empuja el balón, que estaba junto a la línea de meta, hasta que la cruza por completo. ¿Se concede saque de meta o de esquina?</t>
  </si>
  <si>
    <t xml:space="preserve">No, el balón no estaba en juego; se reanuda según el motivo de la detención.</t>
  </si>
  <si>
    <t xml:space="preserve">Sí, se concede saque de meta o de esquina según quién lo tocó por última vez.</t>
  </si>
  <si>
    <t xml:space="preserve">Sí, se concede un saque de esquina, sea cual sea el motivo de la detención.</t>
  </si>
  <si>
    <t xml:space="preserve">Una vez que el juego está detenido, el balón no está en juego; su desplazamiento posterior por causas ajenas (como el viento) no genera ninguna reanudación relacionada con haber cruzado una línea, y el juego se reanuda conforme a la causa original de la detención.</t>
  </si>
  <si>
    <t xml:space="preserve">RJ10-003</t>
  </si>
  <si>
    <t xml:space="preserve">Regla 10</t>
  </si>
  <si>
    <t xml:space="preserve">El guardameta lanza el balón con la mano y entra directamente en la portería contraria. ¿Qué decisión toma el árbitro?</t>
  </si>
  <si>
    <t xml:space="preserve">Concede un saque de esquina.</t>
  </si>
  <si>
    <t xml:space="preserve">Si el guardameta lanza el balón con la mano y este entra en la portería contraria directamente, se concederá saque de meta.</t>
  </si>
  <si>
    <t xml:space="preserve">Regla 10.1</t>
  </si>
  <si>
    <t xml:space="preserve">RJ10-004</t>
  </si>
  <si>
    <t xml:space="preserve">El árbitro señala gol antes de que el balón haya traspasado completamente la línea de meta. ¿Cómo debe reanudarse el juego al advertir el error?</t>
  </si>
  <si>
    <t xml:space="preserve">Con un saque de meta a favor del equipo defensor.</t>
  </si>
  <si>
    <t xml:space="preserve">Manteniendo el gol como válido.</t>
  </si>
  <si>
    <t xml:space="preserve">Si el árbitro señalara un gol antes de que el balón hubiera traspasado completamente la línea de meta, el juego se reanudará con un balón a tierra.</t>
  </si>
  <si>
    <t xml:space="preserve">RJ10-007</t>
  </si>
  <si>
    <t xml:space="preserve">¿Cuáles son los procedimientos permitidos para determinar un vencedor cuando el reglamento de la competición exige que haya un ganador tras un partido empatado?</t>
  </si>
  <si>
    <t xml:space="preserve">La regla de goles marcados fuera de casa, dos periodos de tiempo suplementario de igual duración que no excedan los 15 minutos cada uno, y la tanda de penales.</t>
  </si>
  <si>
    <t xml:space="preserve">La regla de goles marcados fuera de casa, dos periodos de tiempo suplementario de igual duración que no excedan los 20 minutos cada uno, y la tanda de penales.</t>
  </si>
  <si>
    <t xml:space="preserve">La regla de goles marcados fuera de casa, un periodo de tiempo suplementario de 15 minutos, y la tanda de penales.</t>
  </si>
  <si>
    <t xml:space="preserve">Se permitirán únicamente los siguientes procedimientos para determinar el vencedor: la regla de goles marcados fuera de casa, dos periodos de tiempo suplementario que no excedan los 15 minutos cada uno, y la tanda de penales.</t>
  </si>
  <si>
    <t xml:space="preserve">Regla 10.2</t>
  </si>
  <si>
    <t xml:space="preserve">RJ10-008</t>
  </si>
  <si>
    <t xml:space="preserve">¿Pueden combinarse varios de los procedimientos previstos para determinar un equipo ganador tras un empate?</t>
  </si>
  <si>
    <t xml:space="preserve">Sí, se podrán combinar varios de los procedimientos previstos.</t>
  </si>
  <si>
    <t xml:space="preserve">No, el reglamento de la competición debe optar por uno solo de los procedimientos.</t>
  </si>
  <si>
    <t xml:space="preserve">Sí, se podrán combinar la regla de goles fuera de casa y la tanda de penales, pero no el tiempo suplementario.</t>
  </si>
  <si>
    <t xml:space="preserve">Se podrán combinar varios de los procedimientos previstos para determinar el vencedor tras un partido empatado.</t>
  </si>
  <si>
    <t xml:space="preserve">RJ10-011</t>
  </si>
  <si>
    <t xml:space="preserve">Un jugador fue amonestado durante el partido. ¿Se tiene en cuenta esa amonestación en la tanda de penales?</t>
  </si>
  <si>
    <t xml:space="preserve">Sí, y una nueva amonestación en la tanda conllevaría su expulsión.</t>
  </si>
  <si>
    <t xml:space="preserve">Sí, pero solo a efectos estadísticos en el acta del partido.</t>
  </si>
  <si>
    <t xml:space="preserve">Las advertencias y amonestaciones impuestas a jugadores y miembros del cuerpo técnico durante el encuentro no se tendrán en consideración en la tanda de penales.</t>
  </si>
  <si>
    <t xml:space="preserve">Regla 10.3</t>
  </si>
  <si>
    <t xml:space="preserve">RJ10-012</t>
  </si>
  <si>
    <t xml:space="preserve">¿Cómo se decide en qué portería se desarrollará la tanda de penales?</t>
  </si>
  <si>
    <t xml:space="preserve">Mediante un sorteo con moneda, salvo consideraciones como el estado del terreno o la seguridad.</t>
  </si>
  <si>
    <t xml:space="preserve">Se utiliza la portería del segundo tiempo, salvo que el estado del terreno o la seguridad lo impidan.</t>
  </si>
  <si>
    <t xml:space="preserve">Elige el equipo que ganó el sorteo inicial, salvo que el estado del terreno o la seguridad lo impidan.</t>
  </si>
  <si>
    <t xml:space="preserve">El árbitro realizará un sorteo mediante moneda para decidir la portería en la que se desarrollará la tanda, salvo que otras consideraciones como el estado del terreno o la seguridad lo impidan.</t>
  </si>
  <si>
    <t xml:space="preserve">RJ10-013</t>
  </si>
  <si>
    <t xml:space="preserve">Una vez elegida la portería, ¿cómo se decide qué equipo lanza primero en la tanda de penales?</t>
  </si>
  <si>
    <t xml:space="preserve">Lanza primero el equipo visitante, salvo acuerdo entre capitanes.</t>
  </si>
  <si>
    <t xml:space="preserve">Lanza primero el equipo que marcó el primer gol del partido.</t>
  </si>
  <si>
    <t xml:space="preserve">Con un nuevo sorteo; el equipo favorecido elige si lanza primero o segundo.</t>
  </si>
  <si>
    <t xml:space="preserve">El árbitro realizará un nuevo sorteo mediante moneda, y el equipo que resulte favorecido decidirá si ejecuta el primer o el segundo lanzamiento.</t>
  </si>
  <si>
    <t xml:space="preserve">RJ10-014</t>
  </si>
  <si>
    <t xml:space="preserve">¿Qué jugadores pueden participar en la tanda de penales?</t>
  </si>
  <si>
    <t xml:space="preserve">Los que estén en el terreno de juego al final del partido o momentáneamente fuera de él.</t>
  </si>
  <si>
    <t xml:space="preserve">Todos los jugadores inscritos en el acta, incluidos los sustituidos durante el partido.</t>
  </si>
  <si>
    <t xml:space="preserve">Los once jugadores que comenzaron el partido, con independencia de las sustituciones.</t>
  </si>
  <si>
    <t xml:space="preserve">Solamente estarán autorizados a participar aquellos jugadores que al final del partido se encuentren en el terreno de juego, o momentáneamente fuera del mismo por lesión, cambios de equipamiento, etc.</t>
  </si>
  <si>
    <t xml:space="preserve">RJ10-015</t>
  </si>
  <si>
    <t xml:space="preserve">¿Quién decide el orden en el que cada equipo ejecutará sus lanzamientos en la tanda de penales?</t>
  </si>
  <si>
    <t xml:space="preserve">El árbitro, que fija el orden de lanzamiento en función del sorteo inicial de la tanda de penales.</t>
  </si>
  <si>
    <t xml:space="preserve">El equipo que gane el sorteo para elegir portería, que también decide el orden de ambos equipos.</t>
  </si>
  <si>
    <t xml:space="preserve">Cada equipo decide su propio orden, sin necesidad de informar de él al árbitro con antelación.</t>
  </si>
  <si>
    <t xml:space="preserve">Cada uno de los equipos se encargará de decidir el orden en el que ejecutará los lanzamientos, sin que se informe del mismo al árbitro.</t>
  </si>
  <si>
    <t xml:space="preserve">RJ10-016</t>
  </si>
  <si>
    <t xml:space="preserve">Al final del partido, el Equipo A tiene más jugadores en el terreno de juego que el Equipo B. Antes de la tanda de penales:</t>
  </si>
  <si>
    <t xml:space="preserve">El Equipo B deberá incorporar jugadores desde el banquillo para igualar al Equipo A.</t>
  </si>
  <si>
    <t xml:space="preserve">El Equipo A deberá reducir su número para igualarlo e informar al árbitro de los excluidos.</t>
  </si>
  <si>
    <t xml:space="preserve">El árbitro suspenderá el partido, al no haber igualdad numérica entre los dos equipos.</t>
  </si>
  <si>
    <t xml:space="preserve">Si un equipo tiene más jugadores que su adversario al finalizar el partido, deberá reducir su número para igualarlo, informando al árbitro del nombre y número de los jugadores excluidos.</t>
  </si>
  <si>
    <t xml:space="preserve">RJ10-017</t>
  </si>
  <si>
    <t xml:space="preserve">Un guardameta no se encuentra en condiciones de continuar antes de la tanda de penales y su equipo ya ha utilizado el número máximo de sustituciones. ¿Por quién puede ser reemplazado?</t>
  </si>
  <si>
    <t xml:space="preserve">Por un jugador excluido para igualar el número de jugadores con el equipo rival.</t>
  </si>
  <si>
    <t xml:space="preserve">Por un miembro del cuerpo técnico inscrito en el acta del partido.</t>
  </si>
  <si>
    <t xml:space="preserve">No podrá ser reemplazado, debiendo su equipo afrontar la tanda con un jugador de campo en la portería.</t>
  </si>
  <si>
    <t xml:space="preserve">Un guardameta que no pueda continuar podrá ser reemplazado por un jugador excluido para igualar el número, o, si el equipo no ha agotado sus sustituciones, por un suplente designado en la lista oficial.</t>
  </si>
  <si>
    <t xml:space="preserve">RJ10-018</t>
  </si>
  <si>
    <t xml:space="preserve">En la tanda de penales, un guardameta que ya ha lanzado no puede continuar y es reemplazado. ¿Puede su sustituto lanzar en esa ronda?</t>
  </si>
  <si>
    <t xml:space="preserve">No, no podrá lanzar hasta la siguiente ronda.</t>
  </si>
  <si>
    <t xml:space="preserve">Sí, ocupará el turno de lanzamiento del guardameta.</t>
  </si>
  <si>
    <t xml:space="preserve">Sí, pero solo el lanzamiento inmediatamente posterior.</t>
  </si>
  <si>
    <t xml:space="preserve">Si el guardameta hubiera ejecutado ya un lanzamiento, el suplente no podrá ejecutar el tiro hasta la siguiente tanda de penales.</t>
  </si>
  <si>
    <t xml:space="preserve">RJ10-019</t>
  </si>
  <si>
    <t xml:space="preserve">¿Quiénes pueden permanecer en el terreno de juego durante el desarrollo de la tanda de penales?</t>
  </si>
  <si>
    <t xml:space="preserve">Los jugadores autorizados para participar en la tanda y los miembros del equipo arbitral.</t>
  </si>
  <si>
    <t xml:space="preserve">Todos los jugadores de la convocatoria de ambos equipos, sin restricción durante la tanda.</t>
  </si>
  <si>
    <t xml:space="preserve">Los jugadores autorizados para participar y, además, un miembro del cuerpo técnico de cada equipo.</t>
  </si>
  <si>
    <t xml:space="preserve">Solamente podrán permanecer en el terreno de juego los jugadores autorizados para participar en la tanda de penales y los miembros del equipo arbitral.</t>
  </si>
  <si>
    <t xml:space="preserve">RJ10-020</t>
  </si>
  <si>
    <t xml:space="preserve">¿Dónde deben permanecer los jugadores autorizados que no son el lanzador ni los dos guardametas?</t>
  </si>
  <si>
    <t xml:space="preserve">En el interior del círculo central del terreno de juego.</t>
  </si>
  <si>
    <t xml:space="preserve">En sus respectivos banquillos de suplentes, junto al resto del equipo técnico.</t>
  </si>
  <si>
    <t xml:space="preserve">Fuera del terreno de juego, en la zona de calentamiento habilitada por la organización.</t>
  </si>
  <si>
    <t xml:space="preserve">Todos los jugadores autorizados para participar en la tanda, excepto el lanzador y los dos guardametas, deberán permanecer en el interior del círculo central.</t>
  </si>
  <si>
    <t xml:space="preserve">RJ10-021</t>
  </si>
  <si>
    <t xml:space="preserve">En la tanda de penales, el guardameta del equipo que lanza deberá situarse:</t>
  </si>
  <si>
    <t xml:space="preserve">Dentro del área penal, junto al punto penal, para poder intervenir en caso de rechace.</t>
  </si>
  <si>
    <t xml:space="preserve">Fuera del área penal, en la intersección de la línea de meta con la del área penal.</t>
  </si>
  <si>
    <t xml:space="preserve">Dentro del círculo central, junto al resto de jugadores que no ejecutan el lanzamiento.</t>
  </si>
  <si>
    <t xml:space="preserve">El guardameta del equipo ejecutor del lanzamiento deberá permanecer en el terreno de juego, fuera del área penal, en la intersección de la línea de meta con la línea de demarcación del área penal.</t>
  </si>
  <si>
    <t xml:space="preserve">RJ10-022</t>
  </si>
  <si>
    <t xml:space="preserve">En la tanda de penales, ¿puede un jugador autorizado a participar intercambiar su puesto con el guardameta?</t>
  </si>
  <si>
    <t xml:space="preserve">Sí, cualquiera de los jugadores autorizados.</t>
  </si>
  <si>
    <t xml:space="preserve">Sí, pero solo antes de que comience la tanda.</t>
  </si>
  <si>
    <t xml:space="preserve">No, solo puede hacerlo durante el partido.</t>
  </si>
  <si>
    <t xml:space="preserve">Cualquiera de los jugadores autorizados para participar en la tanda de penales podrá intercambiar su puesto con el guardameta.</t>
  </si>
  <si>
    <t xml:space="preserve">RJ10-024</t>
  </si>
  <si>
    <t xml:space="preserve">Durante la tanda de penales, el lanzador golpea el balón de manera involuntaria con los dos pies simultáneamente y el balón entra en la portería. ¿Qué decisión toma el árbitro?</t>
  </si>
  <si>
    <t xml:space="preserve">Se volverá a ejecutar el tiro, sin sanción para el lanzador.</t>
  </si>
  <si>
    <t xml:space="preserve">Se registrará como fallado y se amonestará al lanzador por la irregularidad cometida.</t>
  </si>
  <si>
    <t xml:space="preserve">Se concederá el gol como válido, al haber entrado el balón en la portería tras el lanzamiento.</t>
  </si>
  <si>
    <t xml:space="preserve">Si el lanzador golpea el balón de manera involuntaria con los dos pies simultáneamente y el balón entrara en la portería, se volverá a ejecutar el tiro.</t>
  </si>
  <si>
    <t xml:space="preserve">RJ10-025</t>
  </si>
  <si>
    <t xml:space="preserve">Durante la tanda de penales, tras golpear el balón de forma involuntaria con los dos pies a la vez, el lanzamiento no acaba en gol. ¿Cómo se registra?</t>
  </si>
  <si>
    <t xml:space="preserve">Se registrará como fallado, al no haber entrado el balón en la portería.</t>
  </si>
  <si>
    <t xml:space="preserve">Se repetirá el lanzamiento, al tratarse de una irregularidad en la ejecución del tiro.</t>
  </si>
  <si>
    <t xml:space="preserve">Se concederá un nuevo intento adicional al final de la ronda de cinco lanzamientos de ese equipo.</t>
  </si>
  <si>
    <t xml:space="preserve">Si el lanzamiento no acabara en gol tras golpear el balón con los dos pies simultáneamente, se registrará como fallado.</t>
  </si>
  <si>
    <t xml:space="preserve">RJ10-026</t>
  </si>
  <si>
    <t xml:space="preserve">En la tanda de penales, el guardameta comete por primera vez una infracción que obliga a repetir el lanzamiento. El árbitro...</t>
  </si>
  <si>
    <t xml:space="preserve">Ordena repetir el lanzamiento y amonesta al guardameta.</t>
  </si>
  <si>
    <t xml:space="preserve">Ordena repetir el lanzamiento, sin advertir al guardameta.</t>
  </si>
  <si>
    <t xml:space="preserve">Ordena repetir el lanzamiento y advierte al guardameta.</t>
  </si>
  <si>
    <t xml:space="preserve">Si el guardameta cometiera una infracción que obligue a repetir el lanzamiento, se le advertirá por la primera infracción y se le amonestará en caso de reincidencia.</t>
  </si>
  <si>
    <t xml:space="preserve">RJ10-027</t>
  </si>
  <si>
    <t xml:space="preserve">En la tanda de penales, el lanzador comete una infracción después de la señal del árbitro para ejecutar el lanzamiento. El árbitro...</t>
  </si>
  <si>
    <t xml:space="preserve">Ordena repetir el lanzamiento y amonesta al lanzador.</t>
  </si>
  <si>
    <t xml:space="preserve">Registra el lanzamiento como fallado y amonesta al lanzador.</t>
  </si>
  <si>
    <t xml:space="preserve">Ordena repetir el lanzamiento, sin medida disciplinaria.</t>
  </si>
  <si>
    <t xml:space="preserve">Si el lanzador es penalizado por una infracción cometida después de que el árbitro haya dado la señal para ejecutar el lanzamiento, se registrará como fallado y se amonestará al lanzador.</t>
  </si>
  <si>
    <t xml:space="preserve">RJ10-028</t>
  </si>
  <si>
    <t xml:space="preserve">Antes de que ambos equipos hayan ejecutado sus cinco lanzamientos, uno de ellos ha marcado más goles de los que el otro podría conseguir con los lanzamientos que le quedan. El árbitro...</t>
  </si>
  <si>
    <t xml:space="preserve">Da por terminada la tanda de penales.</t>
  </si>
  <si>
    <t xml:space="preserve">Consulta con el equipo arbitral antes de terminarla.</t>
  </si>
  <si>
    <t xml:space="preserve">Continúa hasta completar los cinco lanzamientos.</t>
  </si>
  <si>
    <t xml:space="preserve">Si, antes de que ambos equipos hayan ejecutado sus cinco tiros, uno hubiera marcado más goles que los que el adversario pudiera anotar con sus cinco lanzamientos, se dará por terminada la tanda.</t>
  </si>
  <si>
    <t xml:space="preserve">RJ10-029</t>
  </si>
  <si>
    <t xml:space="preserve">Tras los cinco lanzamientos de cada equipo, la tanda de penales sigue empatada. ¿Cómo continúa?</t>
  </si>
  <si>
    <t xml:space="preserve">Se sigue lanzando hasta que un equipo marque un gol más con el mismo número de lanzamientos.</t>
  </si>
  <si>
    <t xml:space="preserve">Se da por finalizada la tanda y el partido se considera empatado a todos los efectos.</t>
  </si>
  <si>
    <t xml:space="preserve">Se repiten los dos últimos lanzamientos de cada equipo hasta que haya un resultado distinto.</t>
  </si>
  <si>
    <t xml:space="preserve">Si, tras ejecutar ambos equipos sus cinco lanzamientos, el marcador siguiera empatado, se proseguirá con los tiros penales hasta que un equipo haya marcado un gol más que el otro tras el mismo número de lanzamientos.</t>
  </si>
  <si>
    <t xml:space="preserve">RJ10-030</t>
  </si>
  <si>
    <t xml:space="preserve">Tras los cinco primeros lanzamientos de cada equipo, ¿pueden los equipos cambiar el orden de sus lanzadores?</t>
  </si>
  <si>
    <t xml:space="preserve">Sí, ambos equipos pueden cambiarlo.</t>
  </si>
  <si>
    <t xml:space="preserve">Sí, solo el equipo que lanza en segundo lugar.</t>
  </si>
  <si>
    <t xml:space="preserve">No, debe mantenerse el orden de la primera ronda.</t>
  </si>
  <si>
    <t xml:space="preserve">La regla de decidir por un gol más tras el mismo número de lanzamientos también es aplicable a la secuencia posterior, y los equipos podrán cambiar el orden de los lanzadores.</t>
  </si>
  <si>
    <t xml:space="preserve">RJ10-031</t>
  </si>
  <si>
    <t xml:space="preserve">Durante la tanda de penales, un jugador abandona el terreno de juego y no regresa a tiempo para ejecutar su lanzamiento. El árbitro...</t>
  </si>
  <si>
    <t xml:space="preserve">Pasa al siguiente lanzamiento sin registrarlo como fallado ni como marcado.</t>
  </si>
  <si>
    <t xml:space="preserve">Espera un tiempo razonable a que regrese antes de continuar con la tanda.</t>
  </si>
  <si>
    <t xml:space="preserve">No retrasa la tanda y registra su lanzamiento como fallado.</t>
  </si>
  <si>
    <t xml:space="preserve">La tanda no deberá retrasarse porque un jugador abandone el terreno de juego; si dicho jugador no regresara a tiempo para ejecutar el lanzamiento, se registrará como fallado.</t>
  </si>
  <si>
    <t xml:space="preserve">RJ10-032</t>
  </si>
  <si>
    <t xml:space="preserve">¿Pueden amonestarse o expulsarse jugadores, suplentes o miembros del cuerpo técnico durante la tanda de penales?</t>
  </si>
  <si>
    <t xml:space="preserve">Sí, se podrá amonestar o expulsar a jugadores, suplentes, jugadores sustituidos o miembros del cuerpo técnico.</t>
  </si>
  <si>
    <t xml:space="preserve">No, durante la tanda de penales no se pueden imponer nuevas sanciones disciplinarias.</t>
  </si>
  <si>
    <t xml:space="preserve">Se puede amonestar, pero no expulsar, a jugadores durante el desarrollo de la tanda de penales.</t>
  </si>
  <si>
    <t xml:space="preserve">Se podrá amonestar o expulsar a jugadores, suplentes, jugadores sustituidos o miembros del cuerpo técnico durante la tanda de penales.</t>
  </si>
  <si>
    <t xml:space="preserve">RJ10-033</t>
  </si>
  <si>
    <t xml:space="preserve">Se expulsa a un guardameta durante la tanda de penales. ¿Por quién debe ser sustituido?</t>
  </si>
  <si>
    <t xml:space="preserve">Por un jugador autorizado para participar en la tanda.</t>
  </si>
  <si>
    <t xml:space="preserve">Su equipo continuará la tanda sin guardameta, con la portería sin cubrir.</t>
  </si>
  <si>
    <t xml:space="preserve">Por cualquier suplente de la convocatoria, aunque no estuviera autorizado a participar en la tanda.</t>
  </si>
  <si>
    <t xml:space="preserve">Si se expulsara a un guardameta durante la tanda, este deberá ser sustituido por un jugador autorizado para participar en la tanda de penales.</t>
  </si>
  <si>
    <t xml:space="preserve">RJ10-034</t>
  </si>
  <si>
    <t xml:space="preserve">Durante la tanda de penales, ¿puede sustituirse a un jugador de campo que está en condiciones de continuar?</t>
  </si>
  <si>
    <t xml:space="preserve">No, solo puede reemplazarse al guardameta.</t>
  </si>
  <si>
    <t xml:space="preserve">Sí, cada equipo tiene una sustitución adicional.</t>
  </si>
  <si>
    <t xml:space="preserve">Sí, si todavía no ha ejecutado su lanzamiento.</t>
  </si>
  <si>
    <t xml:space="preserve">A excepción del guardameta, no se podrá sustituir a ningún jugador que no esté en condiciones de continuar jugando.</t>
  </si>
  <si>
    <t xml:space="preserve">RJ10-035</t>
  </si>
  <si>
    <t xml:space="preserve">Durante la tanda de penales, un equipo se queda con menos de siete jugadores tras varias expulsiones. ¿Debe el árbitro suspender definitivamente el partido?</t>
  </si>
  <si>
    <t xml:space="preserve">Sí, salvo que ambos equipos acuerden expresamente continuar la tanda de penales pese a la inferioridad numérica.</t>
  </si>
  <si>
    <t xml:space="preserve">No, el árbitro no suspenderá definitivamente el partido aunque un equipo se quedara con menos de siete jugadores.</t>
  </si>
  <si>
    <t xml:space="preserve">Sí, deberá suspender definitivamente el partido en cuanto un equipo cuente con menos de siete jugadores.</t>
  </si>
  <si>
    <t xml:space="preserve">El árbitro no suspenderá definitivamente el partido aunque un equipo se quedara con menos de siete jugadores durante la tanda de penales.</t>
  </si>
  <si>
    <t xml:space="preserve">RJ10-036</t>
  </si>
  <si>
    <t xml:space="preserve">Durante una tanda de penales, un equipo se queda con menos de 7 jugadores disponibles. El árbitro...</t>
  </si>
  <si>
    <t xml:space="preserve">Ordena que el adversario reduzca su número de lanzadores hasta igualarlo y continúa la tanda.</t>
  </si>
  <si>
    <t xml:space="preserve">Suspende definitivamente el partido, al no poder continuar con menos de siete jugadores.</t>
  </si>
  <si>
    <t xml:space="preserve">Continúa la tanda sin que el adversario tenga que reducir su número de lanzadores.</t>
  </si>
  <si>
    <t xml:space="preserve">Si un equipo llega a la tanda de penaltis con menos de 7 jugadores, se reduce el número de lanzadores del equipo contrario para igualar la cifra, continuando la tanda hasta que haya un vencedor.</t>
  </si>
  <si>
    <t xml:space="preserve">Anexo tandas de penaltis</t>
  </si>
  <si>
    <t xml:space="preserve">RJ10-037</t>
  </si>
  <si>
    <t xml:space="preserve">En la tanda de penales, antes de que un jugador pueda ejecutar un segundo lanzamiento, ¿qué debe haber ocurrido?</t>
  </si>
  <si>
    <t xml:space="preserve">Que todos los jugadores autorizados de su equipo hayan ejecutado ya un primer lanzamiento.</t>
  </si>
  <si>
    <t xml:space="preserve">Que hayan ejecutado ya un primer lanzamiento al menos cinco jugadores autorizados de su equipo.</t>
  </si>
  <si>
    <t xml:space="preserve">Que todos los jugadores del equipo contrario hayan ejecutado ya un primer lanzamiento.</t>
  </si>
  <si>
    <t xml:space="preserve">Cada uno de los lanzamientos deberá ejecutarlo un jugador diferente; antes de que un jugador pueda ejecutar un segundo penal, todos los jugadores seleccionados para participar en la tanda deben haber ejecutado ya un primer lanzamiento.</t>
  </si>
  <si>
    <t xml:space="preserve">RJ10-038</t>
  </si>
  <si>
    <t xml:space="preserve">En la tanda de penales, el guardameta se adelanta antes del golpeo, su infracción influye claramente en el lanzador y el balón sale fuera. El árbitro...</t>
  </si>
  <si>
    <t xml:space="preserve">Registra el lanzamiento como fallado.</t>
  </si>
  <si>
    <t xml:space="preserve">Registra el lanzamiento como marcado.</t>
  </si>
  <si>
    <t xml:space="preserve">Regla 14.2 (aplicable a la tanda): si el guardameta comete una infracción y el balón no entra en la portería, «únicamente se repetirá el tiro penal si la infracción del guardameta influye claramente en el lanzador».</t>
  </si>
  <si>
    <t xml:space="preserve">RJ10-039</t>
  </si>
  <si>
    <t xml:space="preserve">Antes de comenzar la tanda de penales, ¿cómo se elige la portería en la que se lanzará?</t>
  </si>
  <si>
    <t xml:space="preserve">La decide el árbitro con un sorteo, salvo por el estado del terreno o la seguridad.</t>
  </si>
  <si>
    <t xml:space="preserve">La elige el equipo que ganó el sorteo inicial celebrado antes del partido.</t>
  </si>
  <si>
    <t xml:space="preserve">La elige el equipo visitante, como criterio general en cualquier tanda.</t>
  </si>
  <si>
    <t xml:space="preserve">El árbitro elegirá la portería, salvo que existan consideraciones prácticas, como el estado del terreno de juego, que aconsejen otra distinta.</t>
  </si>
  <si>
    <t xml:space="preserve">RJ10-040</t>
  </si>
  <si>
    <t xml:space="preserve">Durante la tanda de penales, un jugador autorizado a participar sufre una lesión que le impide continuar y su equipo ya ha agotado las sustituciones. ¿Qué ocurre con ese lanzador?</t>
  </si>
  <si>
    <t xml:space="preserve">El equipo continuará la tanda sin ese jugador, sin poder reemplazarlo por nadie no autorizado previamente.</t>
  </si>
  <si>
    <t xml:space="preserve">El equipo podrá incorporar a cualquier suplente no utilizado para sustituirlo en la tanda.</t>
  </si>
  <si>
    <t xml:space="preserve">La tanda deberá repetirse desde el principio con los jugadores restantes de ambos equipos.</t>
  </si>
  <si>
    <t xml:space="preserve">Salvo en el caso del guardameta, no podrá sustituirse a ningún jugador lesionado durante la tanda de penales si no dispone ya de sustituciones.</t>
  </si>
  <si>
    <t xml:space="preserve">RJ10-041</t>
  </si>
  <si>
    <t xml:space="preserve">Durante la tanda de penales, un jugador autorizado quiere intercambiar su puesto con el guardameta de su equipo, que no está lesionado. El árbitro...</t>
  </si>
  <si>
    <t xml:space="preserve">Lo permite.</t>
  </si>
  <si>
    <t xml:space="preserve">No lo permite, salvo lesión del guardameta.</t>
  </si>
  <si>
    <t xml:space="preserve">Solo lo permite tras los cinco primeros lanzamientos.</t>
  </si>
  <si>
    <t xml:space="preserve">Regla 10.3: «Cualquiera de los jugadores autorizados para participar en la tanda de penales podrá intercambiar su puesto con el guardameta».</t>
  </si>
  <si>
    <t xml:space="preserve">RJ10-044</t>
  </si>
  <si>
    <t xml:space="preserve">Durante la tanda de penales, ¿puede el árbitro interrumpir temporalmente la tanda por una condición meteorológica adversa?</t>
  </si>
  <si>
    <t xml:space="preserve">Sí, conserva su autoridad para detener o suspender el encuentro, incluida la tanda de penales.</t>
  </si>
  <si>
    <t xml:space="preserve">No, una vez iniciada la tanda de penales no puede interrumpirse por ningún motivo.</t>
  </si>
  <si>
    <t xml:space="preserve">No, solo puede interrumpirse si ambos capitanes lo solicitan de mutuo acuerdo.</t>
  </si>
  <si>
    <t xml:space="preserve">La autoridad del árbitro para detener o suspender el partido se mantiene también durante la tanda de penales.</t>
  </si>
  <si>
    <t xml:space="preserve">RJ10-046</t>
  </si>
  <si>
    <t xml:space="preserve">Al comienzo de la tanda de penales, ¿puede un equipo decidir con cuántos jugadores autorizados participa si tiene menos de los disponibles en el otro equipo?</t>
  </si>
  <si>
    <t xml:space="preserve">Sí, ambos equipos deben igualar su número de jugadores participantes al del equipo con menos disponibles.</t>
  </si>
  <si>
    <t xml:space="preserve">No, cada equipo participa con el número de jugadores que tenga disponible, sin ajuste alguno.</t>
  </si>
  <si>
    <t xml:space="preserve">Sí, pero solo si el árbitro lo autoriza expresamente antes de comenzar.</t>
  </si>
  <si>
    <t xml:space="preserve">Antes de que comience la tanda de penales, ambos equipos deben igualar su número de jugadores disponibles para participar al del equipo que menos tenga.</t>
  </si>
  <si>
    <t xml:space="preserve">RJ10-047</t>
  </si>
  <si>
    <t xml:space="preserve">En la tanda de penales, el balón golpea al árbitro asistente situado en la línea de meta y entra directamente en la portería. El árbitro...</t>
  </si>
  <si>
    <t xml:space="preserve">No concede el gol.</t>
  </si>
  <si>
    <t xml:space="preserve">Regla 9: el balón no está en juego cuando toca a un miembro del equipo arbitral, permanece en el terreno de juego y entra directamente en la portería. El lanzamiento se completa cuando el balón deja de estar en juego, por lo que no es gol.</t>
  </si>
  <si>
    <t xml:space="preserve">RJ10-048</t>
  </si>
  <si>
    <t xml:space="preserve">Tras la prórroga, el árbitro aprecia que una de las porterías presenta un problema de seguridad. ¿Puede tenerlo en cuenta para elegir la portería de la tanda de penales?</t>
  </si>
  <si>
    <t xml:space="preserve">Sí, puede tener en cuenta consideraciones como la seguridad.</t>
  </si>
  <si>
    <t xml:space="preserve">No, debe usarse la portería del segundo periodo de la prórroga.</t>
  </si>
  <si>
    <t xml:space="preserve">No, la portería se decide solo mediante sorteo con moneda.</t>
  </si>
  <si>
    <t xml:space="preserve">El árbitro elegirá la portería para la tanda de penales, salvo que deba tener en cuenta consideraciones prácticas como el estado del terreno o la seguridad.</t>
  </si>
  <si>
    <t xml:space="preserve">RJ10-049</t>
  </si>
  <si>
    <t xml:space="preserve">En la tanda de penales, un jugador que fue amonestado durante el partido comete una infracción sancionable con amonestación. El árbitro...</t>
  </si>
  <si>
    <t xml:space="preserve">Lo amonesta, sin expulsarlo.</t>
  </si>
  <si>
    <t xml:space="preserve">No toma medida disciplinaria.</t>
  </si>
  <si>
    <t xml:space="preserve">Regla 10 (pág. 57): las advertencias y amonestaciones impuestas durante el encuentro no se tendrán en consideración en la tanda de penales.</t>
  </si>
  <si>
    <t xml:space="preserve">RJ10-050</t>
  </si>
  <si>
    <t xml:space="preserve">¿Puede el guardameta titular ser sustituido por lesión justo antes de comenzar la tanda de penales, si el equipo aún dispone de sustituciones?</t>
  </si>
  <si>
    <t xml:space="preserve">Sí, puede realizarse esta sustitución siguiendo el procedimiento habitual antes de que comience la tanda.</t>
  </si>
  <si>
    <t xml:space="preserve">No, una vez finalizado el tiempo suplementario no puede realizarse ninguna sustitución adicional.</t>
  </si>
  <si>
    <t xml:space="preserve">Sí, sin necesidad de seguir el procedimiento habitual de sustitución.</t>
  </si>
  <si>
    <t xml:space="preserve">Antes de que comience la tanda de penales, pueden realizarse las sustituciones que el equipo tenga disponibles, siguiendo el procedimiento habitual.</t>
  </si>
  <si>
    <t xml:space="preserve">RJ10-051</t>
  </si>
  <si>
    <t xml:space="preserve">En la tanda de penales, ¿puede un jugador lanzar golpeando el balón con el tacón?</t>
  </si>
  <si>
    <t xml:space="preserve">Sí, si el balón se mueve hacia delante.</t>
  </si>
  <si>
    <t xml:space="preserve">No, debe golpearse con el interior o el exterior del pie.</t>
  </si>
  <si>
    <t xml:space="preserve">No, el lanzamiento se registraría como fallado.</t>
  </si>
  <si>
    <t xml:space="preserve">No existe una restricción sobre la forma de golpear el balón en un lanzamiento de la tanda de penales, siempre que se cumplan las condiciones generales del tiro penal.</t>
  </si>
  <si>
    <t xml:space="preserve">RJ10-052</t>
  </si>
  <si>
    <t xml:space="preserve">En la tanda de penales, un jugador tarda excesivamente en colocarse para lanzar. El árbitro...</t>
  </si>
  <si>
    <t xml:space="preserve">Puede amonestarlo si el retraso es deliberado.</t>
  </si>
  <si>
    <t xml:space="preserve">Añade un tiempo equivalente al retraso producido.</t>
  </si>
  <si>
    <t xml:space="preserve">Registra el lanzamiento de ese jugador como fallado.</t>
  </si>
  <si>
    <t xml:space="preserve">La tanda de penales no está sujeta a un límite de tiempo como los periodos ordinarios, aunque el árbitro puede sancionar un retraso deliberado como conducta antideportiva.</t>
  </si>
  <si>
    <t xml:space="preserve">RJ10-053</t>
  </si>
  <si>
    <t xml:space="preserve">¿Puede un equipo cambiar el orden de sus lanzadores antes de que comience la tanda de penales?</t>
  </si>
  <si>
    <t xml:space="preserve">Sí, hasta que comience la tanda.</t>
  </si>
  <si>
    <t xml:space="preserve">No, es definitivo una vez comunicado.</t>
  </si>
  <si>
    <t xml:space="preserve">Sí, si el otro equipo también lo cambia.</t>
  </si>
  <si>
    <t xml:space="preserve">El orden de los lanzadores puede ajustarse hasta que comience efectivamente la tanda de penales.</t>
  </si>
  <si>
    <t xml:space="preserve">RJ10-054</t>
  </si>
  <si>
    <t xml:space="preserve">Durante la tanda de penales, el guardameta es expulsado y el equipo no tiene sustituciones disponibles. ¿Puede un jugador de campo ocupar la portería?</t>
  </si>
  <si>
    <t xml:space="preserve">Sí, puede ocuparla un jugador de campo autorizado.</t>
  </si>
  <si>
    <t xml:space="preserve">No, el equipo pierde la tanda de penales.</t>
  </si>
  <si>
    <t xml:space="preserve">No, solo otro guardameta inscrito en el acta.</t>
  </si>
  <si>
    <t xml:space="preserve">Si el guardameta no puede continuar por expulsión y no hay sustituciones disponibles, un jugador de campo puede ocupar su lugar en la portería.</t>
  </si>
  <si>
    <t xml:space="preserve">RJ10-056</t>
  </si>
  <si>
    <t xml:space="preserve">En la tanda de penales, el balón se vuelve defectuoso mientras se mueve hacia delante, antes de tocar al guardameta, los postes o el travesaño. El árbitro...</t>
  </si>
  <si>
    <t xml:space="preserve">Reanuda con un balón a tierra.</t>
  </si>
  <si>
    <t xml:space="preserve">Regla 2.2: «Si el balón, mientras se mueve hacia adelante, quedara defectuoso antes de llegar a tocar a un jugador, el travesaño o los postes durante la ejecución de un penal o de la tanda de penales, se volverá a ejecutar dicho lanzamiento».</t>
  </si>
  <si>
    <t xml:space="preserve">RJ10-057</t>
  </si>
  <si>
    <t xml:space="preserve">Terminada la tanda de penales, se detecta que un equipo hizo lanzar a un jugador no autorizado. ¿Qué ocurre?</t>
  </si>
  <si>
    <t xml:space="preserve">Lo resolverán los órganos competentes según el reglamento de la competición.</t>
  </si>
  <si>
    <t xml:space="preserve">Nada, una vez terminada la tanda de penales no puede tener consecuencias.</t>
  </si>
  <si>
    <t xml:space="preserve">El árbitro ordena repetir la tanda de penales completa en ese momento.</t>
  </si>
  <si>
    <t xml:space="preserve">Las consecuencias de irregularidades detectadas tras la finalización del partido corresponden, con carácter general, a los órganos competentes conforme al reglamento de la competición.</t>
  </si>
  <si>
    <t xml:space="preserve">RJ10-058</t>
  </si>
  <si>
    <t xml:space="preserve">Un equipo termina el partido con menos jugadores que su adversario. En la tanda de penales, ¿cómo se procede?</t>
  </si>
  <si>
    <t xml:space="preserve">Antes de empezar la tanda, ambos equipos igualan su número de jugadores al del que menos tenga.</t>
  </si>
  <si>
    <t xml:space="preserve">Cada equipo lanza con todos sus jugadores y el que tiene menos repite lanzadores antes.</t>
  </si>
  <si>
    <t xml:space="preserve">Se declara ganador al equipo que tiene más jugadores, sin necesidad de lanzar la tanda.</t>
  </si>
  <si>
    <t xml:space="preserve">Antes de que comience la tanda de penales, ambos equipos deben igualar su número de jugadores disponibles para participar al del equipo con menos disponibles, por lo que esta situación queda resuelta desde el inicio de la tanda.</t>
  </si>
  <si>
    <t xml:space="preserve">RJ10-059</t>
  </si>
  <si>
    <t xml:space="preserve">Durante la tanda de penales, un jugador ejecuta su lanzamiento y el balón, tras ser detenido por el guardameta, rebota hacia el propio lanzador, que lo remata de nuevo a gol sin que nadie más lo haya tocado. ¿Es válido el gol?</t>
  </si>
  <si>
    <t xml:space="preserve">No, el lanzador no puede volver a jugar el balón hasta que lo haga otro jugador; se registra el lanzamiento como fallado.</t>
  </si>
  <si>
    <t xml:space="preserve">Sí, el gol es válido, al no existir restricción sobre volver a tocar el balón tras el rechace del guardameta en la tanda de penales.</t>
  </si>
  <si>
    <t xml:space="preserve">Sí, si el rechace se produjo de forma completamente involuntaria por parte del guardameta.</t>
  </si>
  <si>
    <t xml:space="preserve">En un lanzamiento de la tanda de penales (como en un tiro penal), el ejecutor no puede volver a jugar el balón hasta que lo haga otro jugador; hacerlo antes hace que el lanzamiento se registre como fallado.</t>
  </si>
  <si>
    <t xml:space="preserve">RJ10-060</t>
  </si>
  <si>
    <t xml:space="preserve">Al finalizar el tiempo suplementario, un equipo tiene 9 jugadores en el terreno de juego y el otro 11. Antes de la tanda de penales, ¿a cuántos jugadores debe reducir su número el equipo con 11?</t>
  </si>
  <si>
    <t xml:space="preserve">A 9 jugadores, igualando su número de participantes al del equipo que menos jugadores tenga disponibles.</t>
  </si>
  <si>
    <t xml:space="preserve">A 10 jugadores, como término medio entre ambos equipos.</t>
  </si>
  <si>
    <t xml:space="preserve">No es necesario reducir ningún número, cada equipo participa con los jugadores que tenga disponibles.</t>
  </si>
  <si>
    <t xml:space="preserve">Antes de que comience la tanda de penales, el equipo con más jugadores debe igualar su número de participantes al del equipo que disponga de menos, en este caso reduciéndolo a 9.</t>
  </si>
  <si>
    <t xml:space="preserve">RJ10-061</t>
  </si>
  <si>
    <t xml:space="preserve">En la tanda de penales, un compañero del guardameta entra en el área antes del lanzamiento e influye claramente en el lanzador, que falla. El árbitro...</t>
  </si>
  <si>
    <t xml:space="preserve">Si un compañero del guardameta invade el área antes del lanzamiento e influye claramente en el ejecutor, haciendo que este falle, el lanzamiento deberá repetirse, aplicando el mismo criterio que en un tiro penal durante el tiempo reglamentario.</t>
  </si>
  <si>
    <t xml:space="preserve">RJ10-064</t>
  </si>
  <si>
    <t xml:space="preserve">Durante la tanda de penales, tras marcar un gol, un jugador celebra de forma exaltada dirigiéndose de manera provocadora hacia el banquillo rival, sin llegar a faltar el respeto. ¿Puede el árbitro amonestarlo por esta conducta durante la tanda de penales?</t>
  </si>
  <si>
    <t xml:space="preserve">Sí, la autoridad disciplinaria del árbitro se mantiene durante la tanda de penales igual que durante el resto del partido.</t>
  </si>
  <si>
    <t xml:space="preserve">No, durante la tanda de penales el árbitro pierde la facultad de amonestar por conductas de celebración.</t>
  </si>
  <si>
    <t xml:space="preserve">Sí, pero únicamente puede advertirle verbalmente, sin poder mostrarle la tarjeta amarilla en esta fase.</t>
  </si>
  <si>
    <t xml:space="preserve">La autoridad disciplinaria del árbitro se mantiene durante toda la tanda de penales, pudiendo amonestar o expulsar por las mismas conductas que durante el resto del partido.</t>
  </si>
  <si>
    <t xml:space="preserve">RJ11-001</t>
  </si>
  <si>
    <t xml:space="preserve">Regla 11</t>
  </si>
  <si>
    <t xml:space="preserve">En la disputa de un balón aéreo, un defensor cae accidentalmente fuera del terreno de juego junto a la portería. Un atacante remata el rechace y otro atacante, situado delante del guardameta, le tapa la visión; el balón entra en la portería. ¿Debe anularse el gol por fuera de juego?</t>
  </si>
  <si>
    <t xml:space="preserve">Sí, porque el atacante situado delante del guardameta le tapa la visión desde posición de fuera de juego.</t>
  </si>
  <si>
    <t xml:space="preserve">No: el defensor cuenta como situado en la línea de meta y el atacante no está en posición de fuera de juego.</t>
  </si>
  <si>
    <t xml:space="preserve">Sí, porque el defensor que está fuera del terreno de juego deja de contar a efectos del fuera de juego.</t>
  </si>
  <si>
    <t xml:space="preserve">A efectos del fuera de juego, el defensor que sale del terreno de juego se considera situado en la línea de meta o de banda. El atacante situado delante del guardameta no está más cerca de la línea de meta que el balón y los dos últimos adversarios (guardameta y defensor), así que no está en posición de fuera de juego y no puede cometer infracción por interferir: el gol es válido.</t>
  </si>
  <si>
    <t xml:space="preserve">RJ11-002</t>
  </si>
  <si>
    <t xml:space="preserve">Un jugador en posición de fuera de juego y un compañero que no lo está corren ambos hacia el balón; finalmente juega el balón el compañero que no estaba en posición antirreglamentaria. ¿Qué decisión toma el árbitro?</t>
  </si>
  <si>
    <t xml:space="preserve">Interrumpe el juego y concede tiro libre indirecto donde se jugó el balón.</t>
  </si>
  <si>
    <t xml:space="preserve">Interrumpe el juego y concede tiro libre indirecto por la posición de fuera de juego del otro jugador.</t>
  </si>
  <si>
    <t xml:space="preserve">Deja que el juego continúe, salvo que el jugador en posición de fuera de juego interfiera con un adversario.</t>
  </si>
  <si>
    <t xml:space="preserve">Estar en posición de fuera de juego no constituye infracción por sí sola; solo se sanciona si el jugador interviene interfiriendo en el juego, en un adversario o obtiene ventaja de esa posición.</t>
  </si>
  <si>
    <t xml:space="preserve">RJ11-003</t>
  </si>
  <si>
    <t xml:space="preserve">Cuando el guardameta lanza el balón con las manos, ¿qué se tiene en cuenta para determinar el fuera de juego?</t>
  </si>
  <si>
    <t xml:space="preserve">El primer punto de contacto al 'jugar' o 'tocar' el balón.</t>
  </si>
  <si>
    <t xml:space="preserve">El último punto de contacto en el momento de lanzarlo con la mano.</t>
  </si>
  <si>
    <t xml:space="preserve">El primer o último contacto, según cada situación concreta.</t>
  </si>
  <si>
    <t xml:space="preserve">Cuando el guardameta lanza el balón con la mano, para el fuera de juego se toma en cuenta el último punto de contacto del guardameta con el balón.</t>
  </si>
  <si>
    <t xml:space="preserve">RJ11-004</t>
  </si>
  <si>
    <t xml:space="preserve">Con el balón por detrás de él, un atacante está a la misma altura que el guardameta, que es el último defensor. ¿Está en posición de fuera de juego?</t>
  </si>
  <si>
    <t xml:space="preserve">No, porque está a la altura del último adversario.</t>
  </si>
  <si>
    <t xml:space="preserve">Solo si el guardameta está fuera de su área.</t>
  </si>
  <si>
    <t xml:space="preserve">Regla 11 (pág. 59): está en posición de fuera de juego quien está más cerca de la línea de meta contraria que el balón y el penúltimo adversario. Solo se libra quien está a la altura del penúltimo adversario o de los dos últimos. Si el guardameta es el último, el penúltimo está más adelantado.</t>
  </si>
  <si>
    <t xml:space="preserve">RJ11-005</t>
  </si>
  <si>
    <t xml:space="preserve">Un jugador se encuentra en posición de fuera de juego pero no interviene en el juego de ningún modo, ni interfiere a un adversario ni obtiene ventaja de dicha posición. ¿Debe sancionarse?</t>
  </si>
  <si>
    <t xml:space="preserve">No, la posición de fuera de juego no es sancionable por sí sola si no interviene activamente.</t>
  </si>
  <si>
    <t xml:space="preserve">Sí, si está en posición de fuera de juego cuando el balón sea jugado por un compañero.</t>
  </si>
  <si>
    <t xml:space="preserve">Sí, si se encuentra en el área penal contraria.</t>
  </si>
  <si>
    <t xml:space="preserve">Estar en posición de fuera de juego no constituye infracción en sí misma; se exige intervención activa (jugar el balón, interferir a un adversario u obtener ventaja) para sancionarla.</t>
  </si>
  <si>
    <t xml:space="preserve">RJ11-008</t>
  </si>
  <si>
    <t xml:space="preserve">Estar en posición de fuera de juego:</t>
  </si>
  <si>
    <t xml:space="preserve">No constituye infracción por sí mismo.</t>
  </si>
  <si>
    <t xml:space="preserve">Constituye infracción por sí mismo.</t>
  </si>
  <si>
    <t xml:space="preserve">Solo es infracción en el campo contrario.</t>
  </si>
  <si>
    <t xml:space="preserve">El hecho de estar en posición de fuera de juego no constituye infracción por sí mismo.</t>
  </si>
  <si>
    <t xml:space="preserve">Regla 11.1</t>
  </si>
  <si>
    <t xml:space="preserve">RJ11-009</t>
  </si>
  <si>
    <t xml:space="preserve">¿Qué dos condiciones deben cumplirse para que un jugador se encuentre en posición de fuera de juego?</t>
  </si>
  <si>
    <t xml:space="preserve">Que su cabeza, tronco o pierna estén en la mitad de campo contraria y más cerca de la línea de meta rival que el balón y el penúltimo adversario.</t>
  </si>
  <si>
    <t xml:space="preserve">Que su cabeza, tronco o pierna estén en cualquier parte del terreno de juego y más cerca de la línea de meta rival que el balón y el penúltimo adversario.</t>
  </si>
  <si>
    <t xml:space="preserve">Que su cabeza, tronco, pierna o brazo estén en la mitad de campo contraria y más cerca de la línea de meta rival que el balón y el penúltimo adversario.</t>
  </si>
  <si>
    <t xml:space="preserve">Un jugador está en posición de fuera de juego cuando su cabeza, tronco o pierna se encuentran en la mitad del campo contraria y más cerca de la línea de meta rival que el balón y el penúltimo adversario.</t>
  </si>
  <si>
    <t xml:space="preserve">RJ11-010</t>
  </si>
  <si>
    <t xml:space="preserve">¿Se tienen en cuenta las manos o los brazos de los jugadores para determinar la posición de fuera de juego?</t>
  </si>
  <si>
    <t xml:space="preserve">No, no se tendrán en consideración las manos ni los brazos, tampoco en el caso de los guardametas.</t>
  </si>
  <si>
    <t xml:space="preserve">Se tienen en cuenta los brazos, pero no las manos, de los jugadores de campo, excluyendo a los guardametas.</t>
  </si>
  <si>
    <t xml:space="preserve">Sí, se tienen en cuenta tanto las manos como los brazos de todos los jugadores, incluidos los guardametas.</t>
  </si>
  <si>
    <t xml:space="preserve">A la hora de determinar si un jugador está en posición de fuera de juego, no se tendrán en consideración las manos ni los brazos de los jugadores, tampoco en el caso de los guardametas.</t>
  </si>
  <si>
    <t xml:space="preserve">RJ11-012</t>
  </si>
  <si>
    <t xml:space="preserve">Un atacante se encuentra a la misma altura que el penúltimo adversario. ¿Está en posición de fuera de juego?</t>
  </si>
  <si>
    <t xml:space="preserve">Sí, si está por delante del balón.</t>
  </si>
  <si>
    <t xml:space="preserve">Depende de su distancia a la línea de banda.</t>
  </si>
  <si>
    <t xml:space="preserve">No estará en fuera de juego aquel jugador que se encuentre a la misma altura que el penúltimo adversario o que los dos últimos adversarios.</t>
  </si>
  <si>
    <t xml:space="preserve">RJ11-013</t>
  </si>
  <si>
    <t xml:space="preserve">¿En qué momento se sanciona a un jugador que se encuentra en posición de fuera de juego?</t>
  </si>
  <si>
    <t xml:space="preserve">En el momento en que el jugador toca físicamente el balón, con independencia de cuándo se lo hubiera jugado un compañero.</t>
  </si>
  <si>
    <t xml:space="preserve">En el momento en que el balón toca o es jugado por un compañero de equipo, siempre que participe de forma activa en el juego.</t>
  </si>
  <si>
    <t xml:space="preserve">En el momento en que el árbitro asistente levanta el banderín, aunque el balón aún no haya sido jugado por ningún compañero.</t>
  </si>
  <si>
    <t xml:space="preserve">Únicamente se sancionará a un jugador en posición de fuera de juego en el momento en que el balón toca o es jugado por un compañero, si llega a participar en el juego de forma activa.</t>
  </si>
  <si>
    <t xml:space="preserve">Regla 11.2</t>
  </si>
  <si>
    <t xml:space="preserve">RJ11-014</t>
  </si>
  <si>
    <t xml:space="preserve">¿Cuál de las siguientes NO es una de las formas en que un jugador en posición de fuera de juego participa de forma activa en el juego?</t>
  </si>
  <si>
    <t xml:space="preserve">Impedir que un adversario juegue el balón, al obstruir claramente su campo visual.</t>
  </si>
  <si>
    <t xml:space="preserve">Permanecer estático y alejado del balón, sin intervenir de ninguna manera en la jugada en curso.</t>
  </si>
  <si>
    <t xml:space="preserve">Interferir en el juego, al jugar o tocar un balón pasado o tocado por un compañero.</t>
  </si>
  <si>
    <t xml:space="preserve">Un jugador en posición de fuera de juego participa activamente cuando interfiere en el juego, impide que el adversario juegue el balón o le disputa el balón, entre otras acciones; permanecer estático sin intervenir no constituye participación activa.</t>
  </si>
  <si>
    <t xml:space="preserve">RJ11-018</t>
  </si>
  <si>
    <t xml:space="preserve">Un jugador en posición de fuera de juego recibe el balón de un adversario que lo ha jugado voluntariamente. ¿Ha sacado ventaja de su posición?</t>
  </si>
  <si>
    <t xml:space="preserve">No, salvo que el adversario haya realizado una «salvada».</t>
  </si>
  <si>
    <t xml:space="preserve">Sí, si estaba claramente adelantado respecto del penúltimo defensor.</t>
  </si>
  <si>
    <t xml:space="preserve">Sí, aunque el adversario lo haya jugado de forma voluntaria.</t>
  </si>
  <si>
    <t xml:space="preserve">Se considerará que un jugador en posición de fuera de juego no ha sacado ventaja cuando reciba el balón de un adversario que lo juega voluntariamente, incluida la mano voluntaria, a menos que se trate de una «salvada».</t>
  </si>
  <si>
    <t xml:space="preserve">RJ11-019</t>
  </si>
  <si>
    <t xml:space="preserve">A efectos del fuera de juego, una «salvada» es:</t>
  </si>
  <si>
    <t xml:space="preserve">Cualquier parada que realice el guardameta con las manos dentro de su propia área penal, sea cual sea la trayectoria del balón.</t>
  </si>
  <si>
    <t xml:space="preserve">Detener o desviar (o intentarlo) un balón que va hacia la portería o muy cerca de ella, sin usar manos ni brazos (salvo el guardameta en su área).</t>
  </si>
  <si>
    <t xml:space="preserve">Cualquier despeje que realice un defensor dentro de su propia área penal, con independencia de la dirección que tome el balón.</t>
  </si>
  <si>
    <t xml:space="preserve">Una «salvada» es una acción de un jugador cuyo fin es detener o desviar el balón, o intentarlo, cuando va en dirección a la portería o muy cerca de ella, con cualquier parte del cuerpo salvo las manos o los brazos, a menos que sea el guardameta en su propia área.</t>
  </si>
  <si>
    <t xml:space="preserve">RJ11-020</t>
  </si>
  <si>
    <t xml:space="preserve">¿Qué implica que un jugador juegue «voluntariamente» el balón, a efectos de la Regla 11?</t>
  </si>
  <si>
    <t xml:space="preserve">Que el balón proceda de un compañero de equipo, sin que sea posible jugar voluntariamente un balón de un adversario.</t>
  </si>
  <si>
    <t xml:space="preserve">Que el balón le llegue a gran velocidad y logre tocarlo, con independencia de si consigue controlarlo.</t>
  </si>
  <si>
    <t xml:space="preserve">Que tenga la posibilidad de controlarlo y pase a un compañero, recupere la posesión, o despeje con el pie o de cabeza.</t>
  </si>
  <si>
    <t xml:space="preserve">Jugar «voluntariamente» el balón implica que el jugador tiene la posibilidad de controlarlo y pasa a un compañero, recupera la posesión, o despeja con el pie o de cabeza.</t>
  </si>
  <si>
    <t xml:space="preserve">RJ11-021</t>
  </si>
  <si>
    <t xml:space="preserve">Un defensor juega voluntariamente el balón para despejarlo, pero el despeje es impreciso y llega a un atacante en posición de fuera de juego. A efectos del fuera de juego, ¿sigue considerándose una acción voluntaria del defensor?</t>
  </si>
  <si>
    <t xml:space="preserve">Sí, la imprecisión del despeje no invalida la voluntariedad.</t>
  </si>
  <si>
    <t xml:space="preserve">No, al ser impreciso deja de considerarse voluntario.</t>
  </si>
  <si>
    <t xml:space="preserve">Solo si el defensor estaba dentro de su propia área.</t>
  </si>
  <si>
    <t xml:space="preserve">El hecho de que el pase, el intento de recuperar la posesión o el despeje del jugador sea impreciso o no logre su objetivo no invalida la voluntariedad de la acción.</t>
  </si>
  <si>
    <t xml:space="preserve">RJ11-022</t>
  </si>
  <si>
    <t xml:space="preserve">¿Cuál de los siguientes NO es uno de los criterios empleados para valorar si un jugador tiene la posibilidad de controlar el balón y, por tanto, actúa de forma «voluntaria»?</t>
  </si>
  <si>
    <t xml:space="preserve">Que el jugador tenga tiempo para coordinar sus movimientos, sin recurrir a una acción instintiva.</t>
  </si>
  <si>
    <t xml:space="preserve">Que el balón llegue desde lejos y el jugador lo vea claramente.</t>
  </si>
  <si>
    <t xml:space="preserve">Que el balón se mueva a gran velocidad, dificultando cualquier previsión de su trayectoria.</t>
  </si>
  <si>
    <t xml:space="preserve">Entre los criterios para valorar la voluntariedad se incluyen que el balón llegue desde lejos y se vea claramente, que no se mueva a gran velocidad, que se pueda prever su trayectoria y que el jugador tenga tiempo para coordinar sus movimientos; que el balón se mueva a gran velocidad no facilita la voluntariedad, sino lo contrario.</t>
  </si>
  <si>
    <t xml:space="preserve">RJ11-023</t>
  </si>
  <si>
    <t xml:space="preserve">¿Existe infracción por fuera de juego si un jugador recibe el balón directamente de un saque de meta, de banda o de esquina?</t>
  </si>
  <si>
    <t xml:space="preserve">No, en ninguno de los tres casos.</t>
  </si>
  <si>
    <t xml:space="preserve">Solo en el saque de esquina.</t>
  </si>
  <si>
    <t xml:space="preserve">Solo en el saque de meta.</t>
  </si>
  <si>
    <t xml:space="preserve">No existe infracción por fuera de juego cuando un jugador recibe el balón directamente de un saque de meta, de un saque de banda o de un saque de esquina: son las tres excepciones previstas por la Regla 11.</t>
  </si>
  <si>
    <t xml:space="preserve">Regla 11.3</t>
  </si>
  <si>
    <t xml:space="preserve">RJ11-026</t>
  </si>
  <si>
    <t xml:space="preserve">Un jugador que se encuentra en posición de fuera de juego se sitúa en la trayectoria de un adversario e interfiere en el movimiento de este hacia el balón, afectando a su capacidad de disputarlo. ¿Cómo debe sancionarse?</t>
  </si>
  <si>
    <t xml:space="preserve">Se considerará infracción por fuera de juego, al interferir en el movimiento del adversario hacia el balón.</t>
  </si>
  <si>
    <t xml:space="preserve">Se sancionará como falta conforme a la Regla 12, al tratarse de una obstrucción física y no de fuera de juego.</t>
  </si>
  <si>
    <t xml:space="preserve">No se sancionará ninguna infracción, ya que el jugador no llegó a tocar el balón.</t>
  </si>
  <si>
    <t xml:space="preserve">Si un jugador que sale de una posición de fuera de juego, o que se encuentra en dicha posición, interfiere en el movimiento de un adversario hacia el balón y afecta a su capacidad de jugarlo o disputarlo, se considerará infracción por fuera de juego.</t>
  </si>
  <si>
    <t xml:space="preserve">RJ11-027</t>
  </si>
  <si>
    <t xml:space="preserve">Un jugador en posición de fuera de juego se coloca en la trayectoria de un adversario e impide su avance, por ejemplo obstaculizándole el paso, sin que ello afecte a su capacidad de jugar el balón. ¿Cómo se sanciona esta acción?</t>
  </si>
  <si>
    <t xml:space="preserve">Deberá penalizarse la infracción en virtud de la Regla 12, no como fuera de juego.</t>
  </si>
  <si>
    <t xml:space="preserve">Se sancionará como infracción por fuera de juego, con independencia de si afecta o no a la disputa del balón.</t>
  </si>
  <si>
    <t xml:space="preserve">No se sancionará ninguna infracción, al no tratarse de una interferencia directa sobre el balón.</t>
  </si>
  <si>
    <t xml:space="preserve">Si el jugador se coloca en la trayectoria de un adversario e impide su avance, por ejemplo obstaculizándole el paso, sin afectar a su capacidad de jugar o disputar el balón, deberá penalizarse la infracción en virtud de la Regla 12.</t>
  </si>
  <si>
    <t xml:space="preserve">RJ11-028</t>
  </si>
  <si>
    <t xml:space="preserve">Un jugador en posición de fuera de juego se desplaza hacia el balón con intención de jugarlo y, antes de tocarlo o disputárselo a un adversario, es objeto de una falta. ¿Qué infracción debe sancionar el árbitro?</t>
  </si>
  <si>
    <t xml:space="preserve">La infracción por fuera de juego, al encontrarse el jugador en dicha posición en el momento de la falta.</t>
  </si>
  <si>
    <t xml:space="preserve">La falta cometida contra él, por haberse producido antes de la infracción por fuera de juego.</t>
  </si>
  <si>
    <t xml:space="preserve">Ninguna de las dos infracciones, al anularse mutuamente por haberse producido de forma casi simultánea.</t>
  </si>
  <si>
    <t xml:space="preserve">Si un jugador en posición de fuera de juego se desplaza hacia el balón con intención de jugarlo y es objeto de una falta antes de jugarlo o disputárselo, se penalizará dicha falta por haberse cometido antes de la infracción por fuera de juego.</t>
  </si>
  <si>
    <t xml:space="preserve">RJ11-029</t>
  </si>
  <si>
    <t xml:space="preserve">Se comete una infracción contra un jugador en posición de fuera de juego que ya está jugando o intentando jugar el balón, o disputándoselo a un adversario. ¿Qué infracción debe sancionar el árbitro?</t>
  </si>
  <si>
    <t xml:space="preserve">La falta cometida contra el jugador, al tratarse de la acción más grave e inmediatamente perceptible.</t>
  </si>
  <si>
    <t xml:space="preserve">Ambas infracciones simultáneamente, concediendo doble sanción disciplinaria al equipo defensor.</t>
  </si>
  <si>
    <t xml:space="preserve">La infracción por fuera de juego, por ser previa a la falta cometida sobre el jugador.</t>
  </si>
  <si>
    <t xml:space="preserve">Si se comete una infracción contra un jugador en posición de fuera de juego que ya está jugando o intentando jugar el balón, o disputándoselo a un adversario, se penalizará la infracción por fuera de juego por ser previa a la falta.</t>
  </si>
  <si>
    <t xml:space="preserve">RJ11-030</t>
  </si>
  <si>
    <t xml:space="preserve">Un jugador está en posición de fuera de juego cuando su compañero le pasa el balón y recibe, interfiriendo así en el juego. ¿Dónde se ejecuta el tiro libre indirecto?</t>
  </si>
  <si>
    <t xml:space="preserve">En el punto medio entre el pasador y el jugador en fuera de juego.</t>
  </si>
  <si>
    <t xml:space="preserve">En el lugar donde se produjo la infracción por fuera de juego.</t>
  </si>
  <si>
    <t xml:space="preserve">En el lugar donde estaba el pasador en el momento del pase.</t>
  </si>
  <si>
    <t xml:space="preserve">El árbitro concede libre indirecto en el lugar donde se produjo la infracción por fuera de juego.</t>
  </si>
  <si>
    <t xml:space="preserve">Regla 11.4 / Infracciones y sanciones</t>
  </si>
  <si>
    <t xml:space="preserve">RJ11-031</t>
  </si>
  <si>
    <t xml:space="preserve">¿Dónde se ejecuta el libre indirecto por infracción de fuera de juego si el jugador infractor participó en el juego desde su propio campo?</t>
  </si>
  <si>
    <t xml:space="preserve">En el lugar donde se produjo la infracción, incluso si el infractor estaba en su propio campo.</t>
  </si>
  <si>
    <t xml:space="preserve">En el lugar donde estaba el balón en el momento del pase, aunque el infractor estuviera en su campo.</t>
  </si>
  <si>
    <t xml:space="preserve">En el centro del campo, por estar el infractor en su propio campo.</t>
  </si>
  <si>
    <t xml:space="preserve">El libre indirecto se concede en el lugar donde se produjo la infracción, incluso si el infractor se encontraba en su propio campo.</t>
  </si>
  <si>
    <t xml:space="preserve">RJ11-032</t>
  </si>
  <si>
    <t xml:space="preserve">Un jugador que se encuentra exactamente sobre la línea central recibe un pase en profundidad de un compañero, con el penúltimo adversario en su propio campo. ¿Está en posición de fuera de juego?</t>
  </si>
  <si>
    <t xml:space="preserve">Sí, porque la línea central pertenece a la mitad del terreno de juego del adversario.</t>
  </si>
  <si>
    <t xml:space="preserve">Sí, si el balón está más cerca de la línea de meta contraria que él.</t>
  </si>
  <si>
    <t xml:space="preserve">No, porque la línea central se excluye de la mitad del terreno de juego del adversario.</t>
  </si>
  <si>
    <t xml:space="preserve">La posición de fuera de juego exige estar en la mitad del terreno del adversario, excluyendo la línea central.</t>
  </si>
  <si>
    <t xml:space="preserve">Regla 11.1 / Posición de fuera de juego</t>
  </si>
  <si>
    <t xml:space="preserve">RJ11-033</t>
  </si>
  <si>
    <t xml:space="preserve">Un atacante tiene el brazo extendido por delante del último defensor en el momento del pase, pero su cabeza, tronco y piernas están detrás. ¿Está en posición de fuera de juego?</t>
  </si>
  <si>
    <t xml:space="preserve">No, porque no se tienen en cuenta las manos ni los brazos.</t>
  </si>
  <si>
    <t xml:space="preserve">Sí, si el brazo supera el punto inferior de la axila.</t>
  </si>
  <si>
    <t xml:space="preserve">Sí, porque el brazo se considera parte del cuerpo para este cálculo.</t>
  </si>
  <si>
    <t xml:space="preserve">No se tienen en cuenta manos ni brazos para determinar la posición de fuera de juego.</t>
  </si>
  <si>
    <t xml:space="preserve">RJ11-034</t>
  </si>
  <si>
    <t xml:space="preserve">Un atacante adelanta el pie unos centímetros respecto al penúltimo defensor en el momento del pase, con el resto de su cuerpo por detrás de este y el balón detrás de él. ¿Está en posición de fuera de juego?</t>
  </si>
  <si>
    <t xml:space="preserve">Sí, porque el pie forma parte de la pierna y se encuentra más cerca de la línea de meta contraria.</t>
  </si>
  <si>
    <t xml:space="preserve">No, porque cuentan la cabeza y el tronco del jugador a efectos de determinar la posición de fuera de juego.</t>
  </si>
  <si>
    <t xml:space="preserve">No, porque el pie no se tiene en cuenta si el jugador no llega a jugar el balón con él.</t>
  </si>
  <si>
    <t xml:space="preserve">Cuentan la cabeza, el tronco o la pierna (pie incluido), total o parcialmente.</t>
  </si>
  <si>
    <t xml:space="preserve">RJ11-035</t>
  </si>
  <si>
    <t xml:space="preserve">Un atacante está a la misma altura que los dos últimos adversarios en el momento del pase. ¿Está en posición de fuera de juego?</t>
  </si>
  <si>
    <t xml:space="preserve">No, porque está a la misma altura que los dos últimos adversarios.</t>
  </si>
  <si>
    <t xml:space="preserve">Sí, porque no supera a ninguno de los dos defensores.</t>
  </si>
  <si>
    <t xml:space="preserve">Sí, si el balón está más cerca de la línea de meta que él.</t>
  </si>
  <si>
    <t xml:space="preserve">No estará en fuera de juego quien se encuentre a la misma altura que el penúltimo adversario o los dos últimos adversarios.</t>
  </si>
  <si>
    <t xml:space="preserve">RJ11-036</t>
  </si>
  <si>
    <t xml:space="preserve">Un defensor sale del terreno de juego sin permiso del árbitro mientras el juego continúa. A efectos del fuera de juego, ese defensor se considera:</t>
  </si>
  <si>
    <t xml:space="preserve">En la línea de meta o de banda hasta la siguiente detención o hasta que su equipo juegue el balón hacia la línea central y fuera de su área.</t>
  </si>
  <si>
    <t xml:space="preserve">En el punto de la línea por el que salió, durante el resto de la jugada, aunque su equipo juegue el balón hacia la línea central.</t>
  </si>
  <si>
    <t xml:space="preserve">Como si no estuviera en el terreno de juego, por lo que no cuenta para valorar la posición de fuera de juego de los atacantes.</t>
  </si>
  <si>
    <t xml:space="preserve">A efectos del fuera de juego, el defensor que sale sin autorización se considera en la línea de meta o banda hasta que se detenga el juego o se cumpla la condición de la Regla.</t>
  </si>
  <si>
    <t xml:space="preserve">RJ11-037</t>
  </si>
  <si>
    <t xml:space="preserve">Un defensor abandona premeditadamente el terreno de juego para dejar en fuera de juego a un atacante. ¿Qué medida adopta el árbitro?</t>
  </si>
  <si>
    <t xml:space="preserve">Lo amonesta en cuanto el balón deje de estar en juego.</t>
  </si>
  <si>
    <t xml:space="preserve">No adopta medida disciplinaria, al haber salido por la línea de banda.</t>
  </si>
  <si>
    <t xml:space="preserve">Lo expulsa en cuanto el balón deje de estar en juego.</t>
  </si>
  <si>
    <t xml:space="preserve">Si el defensor ha abandonado premeditadamente el terreno, deberá ser amonestado en cuanto el balón deje de estar en juego.</t>
  </si>
  <si>
    <t xml:space="preserve">RJ11-038</t>
  </si>
  <si>
    <t xml:space="preserve">Un atacante sale del terreno de juego para no participar y vuelve a entrar por la línea de meta, interviniendo en la jugada antes de que el juego se detenga y sin que el equipo defensor haya jugado el balón hacia la línea central. A efectos del fuera de juego, se le considera:</t>
  </si>
  <si>
    <t xml:space="preserve">Fuera de toda posición de fuera de juego.</t>
  </si>
  <si>
    <t xml:space="preserve">Situado en la línea de meta.</t>
  </si>
  <si>
    <t xml:space="preserve">En posición de fuera de juego.</t>
  </si>
  <si>
    <t xml:space="preserve">Si vuelve a entrar por la línea de meta y participa antes de detenerse el juego o de que el defensor juegue el balón hacia la línea central, se le considera en la línea de meta.</t>
  </si>
  <si>
    <t xml:space="preserve">RJ11-039</t>
  </si>
  <si>
    <t xml:space="preserve">Un atacante sale deliberadamente del terreno de juego, vuelve a entrar sin autorización del árbitro, no es sancionado por fuera de juego y obtiene una ventaja con ello. ¿Qué medida toma el árbitro?</t>
  </si>
  <si>
    <t xml:space="preserve">Lo amonesta, por abandonar deliberadamente el terreno de juego y volver a entrar sin autorización del árbitro.</t>
  </si>
  <si>
    <t xml:space="preserve">Lo expulsa, por abandonar deliberadamente el terreno de juego y volver a entrar sin autorización del árbitro.</t>
  </si>
  <si>
    <t xml:space="preserve">No adopta medida disciplinaria, porque no ha sido sancionado por fuera de juego.</t>
  </si>
  <si>
    <t xml:space="preserve">Se amonesta al jugador que salga premeditadamente, vuelva a entrar sin autorización, no sea sancionado por fuera de juego y obtenga ventaja.</t>
  </si>
  <si>
    <t xml:space="preserve">RJ11-040</t>
  </si>
  <si>
    <t xml:space="preserve">Un atacante permanece inmóvil entre los postes, dentro de la portería, cuando el balón entra en ella, sin interferir en el guardameta ni cometer otra infracción. El árbitro...</t>
  </si>
  <si>
    <t xml:space="preserve">Si un atacante permanece inmóvil entre los postes y dentro de la portería cuando entra el balón, se concede gol salvo infracción por fuera de juego o de la Regla 12.</t>
  </si>
  <si>
    <t xml:space="preserve">RJ11-042</t>
  </si>
  <si>
    <t xml:space="preserve">Un atacante en posición de fuera de juego disputa el balón a un adversario, saca ventaja de un rebote, tapa la visión del guardameta o recibe el balón tras una salvada. En todos estos casos, el árbitro...</t>
  </si>
  <si>
    <t xml:space="preserve">Sanciona el fuera de juego con tiro libre indirecto.</t>
  </si>
  <si>
    <t xml:space="preserve">Solo sanciona si tapa la visión del guardameta.</t>
  </si>
  <si>
    <t xml:space="preserve">Solo sanciona si el atacante llega a marcar gol.</t>
  </si>
  <si>
    <t xml:space="preserve">Todas estas son formas reconocidas de participación activa en el juego desde una posición de fuera de juego (disputar el balón, sacar ventaja de un rebote o desvío, interferir con un adversario mediante obstrucción visual o impacto físico, o beneficiarse de una salvada), y se sancionan igual: fuera de juego, con tiro libre indirecto.</t>
  </si>
  <si>
    <t xml:space="preserve">Regla 11.2 / Infracción por fuera de juego</t>
  </si>
  <si>
    <t xml:space="preserve">RJ11-045</t>
  </si>
  <si>
    <t xml:space="preserve">Un atacante en posición de fuera de juego recibe el balón de un defensor que lo ha tocado deliberadamente con la mano. El árbitro...</t>
  </si>
  <si>
    <t xml:space="preserve">Sanciona la mano del defensor.</t>
  </si>
  <si>
    <t xml:space="preserve">Sanciona el fuera de juego.</t>
  </si>
  <si>
    <t xml:space="preserve">Un jugador en fuera de juego no ha sacado ventaja cuando recibe el balón de un adversario que juega voluntariamente el balón, incluida la mano voluntaria.</t>
  </si>
  <si>
    <t xml:space="preserve">RJ11-048</t>
  </si>
  <si>
    <t xml:space="preserve">Un defensor toca el balón con un contacto ligero por un movimiento instintivo, sin tiempo para coordinar su acción, y el balón llega a un atacante en posición de fuera de juego, que lo juega. ¿Qué decide el árbitro?</t>
  </si>
  <si>
    <t xml:space="preserve">Permite que el juego continúe, pues el defensor jugó el balón de forma voluntaria al desviarlo hacia el atacante.</t>
  </si>
  <si>
    <t xml:space="preserve">Sanciona fuera de juego, pues no se considera que el defensor haya jugado voluntariamente el balón.</t>
  </si>
  <si>
    <t xml:space="preserve">Concede un balón a tierra, al no poder determinarse con claridad si el defensor jugó o no el balón de forma voluntaria.</t>
  </si>
  <si>
    <t xml:space="preserve">Un contacto ligero o instintivo, sin tiempo de coordinación, no es una acción voluntaria del defensor.</t>
  </si>
  <si>
    <t xml:space="preserve">Regla 11.2 / Voluntariedad</t>
  </si>
  <si>
    <t xml:space="preserve">RJ11-049</t>
  </si>
  <si>
    <t xml:space="preserve">Un balón llega desde lejos, despacio y con trayectoria previsible, y un defensor lo despeja de forma imprecisa hacia un atacante en posición de fuera de juego. El árbitro...</t>
  </si>
  <si>
    <t xml:space="preserve">Concede un balón a tierra.</t>
  </si>
  <si>
    <t xml:space="preserve">La imprecisión del despeje no invalida la voluntariedad; los criterios indican que el defensor tenía posibilidad de controlar el balón.</t>
  </si>
  <si>
    <t xml:space="preserve">RJ11-051</t>
  </si>
  <si>
    <t xml:space="preserve">¿Qué momento se tiene en cuenta para determinar la posición de fuera de juego de un jugador?</t>
  </si>
  <si>
    <t xml:space="preserve">El momento en que el balón sale del pie del compañero, según el último punto de contacto.</t>
  </si>
  <si>
    <t xml:space="preserve">El momento en que el balón toca o es jugado por un compañero, según el primer punto de contacto.</t>
  </si>
  <si>
    <t xml:space="preserve">El momento en que el jugador recibe el balón de su compañero.</t>
  </si>
  <si>
    <t xml:space="preserve">Únicamente se sanciona la posición del jugador en el momento en que el balón toca o es jugado por un compañero, teniendo en cuenta el primer punto de contacto.</t>
  </si>
  <si>
    <t xml:space="preserve">RJ11-052</t>
  </si>
  <si>
    <t xml:space="preserve">Un atacante en posición de fuera de juego interfiere en el juego dentro del área de meta del equipo defensor. ¿Desde dónde ejecuta el equipo defensor el tiro libre indirecto?</t>
  </si>
  <si>
    <t xml:space="preserve">Desde cualquier punto del área de meta.</t>
  </si>
  <si>
    <t xml:space="preserve">Desde el lugar exacto de la infracción.</t>
  </si>
  <si>
    <t xml:space="preserve">Desde el punto más cercano de la línea del área de meta paralela a la línea de meta.</t>
  </si>
  <si>
    <t xml:space="preserve">Los tiros libres a favor del equipo defensor en su área de meta pueden ejecutarse desde cualquier punto de dicha área.</t>
  </si>
  <si>
    <t xml:space="preserve">Regla 11 / Regla 13.2 / Procedimiento</t>
  </si>
  <si>
    <t xml:space="preserve">RJ11-053</t>
  </si>
  <si>
    <t xml:space="preserve">Un defensor, situado en su propio campo, se adelanta deliberadamente para dejar a un atacante en posición de fuera de juego. ¿Es esta una maniobra legal?</t>
  </si>
  <si>
    <t xml:space="preserve">Sí, es una táctica legítima; la posición de fuera de juego depende de la posición de los jugadores en el momento del pase.</t>
  </si>
  <si>
    <t xml:space="preserve">No, provocar deliberadamente el fuera de juego de un adversario es sancionable con tiro libre indirecto.</t>
  </si>
  <si>
    <t xml:space="preserve">No, se considera conducta antideportiva sancionable con amonestación al defensor.</t>
  </si>
  <si>
    <t xml:space="preserve">La llamada «trampa del fuera de juego» es una táctica legítima dentro de las Reglas de Juego.</t>
  </si>
  <si>
    <t xml:space="preserve">RJ11-054</t>
  </si>
  <si>
    <t xml:space="preserve">Un atacante en posición de fuera de juego se aparta claramente del balón y no interfiere en modo alguno con ningún adversario. ¿Debe sancionarse?</t>
  </si>
  <si>
    <t xml:space="preserve">No, mientras no participe activamente en el juego, la posición de fuera de juego no es en sí misma sancionable.</t>
  </si>
  <si>
    <t xml:space="preserve">Sí, cualquier jugador en posición de fuera de juego debe ser sancionado, participe o no en la jugada.</t>
  </si>
  <si>
    <t xml:space="preserve">Sí, si se encuentra dentro del área penal del equipo contrario en ese momento.</t>
  </si>
  <si>
    <t xml:space="preserve">La posición de fuera de juego no es sancionable por sí sola; solo lo es cuando el jugador participa activamente en el juego.</t>
  </si>
  <si>
    <t xml:space="preserve">RJ11-056</t>
  </si>
  <si>
    <t xml:space="preserve">Un árbitro asistente retrasa la señal de un fuera de juego sin que exista una situación de ataque claro, y el ataque se malogra. ¿Es correcto su proceder?</t>
  </si>
  <si>
    <t xml:space="preserve">No, solo debe retrasarla cuando una situación de ataque claro lo justifique.</t>
  </si>
  <si>
    <t xml:space="preserve">Sí, debe esperar en todos los casos antes de señalar un fuera de juego.</t>
  </si>
  <si>
    <t xml:space="preserve">Sí, si ningún jugador del equipo atacante protesta durante la jugada.</t>
  </si>
  <si>
    <t xml:space="preserve">El árbitro asistente debe señalar el fuera de juego en el momento oportuno, retrasando la señal únicamente en situaciones de ataque claro que lo justifiquen.</t>
  </si>
  <si>
    <t xml:space="preserve">RJ11-057</t>
  </si>
  <si>
    <t xml:space="preserve">Un jugador que estaba en posición de fuera de juego recibe el balón tras un despeje deliberado de un defensor, que no es una salvada. El árbitro...</t>
  </si>
  <si>
    <t xml:space="preserve">Sanciona el fuera de juego si es dentro del área.</t>
  </si>
  <si>
    <t xml:space="preserve">Un despeje deliberado y controlado por parte de un defensor no se considera «salvada» ni un simple rebote, por lo que no se sanciona el fuera de juego previo del atacante.</t>
  </si>
  <si>
    <t xml:space="preserve">RJ11-058</t>
  </si>
  <si>
    <t xml:space="preserve">Un jugador se encuentra en su propia mitad del terreno de juego cuando un compañero le pasa el balón. ¿Puede estar en posición de fuera de juego?</t>
  </si>
  <si>
    <t xml:space="preserve">Solo si el balón cruza la línea media.</t>
  </si>
  <si>
    <t xml:space="preserve">La infracción de fuera de juego únicamente puede sancionarse cuando el jugador se encuentra en la mitad de campo contraria en el momento del pase.</t>
  </si>
  <si>
    <t xml:space="preserve">RJ11-061</t>
  </si>
  <si>
    <t xml:space="preserve">Un defensor, con posibilidad de controlar el balón, lo despeja de cabeza de forma deliberada pero imprecisa, y llega a un atacante en posición de fuera de juego. El árbitro...</t>
  </si>
  <si>
    <t xml:space="preserve">Regla 11 (pág. 60): no saca ventaja el jugador que recibe el balón de un adversario que lo juega voluntariamente. Que el despeje sea impreciso o no logre su objetivo no invalida la voluntariedad de la acción.</t>
  </si>
  <si>
    <t xml:space="preserve">RJ11-062</t>
  </si>
  <si>
    <t xml:space="preserve">Un jugador en posición de fuera de juego se limita a correr sin acercarse al balón ni a ningún adversario. ¿Es sancionable?</t>
  </si>
  <si>
    <t xml:space="preserve">No, mientras no participe activamente en el juego.</t>
  </si>
  <si>
    <t xml:space="preserve">Sí, por el mero hecho de estar en posición adelantada.</t>
  </si>
  <si>
    <t xml:space="preserve">Sí, si se encuentra dentro del área penal contraria.</t>
  </si>
  <si>
    <t xml:space="preserve">La posición de fuera de juego, por sí sola, no constituye infracción si el jugador no participa activamente en el juego.</t>
  </si>
  <si>
    <t xml:space="preserve">RJ11-063</t>
  </si>
  <si>
    <t xml:space="preserve">Un jugador en posición de fuera de juego recibe el balón tras un desvío accidental de un defensor que intentaba despejarlo, sin llegar a jugarlo. El árbitro...</t>
  </si>
  <si>
    <t xml:space="preserve">Solo un contacto deliberado y controlado del defensor reinicia la valoración del fuera de juego; un simple desvío accidental no exime al atacante adelantado.</t>
  </si>
  <si>
    <t xml:space="preserve">RJ11-064</t>
  </si>
  <si>
    <t xml:space="preserve">Un jugador en posición de fuera de juego grita para confundir a un defensor que va a jugar el balón, sin llegar a tocarlo. ¿Es sancionable por fuera de juego?</t>
  </si>
  <si>
    <t xml:space="preserve">Sí, si con esa acción afecta claramente a la capacidad del adversario de jugar el balón.</t>
  </si>
  <si>
    <t xml:space="preserve">No, el fuera de juego solo se sanciona si el jugador llega a tocar el balón.</t>
  </si>
  <si>
    <t xml:space="preserve">No, gritar se sanciona como conducta antideportiva, pero no como fuera de juego.</t>
  </si>
  <si>
    <t xml:space="preserve">Influir en la posibilidad de un adversario de jugar el balón, incluso mediante acciones que lo distraigan o confundan, se considera participación activa sancionable con fuera de juego.</t>
  </si>
  <si>
    <t xml:space="preserve">RJ11-065</t>
  </si>
  <si>
    <t xml:space="preserve">Un jugador en posición de fuera de juego avanza, pero el pase de su compañero es interceptado por un adversario antes de llegarle, sin que él intervenga. ¿Es sancionable?</t>
  </si>
  <si>
    <t xml:space="preserve">Sí, por estar en posición de fuera de juego.</t>
  </si>
  <si>
    <t xml:space="preserve">Depende del tiempo que permanezca adelantado.</t>
  </si>
  <si>
    <t xml:space="preserve">La sanción por fuera de juego exige que el jugador participe activamente en la jugada; si el balón nunca llega a alcanzarle, no hay infracción.</t>
  </si>
  <si>
    <t xml:space="preserve">RJ11-066</t>
  </si>
  <si>
    <t xml:space="preserve">En el momento del pase, los defensores avanzan para dejar a un atacante en posición de fuera de juego. ¿Es sancionable la acción de los defensores?</t>
  </si>
  <si>
    <t xml:space="preserve">No, es una acción legítima.</t>
  </si>
  <si>
    <t xml:space="preserve">Sí, se les amonesta por ello.</t>
  </si>
  <si>
    <t xml:space="preserve">Sí, con tiro libre indirecto.</t>
  </si>
  <si>
    <t xml:space="preserve">La posición de los defensores en el momento del pase, incluida la llamada trampa del fuera de juego, es una situación legítima dentro de las Reglas de Juego.</t>
  </si>
  <si>
    <t xml:space="preserve">RJ11-067</t>
  </si>
  <si>
    <t xml:space="preserve">Un atacante en posición de fuera de juego recibe accidentalmente un rebote del poste, sin que exista un pase de un compañero. ¿Cuándo se valora si estaba en posición de fuera de juego?</t>
  </si>
  <si>
    <t xml:space="preserve">En el momento en que el balón fue jugado o tocado por última vez por un compañero.</t>
  </si>
  <si>
    <t xml:space="preserve">En el momento en que el balón rebota en el poste y llega al atacante adelantado.</t>
  </si>
  <si>
    <t xml:space="preserve">En el momento en que el atacante toca el balón tras el rebote en el poste.</t>
  </si>
  <si>
    <t xml:space="preserve">La valoración del fuera de juego se realiza en el momento en que el balón es jugado o tocado por un compañero de equipo, no ante cualquier contacto accidental ajeno a esa jugada.</t>
  </si>
  <si>
    <t xml:space="preserve">RJ11-069</t>
  </si>
  <si>
    <t xml:space="preserve">¿Puede sancionarse con fuera de juego a un jugador que se encuentra en su propia mitad de campo, pero muy adelantado respecto a sus compañeros?</t>
  </si>
  <si>
    <t xml:space="preserve">No, exige estar en la mitad de campo contraria, con independencia de la posición de sus compañeros.</t>
  </si>
  <si>
    <t xml:space="preserve">Sí, si está más adelantado que la mayoría de sus propios compañeros, puede sancionarse.</t>
  </si>
  <si>
    <t xml:space="preserve">Sí, si se encuentra a menos de 9,15 m del árbitro asistente en ese momento de la jugada.</t>
  </si>
  <si>
    <t xml:space="preserve">La posición de fuera de juego exige estar en la mitad de campo contraria; la posición respecto a los propios compañeros no es relevante para esta valoración.</t>
  </si>
  <si>
    <t xml:space="preserve">RJ11-070</t>
  </si>
  <si>
    <t xml:space="preserve">Un jugador en posición adelantada obstaculiza claramente la línea de visión del guardameta, sin llegar a tocar el balón en ningún momento de la jugada. ¿Es sancionable?</t>
  </si>
  <si>
    <t xml:space="preserve">Sí, obstaculizar la línea de visión de un adversario es una forma de interferencia sancionable con fuera de juego.</t>
  </si>
  <si>
    <t xml:space="preserve">No, solo se sanciona el fuera de juego si el jugador llega a tocar el balón.</t>
  </si>
  <si>
    <t xml:space="preserve">No, obstaculizar la visión del guardameta se sanciona conforme a la Regla 12, no como fuera de juego.</t>
  </si>
  <si>
    <t xml:space="preserve">Obstruir la línea de visión de un adversario es una de las formas de participación activa que sanciona la Regla 11 como fuera de juego.</t>
  </si>
  <si>
    <t xml:space="preserve">RJ11-071</t>
  </si>
  <si>
    <t xml:space="preserve">Durante una jugada de ataque, un defensor abandona el terreno de juego de forma accidental (empujado por un rival) justo antes del pase decisivo. ¿Cómo se valora su posición a efectos de fuera de juego?</t>
  </si>
  <si>
    <t xml:space="preserve">Se considera situado en la línea de meta o de banda por la que salió, salvo que otra cosa lo indique.</t>
  </si>
  <si>
    <t xml:space="preserve">Deja de contar como defensor a todos los efectos desde que sale del terreno de juego.</t>
  </si>
  <si>
    <t xml:space="preserve">Se considera situado en el punto exacto donde fue empujado, no en la línea por la que salió.</t>
  </si>
  <si>
    <t xml:space="preserve">Un defensor que sale del terreno de juego se considera, con carácter general, situado en la línea de meta o de banda por la que salió, a efectos de valorar el fuera de juego.</t>
  </si>
  <si>
    <t xml:space="preserve">RJ11-072</t>
  </si>
  <si>
    <t xml:space="preserve">¿Puede considerarse en fuera de juego a un jugador situado exactamente en la línea de medio campo en el momento del pase?</t>
  </si>
  <si>
    <t xml:space="preserve">No, la línea de medio campo se considera parte de la propia mitad del jugador a estos efectos.</t>
  </si>
  <si>
    <t xml:space="preserve">Sí, cualquier jugador situado sobre esa línea se considera en la mitad contraria.</t>
  </si>
  <si>
    <t xml:space="preserve">Depende de si el balón procede de un compañero situado en su propia mitad o en la contraria.</t>
  </si>
  <si>
    <t xml:space="preserve">A efectos de fuera de juego, un jugador situado exactamente sobre la línea de medio campo se considera en su propia mitad, no en la contraria.</t>
  </si>
  <si>
    <t xml:space="preserve">RJ11-073</t>
  </si>
  <si>
    <t xml:space="preserve">Un atacante, en posición de fuera de juego, recibe un pase de un compañero, pero antes de tocar el balón un defensor logra despejarlo de forma clara y controlada. ¿Se sanciona el fuera de juego?</t>
  </si>
  <si>
    <t xml:space="preserve">No, un despeje deliberado y controlado del defensor exime al atacante de la sanción por fuera de juego previa.</t>
  </si>
  <si>
    <t xml:space="preserve">Sí, la posición de fuera de juego ya existía en el momento del pase y se mantiene con independencia del despeje posterior.</t>
  </si>
  <si>
    <t xml:space="preserve">Depende de si el atacante llega a tocar el balón después del despeje.</t>
  </si>
  <si>
    <t xml:space="preserve">Un despeje deliberado y controlado por parte de un defensor reinicia la situación, eximiendo al atacante de la sanción de fuera de juego previa.</t>
  </si>
  <si>
    <t xml:space="preserve">RJ11-074</t>
  </si>
  <si>
    <t xml:space="preserve">Un jugador en posición de fuera de juego recibe el balón de un adversario que lo ha jugado deliberadamente, sin ser una salvada. El árbitro...</t>
  </si>
  <si>
    <t xml:space="preserve">La infracción de fuera de juego se valora respecto al momento en que el balón es jugado por un compañero, no cuando procede de un adversario.</t>
  </si>
  <si>
    <t xml:space="preserve">RJ11-075</t>
  </si>
  <si>
    <t xml:space="preserve">Un jugador que se encontraba en posición de fuera de juego regresa a su propio campo antes de que el balón llegue a alcanzarle, sin haber interferido en ningún momento. ¿Es sancionable?</t>
  </si>
  <si>
    <t xml:space="preserve">No, si finalmente no participa activamente en la jugada, su posición previa no constituye infracción.</t>
  </si>
  <si>
    <t xml:space="preserve">Sí, la posición inicial de fuera de juego ya es suficiente para sancionarlo, aunque luego se retire.</t>
  </si>
  <si>
    <t xml:space="preserve">Sí, salvo que el árbitro considere que no tuvo intención de participar en la jugada.</t>
  </si>
  <si>
    <t xml:space="preserve">La sanción por fuera de juego exige participación activa; si el jugador no llega a intervenir en la jugada, no procede la sanción.</t>
  </si>
  <si>
    <t xml:space="preserve">RJ11-076</t>
  </si>
  <si>
    <t xml:space="preserve">¿En qué momento se valora la posición de fuera de juego?</t>
  </si>
  <si>
    <t xml:space="preserve">Cuando el balón es jugado o tocado por un compañero.</t>
  </si>
  <si>
    <t xml:space="preserve">Cuando el árbitro asistente prevé que va a producirse el pase.</t>
  </si>
  <si>
    <t xml:space="preserve">Cuando el jugador adelantado recibe el balón.</t>
  </si>
  <si>
    <t xml:space="preserve">El momento determinante para valorar el fuera de juego es aquel en que el balón es jugado, no un instante anterior.</t>
  </si>
  <si>
    <t xml:space="preserve">RJ11-077</t>
  </si>
  <si>
    <t xml:space="preserve">Un atacante en posición de fuera de juego es empujado accidentalmente por un compañero hacia el balón y llega a tocarlo. El árbitro...</t>
  </si>
  <si>
    <t xml:space="preserve">Solo sanciona si el compañero también estaba en fuera de juego.</t>
  </si>
  <si>
    <t xml:space="preserve">Si el jugador finalmente participa activamente tocando el balón estando en posición de fuera de juego, la infracción se sanciona con independencia de la causa que lo llevara hasta el balón.</t>
  </si>
  <si>
    <t xml:space="preserve">RJ11-078</t>
  </si>
  <si>
    <t xml:space="preserve">Un tiro penal rebota en el travesaño y lo remata un atacante que entró en el área después del golpeo. ¿Puede sancionarse por fuera de juego?</t>
  </si>
  <si>
    <t xml:space="preserve">No, porque en el lanzamiento estaba detrás del balón.</t>
  </si>
  <si>
    <t xml:space="preserve">Sí, si al rematar está por delante del penúltimo defensor.</t>
  </si>
  <si>
    <t xml:space="preserve">Sí, porque el tiro penal no es una excepción al fuera de juego.</t>
  </si>
  <si>
    <t xml:space="preserve">Regla 14 (pág. 73): en el lanzamiento, todos los jugadores salvo el ejecutor y el guardameta deben estar detrás del punto penal. La posición de fuera de juego se valora cuando el balón es jugado por un compañero (el ejecutor), y entonces nadie está más cerca de la línea de meta que el balón.</t>
  </si>
  <si>
    <t xml:space="preserve">RJ11-079</t>
  </si>
  <si>
    <t xml:space="preserve">Los únicos adversarios por detrás del balón son el guardameta, adelantado unos 10 m, y un defensor que ha salido sin permiso por la línea de meta tras un choque. Con el juego en marcha, un compañero pasa el balón a un atacante situado a 5 m de la línea de meta, que marca. El árbitro...</t>
  </si>
  <si>
    <t xml:space="preserve">Anula el gol y concede un tiro libre indirecto por fuera de juego donde el atacante recibió el balón.</t>
  </si>
  <si>
    <t xml:space="preserve">Concede el gol, porque el defensor que salió sin permiso no cuenta para valorar el fuera de juego.</t>
  </si>
  <si>
    <t xml:space="preserve">Concede el gol y amonesta al defensor por salir del terreno de juego sin permiso del árbitro.</t>
  </si>
  <si>
    <t xml:space="preserve">A efectos del fuera de juego, si un defensor sale del terreno de juego sin autorización del árbitro, se considera situado en la línea de meta hasta que se detenga el juego o su equipo juegue el balón hacia la línea central y quede fuera de su área. Así, el atacante estaba más cerca de la línea de meta que el balón y que el penúltimo adversario (el guardameta), y participó al recibir el balón: libre indirecto en el lugar de la infracción.</t>
  </si>
  <si>
    <t xml:space="preserve">RJ12-001</t>
  </si>
  <si>
    <t xml:space="preserve">Se cometen dos infracciones al mismo tiempo. El árbitro sancionará la más grave en función de:</t>
  </si>
  <si>
    <t xml:space="preserve">La sanción, la reanudación, la gravedad física y las repercusiones tácticas.</t>
  </si>
  <si>
    <t xml:space="preserve">El orden en que se cometieron y el equipo que tenía la posesión.</t>
  </si>
  <si>
    <t xml:space="preserve">La zona del terreno de juego y la posición del balón en ese momento.</t>
  </si>
  <si>
    <t xml:space="preserve">Regla 5.3: «cuando se cometa más de una infracción al mismo tiempo, castigará la infracción más grave en función de la sanción, la reanudación, la gravedad física y las repercusiones tácticas».</t>
  </si>
  <si>
    <t xml:space="preserve">RJ12-002</t>
  </si>
  <si>
    <t xml:space="preserve">Regla 12</t>
  </si>
  <si>
    <t xml:space="preserve">Un jugador sale del terreno de juego con la intención de agredir a un espectador. ¿Qué decisión debe tomar el árbitro?</t>
  </si>
  <si>
    <t xml:space="preserve">Expulsarlo y reanudar con tiro libre indirecto sobre la línea de demarcación por donde abandonó el terreno de juego.</t>
  </si>
  <si>
    <t xml:space="preserve">Expulsarlo y reanudar con balón a tierra en el lugar donde se encontraba el balón cuando se detuvo el juego.</t>
  </si>
  <si>
    <t xml:space="preserve">Expulsarlo y reanudar con tiro libre indirecto en el lugar donde se encontraba el balón cuando se detuvo el juego.</t>
  </si>
  <si>
    <t xml:space="preserve">La conducta violenta fuera del terreno de juego se sanciona con expulsión y reanudación mediante tiro libre indirecto en la línea de demarcación por donde salió el jugador.</t>
  </si>
  <si>
    <t xml:space="preserve">RJ12-003</t>
  </si>
  <si>
    <t xml:space="preserve">Con el balón en juego, un jugador que recibe atención médica fuera del terreno de juego da una patada con fuerza excesiva a un miembro de su cuerpo técnico. El árbitro...</t>
  </si>
  <si>
    <t xml:space="preserve">Lo expulsa y concede un tiro libre directo en el punto más cercano de la línea de demarcación.</t>
  </si>
  <si>
    <t xml:space="preserve">Lo amonesta y concede un tiro libre indirecto en el punto más cercano de la línea de demarcación.</t>
  </si>
  <si>
    <t xml:space="preserve">Lo expulsa y reanuda con un balón a tierra en el punto más cercano de la línea de demarcación.</t>
  </si>
  <si>
    <t xml:space="preserve">La conducta violenta (o escupir) contra cualquier persona, también fuera del terreno de juego, con el balón en juego, se sanciona con expulsión y tiro libre directo o penal desde el punto de la línea de demarcación más próximo al lugar de la infracción.</t>
  </si>
  <si>
    <t xml:space="preserve">RJ12-004</t>
  </si>
  <si>
    <t xml:space="preserve">Desde el área técnica de un equipo se profiere un insulto grave contra el árbitro. Hay varios suplentes y miembros del cuerpo técnico presentes y no se puede identificar al autor. ¿A quién sanciona el árbitro?</t>
  </si>
  <si>
    <t xml:space="preserve">A todos los suplentes presentes en el banquillo.</t>
  </si>
  <si>
    <t xml:space="preserve">A ningún miembro, porque no se puede identificar al infractor.</t>
  </si>
  <si>
    <t xml:space="preserve">Cuando alguien ubicado en el área técnica comete una infracción y no se puede identificar al infractor, se sanciona al primer entrenador presente en el área técnica.</t>
  </si>
  <si>
    <t xml:space="preserve">Regla 12.4 / Cuerpo técnico</t>
  </si>
  <si>
    <t xml:space="preserve">RJ12-005</t>
  </si>
  <si>
    <t xml:space="preserve">Tras una cesión con el pie de un compañero, el guardameta, presionado por un adversario, intenta despejar con el pie, falla el golpeo y coge el balón con las manos. El árbitro...</t>
  </si>
  <si>
    <t xml:space="preserve">Concede un tiro penal y expulsa al guardameta.</t>
  </si>
  <si>
    <t xml:space="preserve">Regla 12 (pág. 64): no hay infracción si el guardameta toca el balón con las manos después de haberlo golpeado claramente con el pie «(o lo haya intentado)» con el fin de ponerlo en juego.</t>
  </si>
  <si>
    <t xml:space="preserve">RJ12-006</t>
  </si>
  <si>
    <t xml:space="preserve">Dos jugadores del mismo equipo se golpean entre sí con fuerza excesiva mientras el balón está en juego, sin que exista disputa por el balón. ¿Qué decisión toma el árbitro?</t>
  </si>
  <si>
    <t xml:space="preserve">Detiene el juego, expulsa a ambos por juego brusco grave y reanuda con tiro libre directo a favor del equipo adversario.</t>
  </si>
  <si>
    <t xml:space="preserve">Detiene el juego, expulsa a ambos por conducta violenta y reanuda con tiro libre directo o penal a favor del adversario en el lugar de la infracción.</t>
  </si>
  <si>
    <t xml:space="preserve">Detiene el juego, expulsa a ambos por conducta violenta y reanuda con tiro libre indirecto a favor del adversario en el lugar de la infracción.</t>
  </si>
  <si>
    <t xml:space="preserve">Golpearse entre compañeros con fuerza excesiva sin disputa del balón se califica como conducta violenta, sancionándose con expulsión de ambos y tiro libre directo o penal (si procede) a favor del adversario.</t>
  </si>
  <si>
    <t xml:space="preserve">RJ12-007</t>
  </si>
  <si>
    <t xml:space="preserve">Un jugador realiza un pase a un compañero que está en posición de fuera de juego; un adversario intercepta el pase golpeando el balón con la mano de forma intencionada, desviando su trayectoria. ¿Qué decisión toma el árbitro?</t>
  </si>
  <si>
    <t xml:space="preserve">Sanciona la mano y amonesta al defensor por evitar un ataque prometedor.</t>
  </si>
  <si>
    <t xml:space="preserve">Sanciona la mano y no toma medida disciplinaria contra el defensor.</t>
  </si>
  <si>
    <t xml:space="preserve">Sanciona el fuera de juego, por ser previo a la infracción de mano.</t>
  </si>
  <si>
    <t xml:space="preserve">Al ser el jugador atacante beneficiario del pase quien estaba en posición de fuera de juego, la mano intencionada del defensor se sanciona sin necesidad de medida disciplinaria adicional en este supuesto concreto.</t>
  </si>
  <si>
    <t xml:space="preserve">RJ12-008</t>
  </si>
  <si>
    <t xml:space="preserve">¿Tiene derecho el capitán de un equipo a protestar una decisión del árbitro?</t>
  </si>
  <si>
    <t xml:space="preserve">No, ni el capitán ni ningún otro jugador tienen ese derecho.</t>
  </si>
  <si>
    <t xml:space="preserve">Sí, si considera que hay un error claro puede pedir que se rectifique.</t>
  </si>
  <si>
    <t xml:space="preserve">Sí, puede exigir al árbitro que le explique cada una de sus decisiones.</t>
  </si>
  <si>
    <t xml:space="preserve">Ningún jugador, ni siquiera el capitán, tiene derecho reglamentario a protestar las decisiones del árbitro, sin perjuicio del respeto debido.</t>
  </si>
  <si>
    <t xml:space="preserve">Regla 12 / Regla 5</t>
  </si>
  <si>
    <t xml:space="preserve">RJ12-009</t>
  </si>
  <si>
    <t xml:space="preserve">Un jugador sufre una entrada temeraria que conlleva amonestación y un compañero ejecuta rápidamente el tiro libre, creando una clara ocasión de gol; el árbitro no había iniciado el procedimiento de mostrar la tarjeta. El árbitro...</t>
  </si>
  <si>
    <t xml:space="preserve">No permite la reanudación hasta pitar después de amonestar al infractor.</t>
  </si>
  <si>
    <t xml:space="preserve">Permite la reanudación y amonesta al infractor en la siguiente interrupción.</t>
  </si>
  <si>
    <t xml:space="preserve">Permite la reanudación y ya no amonesta al infractor en la siguiente interrupción.</t>
  </si>
  <si>
    <t xml:space="preserve">Ante una clara ocasión de gol y sin haber iniciado el procedimiento de tarjeta, el árbitro puede aplicar ventaja permitiendo la reanudación rápida, y amonestar igualmente al infractor en la siguiente interrupción.</t>
  </si>
  <si>
    <t xml:space="preserve">RJ12-010</t>
  </si>
  <si>
    <t xml:space="preserve">A unos 45 metros de la portería rival, un defensor sujeta a un atacante que avanza con el balón por el centro del campo. Entre el balón y la portería quedan tres defensores más bien colocados. ¿Qué decide el árbitro?</t>
  </si>
  <si>
    <t xml:space="preserve">Concede un libre directo y amonesta al defensor por interrumpir un ataque prometedor.</t>
  </si>
  <si>
    <t xml:space="preserve">Concede un libre directo y expulsa al defensor por evitar una ocasión manifiesta de gol.</t>
  </si>
  <si>
    <t xml:space="preserve">Concede un libre directo sin sanción disciplinaria.</t>
  </si>
  <si>
    <t xml:space="preserve">Para valorar una ocasión manifiesta de gol se tienen en cuenta la distancia a la portería, la dirección del juego, la probabilidad de mantener o recuperar el balón y la posición y número de defensores. Aquí solo se interrumpe un ataque prometedor: amonestación por conducta antideportiva.</t>
  </si>
  <si>
    <t xml:space="preserve">Regla 12.4 / Evitar un gol o una ocasión manifiesta de gol</t>
  </si>
  <si>
    <t xml:space="preserve">RJ12-011</t>
  </si>
  <si>
    <t xml:space="preserve">Un jugador insulta a otro jugador, al árbitro, a un asistente o al cuarto árbitro, con el balón en juego y dentro del terreno de juego. ¿Cómo se reanuda el juego?</t>
  </si>
  <si>
    <t xml:space="preserve">Con tiro libre directo o penal donde se cometió la infracción.</t>
  </si>
  <si>
    <t xml:space="preserve">Con tiro libre indirecto donde estaba el balón cuando se detuvo el juego.</t>
  </si>
  <si>
    <t xml:space="preserve">Con tiro libre indirecto donde se cometió la infracción.</t>
  </si>
  <si>
    <t xml:space="preserve">El lenguaje ofensivo, injurioso o insultante se sanciona con tiro libre indirecto en el lugar donde se cometió la infracción, junto a la expulsión correspondiente.</t>
  </si>
  <si>
    <t xml:space="preserve">RJ12-012</t>
  </si>
  <si>
    <t xml:space="preserve">Durante la tanda de penales, un guardameta amonestado durante el partido se encara con el lanzador sin llegar al insulto ni a la amenaza. El árbitro...</t>
  </si>
  <si>
    <t xml:space="preserve">Lo expulsa por conducta violenta.</t>
  </si>
  <si>
    <t xml:space="preserve">Al iniciarse la tanda de penaltis, las amonestaciones del tiempo reglamentario y prórroga se eliminan a efectos de doble amonestación durante la propia tanda.</t>
  </si>
  <si>
    <t xml:space="preserve">Regla 12 / Anexo tandas de penaltis</t>
  </si>
  <si>
    <t xml:space="preserve">RJ12-013</t>
  </si>
  <si>
    <t xml:space="preserve">Un jugador con el balón, siendo sujetado por un adversario, consigue pasar el balón a un compañero que continúa el ataque. ¿Qué decisión toma el árbitro?</t>
  </si>
  <si>
    <t xml:space="preserve">Detiene el juego y amonesta al defensor por conducta antideportiva.</t>
  </si>
  <si>
    <t xml:space="preserve">Deja que el juego continúe y debe amonestar obligatoriamente al defensor en la siguiente interrupción.</t>
  </si>
  <si>
    <t xml:space="preserve">Deja que el juego continúe y, en la siguiente interrupción, amonesta o no según la gravedad, sin obligación automática.</t>
  </si>
  <si>
    <t xml:space="preserve">Si el ataque continúa pese a la sujeción, se aplica ventaja y, en la siguiente interrupción, el árbitro decide si amonesta según la gravedad de la infracción, sin ser obligatorio automáticamente.</t>
  </si>
  <si>
    <t xml:space="preserve">RJ12-014</t>
  </si>
  <si>
    <t xml:space="preserve">Con el balón en juego, un jugador agrede físicamente al árbitro. ¿Qué decisión toma el árbitro?</t>
  </si>
  <si>
    <t xml:space="preserve">Tiro libre directo o penal, y expulsión del jugador por agredir al árbitro.</t>
  </si>
  <si>
    <t xml:space="preserve">Tiro libre indirecto en el lugar donde se produjo la agresión, y expulsión del jugador.</t>
  </si>
  <si>
    <t xml:space="preserve">Tiro libre indirecto en el lugar donde estaba el balón al detenerse el juego, y amonestación.</t>
  </si>
  <si>
    <t xml:space="preserve">Agredir al árbitro constituye conducta violenta grave, sancionada con expulsión y tiro libre directo o penal según el lugar de la infracción.</t>
  </si>
  <si>
    <t xml:space="preserve">RJ12-015</t>
  </si>
  <si>
    <t xml:space="preserve">La conducta violenta se comete contra:</t>
  </si>
  <si>
    <t xml:space="preserve">Cualquier persona, empleando fuerza excesiva o brutalidad, sin disputar el balón.</t>
  </si>
  <si>
    <t xml:space="preserve">Solo jugadores adversarios, cuando no se está disputando el balón.</t>
  </si>
  <si>
    <t xml:space="preserve">Solo jugadores adversarios, se dispute o no el balón, y el resto de personas en todo momento.</t>
  </si>
  <si>
    <t xml:space="preserve">Regla 12 (pág. 68): es conducta violenta emplearse con fuerza excesiva o brutalidad contra un adversario cuando no se le está disputando el balón, o contra un compañero, un miembro del cuerpo técnico o del equipo arbitral, un espectador o cualquier otra persona.</t>
  </si>
  <si>
    <t xml:space="preserve">RJ12-016</t>
  </si>
  <si>
    <t xml:space="preserve">Un defensor comete una entrada con exceso de fuerza sobre un rival, intentando disputarle el balón, sin intención de lesionar pero poniendo en peligro su integridad, dentro del área. ¿Qué tipo de infracción es y cómo se sanciona con carácter general?</t>
  </si>
  <si>
    <t xml:space="preserve">Juego brusco grave: expulsión y tiro penal.</t>
  </si>
  <si>
    <t xml:space="preserve">Juego brusco grave: expulsión y tiro libre indirecto.</t>
  </si>
  <si>
    <t xml:space="preserve">Falta imprudente: amonestación y tiro penal.</t>
  </si>
  <si>
    <t xml:space="preserve">Una entrada con exceso de fuerza que pone en peligro la integridad del rival, aunque sea disputando el balón, se califica como juego brusco grave: expulsión y, si es dentro del área, tiro penal.</t>
  </si>
  <si>
    <t xml:space="preserve">RJ12-017</t>
  </si>
  <si>
    <t xml:space="preserve">Un jugador simula una falta dentro del área para engañar al árbitro y conseguir un tiro penal. El árbitro...</t>
  </si>
  <si>
    <t xml:space="preserve">Lo amonesta y concede un tiro libre indirecto al equipo adversario.</t>
  </si>
  <si>
    <t xml:space="preserve">Lo expulsa y concede un tiro libre indirecto al equipo adversario.</t>
  </si>
  <si>
    <t xml:space="preserve">No toma medida disciplinaria y deja que el juego continúe.</t>
  </si>
  <si>
    <t xml:space="preserve">La simulación de una falta o incidente para engañar al árbitro se sanciona como conducta antideportiva: amonestación y tiro libre indirecto a favor del equipo contrario en el lugar de la simulación.</t>
  </si>
  <si>
    <t xml:space="preserve">RJ12-018</t>
  </si>
  <si>
    <t xml:space="preserve">Un jugador celebra un gol quitándose la camiseta. ¿Qué decisión debe tomar el árbitro?</t>
  </si>
  <si>
    <t xml:space="preserve">Lo amonesta por conducta antideportiva, al quitarse la camiseta para celebrar un gol.</t>
  </si>
  <si>
    <t xml:space="preserve">No lo sanciona, al tratarse de una celebración habitual no contemplada como infracción en la Regla 12.</t>
  </si>
  <si>
    <t xml:space="preserve">Lo expulsa, al equiparar quitarse la camiseta con una conducta violenta hacia el árbitro.</t>
  </si>
  <si>
    <t xml:space="preserve">Quitarse la camiseta al celebrar un gol está tipificado como conducta sancionable con amonestación.</t>
  </si>
  <si>
    <t xml:space="preserve">RJ12-019</t>
  </si>
  <si>
    <t xml:space="preserve">Un jugador celebra un gol acercándose a los espectadores sin provocar ni causar problemas de seguridad, y vuelve sin demora. ¿Debe ser amonestado?</t>
  </si>
  <si>
    <t xml:space="preserve">Sí, por abandonar el terreno de juego.</t>
  </si>
  <si>
    <t xml:space="preserve">Sí, por acercarse a los espectadores.</t>
  </si>
  <si>
    <t xml:space="preserve">La normativa no exige amonestar automáticamente por salir a celebrar un gol; se sanciona cuando hay demora excesiva, provocación o entra en conflicto con el público.</t>
  </si>
  <si>
    <t xml:space="preserve">RJ12-020</t>
  </si>
  <si>
    <t xml:space="preserve">Un jugador impide deliberadamente que el balón entre en su propia portería mediante una mano, evitando un gol prácticamente seguro. ¿Cómo se sanciona?</t>
  </si>
  <si>
    <t xml:space="preserve">Tiro penal y expulsión por evitar un gol mediante infracción sancionable con tiro libre o penal.</t>
  </si>
  <si>
    <t xml:space="preserve">Tiro libre indirecto y amonestación, al tratarse de una infracción cometida dentro de la propia área penal del infractor.</t>
  </si>
  <si>
    <t xml:space="preserve">Tiro penal y amonestación, al entender que se trata de una acción instintiva de defensa de la portería.</t>
  </si>
  <si>
    <t xml:space="preserve">Impedir con la mano de forma deliberada un gol prácticamente seguro se sanciona con tiro penal (si es dentro del área) y expulsión.</t>
  </si>
  <si>
    <t xml:space="preserve">RJ12-022</t>
  </si>
  <si>
    <t xml:space="preserve">¿Qué diferencia, según la graduación habitual de las faltas, a una entrada 'imprudente' de una entrada 'con fuerza excesiva o brutalidad'?</t>
  </si>
  <si>
    <t xml:space="preserve">La imprudencia se amonesta; la fuerza excesiva o brutalidad conlleva expulsión.</t>
  </si>
  <si>
    <t xml:space="preserve">No hay diferencia; ambas se sancionan igual con amonestación.</t>
  </si>
  <si>
    <t xml:space="preserve">La imprudencia conlleva expulsión; la fuerza excesiva o brutalidad se amonesta.</t>
  </si>
  <si>
    <t xml:space="preserve">La graduación de la intensidad de las infracciones distingue la imprudencia (amonestación) de la fuerza excesiva o brutalidad (expulsión, ya sea juego brusco grave o conducta violenta).</t>
  </si>
  <si>
    <t xml:space="preserve">RJ12-023</t>
  </si>
  <si>
    <t xml:space="preserve">Un jugador escupe a un adversario durante el partido, con el balón en juego. ¿Cómo se sanciona esta conducta?</t>
  </si>
  <si>
    <t xml:space="preserve">Expulsión por conducta violenta y tiro libre directo o penal donde se cometió la infracción.</t>
  </si>
  <si>
    <t xml:space="preserve">Amonestación por conducta antideportiva, al no considerarse escupir lo bastante grave para expulsar.</t>
  </si>
  <si>
    <t xml:space="preserve">No es sancionable si no hay contacto físico directo, ya que escupir exige alcanzar al adversario.</t>
  </si>
  <si>
    <t xml:space="preserve">Escupir a otra persona se considera conducta violenta y se sanciona con expulsión, además del tiro libre directo o penal correspondiente al lugar de la infracción.</t>
  </si>
  <si>
    <t xml:space="preserve">RJ12-024</t>
  </si>
  <si>
    <t xml:space="preserve">Un jugador hace un gesto de burla claramente provocador hacia la afición rival tras marcar un gol, sin llegar a insultar. ¿Debe ser amonestado?</t>
  </si>
  <si>
    <t xml:space="preserve">Sí, los gestos provocadores hacia el público se sancionan con amonestación por conducta antideportiva.</t>
  </si>
  <si>
    <t xml:space="preserve">No, los gestos de celebración están permitidos, aunque sean provocadores hacia el público rival.</t>
  </si>
  <si>
    <t xml:space="preserve">Sí, pero solo si hay contacto físico con algún espectador de la grada rival.</t>
  </si>
  <si>
    <t xml:space="preserve">Los gestos provocadores dirigidos a la afición, aunque no lleguen al insulto explícito, se sancionan con amonestación por conducta antideportiva.</t>
  </si>
  <si>
    <t xml:space="preserve">RJ12-025</t>
  </si>
  <si>
    <t xml:space="preserve">Un jugador retiene con las manos a un adversario que lleva el balón, impidiéndole avanzar, sin que llegue a perder el control del balón. ¿Cómo se sanciona esta acción?</t>
  </si>
  <si>
    <t xml:space="preserve">Se sanciona con tiro libre directo (o penal si es en el área) por retención, con posible amonestación según la interferencia con una ocasión clara.</t>
  </si>
  <si>
    <t xml:space="preserve">No es sancionable si el atacante conserva el control del balón, ya que la retención sin pérdida de balón no constituye infracción.</t>
  </si>
  <si>
    <t xml:space="preserve">Se sanciona con tiro libre indirecto, con independencia del lugar del terreno donde se produzca la retención.</t>
  </si>
  <si>
    <t xml:space="preserve">Retener a un adversario con las manos constituye infracción sancionable con tiro libre directo o penal, e incluso amonestación o expulsión si impide una ocasión clara de gol.</t>
  </si>
  <si>
    <t xml:space="preserve">RJ12-026</t>
  </si>
  <si>
    <t xml:space="preserve">Un jugador dirige gestos ofensivos e insultantes al público en general, sin dirigirse a nadie en concreto. El árbitro...</t>
  </si>
  <si>
    <t xml:space="preserve">No lo sanciona.</t>
  </si>
  <si>
    <t xml:space="preserve">Le advierte verbalmente.</t>
  </si>
  <si>
    <t xml:space="preserve">El uso de lenguaje o gestos ofensivos, injuriosos o groseros se sanciona con expulsión, independientemente de que el destinatario sea una persona concreta o el público en general.</t>
  </si>
  <si>
    <t xml:space="preserve">RJ12-028</t>
  </si>
  <si>
    <t xml:space="preserve">Un jugador de campo, tras convertirse en guardameta mediante un cambio autorizado por el árbitro, toca el balón con la mano dentro de su propia área. ¿Es sancionable?</t>
  </si>
  <si>
    <t xml:space="preserve">No, si el cambio de guardameta fue debidamente comunicado y autorizado por el árbitro.</t>
  </si>
  <si>
    <t xml:space="preserve">Sí, con independencia de que el cambio haya sido comunicado y autorizado por el árbitro.</t>
  </si>
  <si>
    <t xml:space="preserve">Sí, si el cambio de guardameta se hizo en la segunda parte del partido.</t>
  </si>
  <si>
    <t xml:space="preserve">Si el cambio de guardameta se comunica y autoriza correctamente por el árbitro, el nuevo guardameta puede usar las manos dentro de su área sin infracción.</t>
  </si>
  <si>
    <t xml:space="preserve">RJ12-029</t>
  </si>
  <si>
    <t xml:space="preserve">Un jugador toca el balón con la mano sin intención, habiendo hecho que su cuerpo ocupe más espacio de forma antinatural. ¿Es sancionable?</t>
  </si>
  <si>
    <t xml:space="preserve">Sí, aunque no haya intención de tocar el balón.</t>
  </si>
  <si>
    <t xml:space="preserve">No, porque no hay intención de tocar el balón.</t>
  </si>
  <si>
    <t xml:space="preserve">Solo si el jugador es el guardameta.</t>
  </si>
  <si>
    <t xml:space="preserve">El criterio de manos sanciona también cuando el jugador hace que su cuerpo sea más grande de forma antinatural, incluso sin intención deliberada de tocar el balón.</t>
  </si>
  <si>
    <t xml:space="preserve">RJ12-030</t>
  </si>
  <si>
    <t xml:space="preserve">El balón toca el brazo de un jugador, pegado al cuerpo, durante un movimiento normal. ¿Es sancionable?</t>
  </si>
  <si>
    <t xml:space="preserve">No necesariamente: depende de si la posición del brazo es natural para ese movimiento.</t>
  </si>
  <si>
    <t xml:space="preserve">Sí, cualquier contacto del balón con el brazo es sancionable, sea cual sea su posición.</t>
  </si>
  <si>
    <t xml:space="preserve">Sí, si el brazo está por debajo del hombro, aunque su posición sea natural para el movimiento.</t>
  </si>
  <si>
    <t xml:space="preserve">El criterio de manos exige valorar si la posición del brazo es consecuencia natural del movimiento del jugador, no sancionándose automáticamente por el mero contacto.</t>
  </si>
  <si>
    <t xml:space="preserve">RJ12-031</t>
  </si>
  <si>
    <t xml:space="preserve">Según la Regla 12.1, ¿cuál de las siguientes acciones NO figura entre las faltas que se sancionan con libre directo cuando se cometen de manera imprudente, temeraria o con fuerza excesiva?</t>
  </si>
  <si>
    <t xml:space="preserve">Obstaculizar el avance de un adversario cuando el balón no está a distancia de juego, sin que haya contacto.</t>
  </si>
  <si>
    <t xml:space="preserve">Saltar encima de un adversario con intención de disputar el balón en disputa aérea.</t>
  </si>
  <si>
    <t xml:space="preserve">Golpear a un adversario o intentarlo, cabezazos incluidos, aunque no llegue a haber contacto.</t>
  </si>
  <si>
    <t xml:space="preserve">La lista de la Regla 12.1 es: cargar, saltar encima, dar una patada o intentarlo, empujar, golpear o intentarlo, hacer una entrada o disputar el balón y poner la zancadilla o intentarlo. Obstaculizar sin contacto se castiga con libre indirecto.</t>
  </si>
  <si>
    <t xml:space="preserve">Regla 12.1 / Faltas sancionables con libre directo</t>
  </si>
  <si>
    <t xml:space="preserve">RJ12-032</t>
  </si>
  <si>
    <t xml:space="preserve">¿Cuál de las siguientes definiciones corresponde a una acción «imprudente»?</t>
  </si>
  <si>
    <t xml:space="preserve">Aquella que entraña daño físico, no necesariamente grave, sin tener en cuenta el riesgo o las consecuencias para el adversario.</t>
  </si>
  <si>
    <t xml:space="preserve">Aquella en la que el jugador se excede en la fuerza y la impetuosidad empleadas o pone en peligro la integridad física del adversario.</t>
  </si>
  <si>
    <t xml:space="preserve">Aquella en la que el jugador muestra falta de atención o de consideración o actúa sin precaución al disputar un balón a un adversario.</t>
  </si>
  <si>
    <t xml:space="preserve">«Imprudente» es la acción en la que se muestra falta de atención o de consideración, o se actúa sin precaución al disputar un balón. No será necesaria una sanción disciplinaria.</t>
  </si>
  <si>
    <t xml:space="preserve">Regla 12.1 / Imprudente, temeraria y fuerza excesiva</t>
  </si>
  <si>
    <t xml:space="preserve">RJ12-033</t>
  </si>
  <si>
    <t xml:space="preserve">Según la Regla 12, una acción es «temeraria» cuando el jugador:</t>
  </si>
  <si>
    <t xml:space="preserve">Actúa sin precaución al disputar el balón.</t>
  </si>
  <si>
    <t xml:space="preserve">Actúa sin tener en cuenta el riesgo o las consecuencias para su adversario.</t>
  </si>
  <si>
    <t xml:space="preserve">Emplea fuerza excesiva y pone en peligro la integridad física del adversario.</t>
  </si>
  <si>
    <t xml:space="preserve">«Temeraria» es la acción que entraña daño físico (no necesariamente grave) sin tener en cuenta el riesgo o las consecuencias para el adversario, por lo que el jugador deberá ser amonestado.</t>
  </si>
  <si>
    <t xml:space="preserve">RJ12-034</t>
  </si>
  <si>
    <t xml:space="preserve">Según la Regla 12.1, ¿qué medida disciplinaria corresponde a una falta cometida «con el uso de una fuerza excesiva»?</t>
  </si>
  <si>
    <t xml:space="preserve">La expulsión del jugador, al tratarse de una falta cometida con fuerza excesiva.</t>
  </si>
  <si>
    <t xml:space="preserve">La amonestación del jugador, al tratarse de una falta cometida con fuerza excesiva.</t>
  </si>
  <si>
    <t xml:space="preserve">Ninguna sanción disciplinaria si el balón estaba a distancia de juego.</t>
  </si>
  <si>
    <t xml:space="preserve">«Con uso de fuerza excesiva» es la acción en la que el jugador se excede en la fuerza y la impetuosidad empleada o pone en peligro la integridad física del adversario, por lo que deberá ser expulsado.</t>
  </si>
  <si>
    <t xml:space="preserve">RJ12-035</t>
  </si>
  <si>
    <t xml:space="preserve">Un defensor llega tarde a un balón dividido y derriba a un atacante actuando sin precaución, pero sin excederse en la fuerza ni entrañar daño físico. ¿Cómo se califica y qué decide el árbitro?</t>
  </si>
  <si>
    <t xml:space="preserve">Falta temeraria: concede libre directo y amonesta al defensor.</t>
  </si>
  <si>
    <t xml:space="preserve">Falta con fuerza excesiva: concede libre directo y expulsa al defensor.</t>
  </si>
  <si>
    <t xml:space="preserve">Falta imprudente: concede libre directo sin sanción disciplinaria.</t>
  </si>
  <si>
    <t xml:space="preserve">Una acción en la que el jugador actúa sin precaución al disputar el balón es imprudente y se castiga con libre directo, sin que sea necesaria una sanción disciplinaria.</t>
  </si>
  <si>
    <t xml:space="preserve">RJ12-036</t>
  </si>
  <si>
    <t xml:space="preserve">Un jugador realiza una entrada sobre un rival sin tener en cuenta el riesgo para él, con posibilidad de causarle daño físico, aunque sin excederse en la fuerza. ¿Qué decisión toma el árbitro?</t>
  </si>
  <si>
    <t xml:space="preserve">Concede libre directo (o penal si fue en su área) y amonesta al jugador por conducta antideportiva.</t>
  </si>
  <si>
    <t xml:space="preserve">Concede libre directo (o penal si fue en su área) sin sanción disciplinaria.</t>
  </si>
  <si>
    <t xml:space="preserve">Concede libre directo (o penal si fue en su área) y expulsa al jugador por juego brusco y grave.</t>
  </si>
  <si>
    <t xml:space="preserve">Cometer de manera temeraria una infracción sancionable con libre directo es conducta antideportiva y se amonesta al infractor.</t>
  </si>
  <si>
    <t xml:space="preserve">RJ12-037</t>
  </si>
  <si>
    <t xml:space="preserve">En la disputa del balón, un jugador entra a un adversario con las dos piernas por delante y los tacos en alto, o arremete por el costado con una pierna y fuerza excesiva, o cabecea con fuerza excesiva a un adversario en un balón aéreo, poniendo en peligro su integridad física. ¿Qué decide el árbitro en los tres casos?</t>
  </si>
  <si>
    <t xml:space="preserve">En los tres casos lo mismo: concede libre directo (o penal) y expulsa al jugador por juego brusco y grave.</t>
  </si>
  <si>
    <t xml:space="preserve">Solo expulsa en la entrada con tacos en alto; en los otros dos casos lo amonesta por falta temeraria.</t>
  </si>
  <si>
    <t xml:space="preserve">Concede libre indirecto y amonesta al jugador en los tres casos, al haber disputa del balón.</t>
  </si>
  <si>
    <t xml:space="preserve">Entrar en la disputa del balón poniendo en peligro la integridad física del adversario o con fuerza excesiva es juego brusco y grave: libre directo (o penal) y expulsión, sea cual sea la forma concreta de la acción.</t>
  </si>
  <si>
    <t xml:space="preserve">Regla 12.1 y 12.4 / Juego brusco y grave</t>
  </si>
  <si>
    <t xml:space="preserve">RJ12-038</t>
  </si>
  <si>
    <t xml:space="preserve">Un jugador intenta dar una patada a un adversario de forma imprudente, pero este la esquiva y no hay contacto. El árbitro...</t>
  </si>
  <si>
    <t xml:space="preserve">Concede un tiro libre directo.</t>
  </si>
  <si>
    <t xml:space="preserve">La Regla 12.1 incluye «dar una patada o intentarlo»: el intento de infracción también se sanciona con libre directo aunque no haya contacto.</t>
  </si>
  <si>
    <t xml:space="preserve">RJ12-039</t>
  </si>
  <si>
    <t xml:space="preserve">Un jugador intenta poner la zancadilla a un adversario que lleva el balón, pero no lo consigue y el adversario continúa su jugada. ¿Qué decisión toma el árbitro?</t>
  </si>
  <si>
    <t xml:space="preserve">Concede libre directo (o aplica ventaja si procede), porque intentar poner la zancadilla es falta.</t>
  </si>
  <si>
    <t xml:space="preserve">Deja seguir el juego, porque sin contacto entre los jugadores no puede sancionarse ninguna infracción por zancadilla.</t>
  </si>
  <si>
    <t xml:space="preserve">Concede libre indirecto por juego peligroso, al no haberse producido contacto físico entre ambos jugadores.</t>
  </si>
  <si>
    <t xml:space="preserve">Poner la zancadilla o intentarlo figura entre las faltas sancionables con libre directo.</t>
  </si>
  <si>
    <t xml:space="preserve">RJ12-041</t>
  </si>
  <si>
    <t xml:space="preserve">Un jugador empuja de manera imprudente a un adversario dentro del terreno de juego, con el balón en juego, y sin que exista ocasión manifiesta de gol. ¿Qué decisión adopta el árbitro?</t>
  </si>
  <si>
    <t xml:space="preserve">Concede libre directo y no adopta medida disciplinaria.</t>
  </si>
  <si>
    <t xml:space="preserve">Concede libre indirecto y amonesta al jugador.</t>
  </si>
  <si>
    <t xml:space="preserve">Concede libre directo y amonesta al jugador.</t>
  </si>
  <si>
    <t xml:space="preserve">Empujar de manera imprudente es falta sancionable con libre directo; la imprudencia no requiere sanción disciplinaria.</t>
  </si>
  <si>
    <t xml:space="preserve">RJ12-042</t>
  </si>
  <si>
    <t xml:space="preserve">Según la Regla 12.1, ¿cómo se penaliza una falta cometida por un jugador que implique contacto físico?</t>
  </si>
  <si>
    <t xml:space="preserve">Con un libre directo, o penal si la infracción se comete en el área del infractor.</t>
  </si>
  <si>
    <t xml:space="preserve">Con un libre indirecto, al tratarse de una falta con contacto físico.</t>
  </si>
  <si>
    <t xml:space="preserve">Con un libre directo solo si el árbitro aprecia fuerza excesiva.</t>
  </si>
  <si>
    <t xml:space="preserve">La Regla 12.1 establece que, en caso de que la falta cometida implique contacto físico, se penalizará con un libre directo.</t>
  </si>
  <si>
    <t xml:space="preserve">RJ12-043</t>
  </si>
  <si>
    <t xml:space="preserve">Un defensor agarra por la camiseta a un delantero fuera del área penal para impedir que se gire, sin que exista ocasión manifiesta de gol. ¿Qué decisión toma el árbitro?</t>
  </si>
  <si>
    <t xml:space="preserve">Concede libre directo, al agarrar a un adversario para impedirle avanzar.</t>
  </si>
  <si>
    <t xml:space="preserve">Concede libre indirecto, al no haberse producido ocasión manifiesta de gol.</t>
  </si>
  <si>
    <t xml:space="preserve">Concede balón a tierra, al haber interrumpido un ataque prometedor.</t>
  </si>
  <si>
    <t xml:space="preserve">Sujetar a un adversario se sanciona con libre directo (o penal si ocurre dentro del área del infractor).</t>
  </si>
  <si>
    <t xml:space="preserve">Regla 12.1 / Sujetar a un adversario</t>
  </si>
  <si>
    <t xml:space="preserve">RJ12-044</t>
  </si>
  <si>
    <t xml:space="preserve">Un defensor comienza a sujetar a un adversario fuera del área penal y continúa sujetándolo cuando ambos entran dentro de la misma. ¿Qué decisión toma el árbitro?</t>
  </si>
  <si>
    <t xml:space="preserve">Señala tiro penal, al continuar la sujeción dentro del área.</t>
  </si>
  <si>
    <t xml:space="preserve">Concede libre directo en el punto donde comenzó la sujeción.</t>
  </si>
  <si>
    <t xml:space="preserve">Concede libre indirecto a la entrada del área.</t>
  </si>
  <si>
    <t xml:space="preserve">Si un defensor comienza a sujetar a un adversario fuera del área y continúa sujetándolo dentro de ella, el árbitro señalará tiro penal.</t>
  </si>
  <si>
    <t xml:space="preserve">Regla 12.4 / Ventaja y sujeción</t>
  </si>
  <si>
    <t xml:space="preserve">RJ12-045</t>
  </si>
  <si>
    <t xml:space="preserve">Un jugador se interpone en el camino de un adversario y lo obstaculiza mediante contacto físico cuando el balón no está a distancia de juego. El árbitro...</t>
  </si>
  <si>
    <t xml:space="preserve">Obstaculizar a un adversario mediante contacto físico es falta sancionable con libre directo; sin contacto físico sería libre indirecto.</t>
  </si>
  <si>
    <t xml:space="preserve">Regla 12.1 / Obstaculizar mediante contacto físico</t>
  </si>
  <si>
    <t xml:space="preserve">RJ12-047</t>
  </si>
  <si>
    <t xml:space="preserve">Según la Regla 12.1, ¿a quién debe alcanzar la acción de morder o escupir para sancionarse con libre directo?</t>
  </si>
  <si>
    <t xml:space="preserve">A alguien que figure en las listas de los equipos o sea miembro del equipo arbitral.</t>
  </si>
  <si>
    <t xml:space="preserve">A un jugador del equipo adversario, sin que la infracción se extienda a otro miembro del equipo.</t>
  </si>
  <si>
    <t xml:space="preserve">A un miembro del equipo arbitral, sin que la infracción alcance a jugadores ni suplentes.</t>
  </si>
  <si>
    <t xml:space="preserve">La Regla 12.1 recoge morder o escupir a alguien que figure en las listas de los equipos o sea miembro del equipo arbitral.</t>
  </si>
  <si>
    <t xml:space="preserve">Regla 12.1 / Escupir o morder</t>
  </si>
  <si>
    <t xml:space="preserve">RJ12-048</t>
  </si>
  <si>
    <t xml:space="preserve">Con el balón en juego, un jugador lanza una bota contra un adversario desde dentro del terreno de juego. ¿Cómo se reanuda el juego?</t>
  </si>
  <si>
    <t xml:space="preserve">Con un tiro libre directo donde el objeto golpeó o habría golpeado (o penal).</t>
  </si>
  <si>
    <t xml:space="preserve">Con un tiro libre indirecto en el lugar desde donde el jugador lanzó la bota.</t>
  </si>
  <si>
    <t xml:space="preserve">Con un tiro libre directo en el lugar desde donde el jugador lanzó la bota.</t>
  </si>
  <si>
    <t xml:space="preserve">Lanzar un objeto contra el balón, un adversario u otra persona (incluido un miembro del equipo arbitral) se castiga con libre directo desde el lugar donde el objeto golpeó o habría golpeado (penal si es dentro del área del infractor).</t>
  </si>
  <si>
    <t xml:space="preserve">Regla 12.1 y 12.5 / Lanzar un objeto</t>
  </si>
  <si>
    <t xml:space="preserve">RJ12-049</t>
  </si>
  <si>
    <t xml:space="preserve">Un jugador golpea el balón con una espinillera que sostiene en la mano. ¿Cómo se reanuda el juego?</t>
  </si>
  <si>
    <t xml:space="preserve">Con un libre directo o un tiro penal, según dónde se cometa.</t>
  </si>
  <si>
    <t xml:space="preserve">Con un libre indirecto desde el lugar del contacto.</t>
  </si>
  <si>
    <t xml:space="preserve">Con un balón a tierra, al no tratarse de una parte del cuerpo.</t>
  </si>
  <si>
    <t xml:space="preserve">Si un jugador contacta con el balón con un objeto que lleva en la mano (bota, espinillera, etc.), se reanuda con libre directo o penal.</t>
  </si>
  <si>
    <t xml:space="preserve">Regla 12.5 / Objeto en la mano</t>
  </si>
  <si>
    <t xml:space="preserve">RJ12-050</t>
  </si>
  <si>
    <t xml:space="preserve">A efectos de las infracciones por mano y del fuera de juego, el límite superior del brazo coincide con:</t>
  </si>
  <si>
    <t xml:space="preserve">El punto inferior de la axila.</t>
  </si>
  <si>
    <t xml:space="preserve">La línea superior del hombro.</t>
  </si>
  <si>
    <t xml:space="preserve">La mitad del bíceps.</t>
  </si>
  <si>
    <t xml:space="preserve">Para determinar con claridad las infracciones por mano, el límite superior del brazo coincide con el punto inferior de la axila. El mismo límite se aplica para valorar la posición de fuera de juego.</t>
  </si>
  <si>
    <t xml:space="preserve">Regla 12.1 / Tocar el balón con la mano</t>
  </si>
  <si>
    <t xml:space="preserve">RJ12-051</t>
  </si>
  <si>
    <t xml:space="preserve">Dentro de su propia área, un defensor mueve el brazo en dirección al balón y desvía un centro, sin que exista ocasión manifiesta de gol. El árbitro...</t>
  </si>
  <si>
    <t xml:space="preserve">Comete infracción el jugador que toca el balón de manera voluntaria con la mano o el brazo, por ejemplo haciendo un movimiento en dirección al balón con estas partes del cuerpo.</t>
  </si>
  <si>
    <t xml:space="preserve">RJ12-052</t>
  </si>
  <si>
    <t xml:space="preserve">Un defensor toca con la mano de forma voluntaria, dentro de su área, un centro peligroso e impide un ataque prometedor, pero no una ocasión manifiesta de gol. ¿Qué decide el árbitro?</t>
  </si>
  <si>
    <t xml:space="preserve">Concede penal y amonesta al defensor por conducta antideportiva.</t>
  </si>
  <si>
    <t xml:space="preserve">Concede penal y expulsa al defensor por evitar una ocasión manifiesta de gol.</t>
  </si>
  <si>
    <t xml:space="preserve">Concede penal y no adopta medida disciplinaria.</t>
  </si>
  <si>
    <t xml:space="preserve">Tocar el balón con la mano para obstaculizar o impedir que progrese un ataque prometedor es conducta antideportiva y se amonesta.</t>
  </si>
  <si>
    <t xml:space="preserve">Regla 12.4 / Amonestaciones por conducta antideportiva</t>
  </si>
  <si>
    <t xml:space="preserve">RJ12-053</t>
  </si>
  <si>
    <t xml:space="preserve">Al saltar en un centro lateral, el brazo de un defensor está extendido hacia arriba, separado del cuerpo, de forma que no se justifica por el movimiento de su cuerpo, y el balón le golpea en él. ¿Qué decide el árbitro?</t>
  </si>
  <si>
    <t xml:space="preserve">Sanciona infracción por mano, porque el brazo está en posición antinatural y hace que el cuerpo ocupe más espacio.</t>
  </si>
  <si>
    <t xml:space="preserve">No sanciona, porque el contacto es accidental y no hay intención, con independencia de la posición del brazo.</t>
  </si>
  <si>
    <t xml:space="preserve">Sanciona libre indirecto por juego peligroso, al considerar que el brazo extendido constituye un riesgo para el rival.</t>
  </si>
  <si>
    <t xml:space="preserve">Cometerá infracción el jugador que toque el balón con la mano o el brazo cuando su posición sea antinatural y consiga que el cuerpo ocupe más espacio, aunque el contacto no sea voluntario.</t>
  </si>
  <si>
    <t xml:space="preserve">RJ12-054</t>
  </si>
  <si>
    <t xml:space="preserve">Un atacante recibe un balón que le golpea accidentalmente en el brazo y, de forma inmediata y sin ningún otro contacto, marca gol (de cabeza, con el pie, o entrando el balón directamente). ¿Qué decisión toma el árbitro en estos casos?</t>
  </si>
  <si>
    <t xml:space="preserve">Anula el gol y concede libre directo al equipo defensor.</t>
  </si>
  <si>
    <t xml:space="preserve">Concede el gol como válido, al haber sido un contacto accidental con el brazo.</t>
  </si>
  <si>
    <t xml:space="preserve">Anula el gol y concede libre indirecto al equipo defensor.</t>
  </si>
  <si>
    <t xml:space="preserve">Se anula cualquier gol marcado por un equipo que, inmediatamente antes, haya tocado el balón con la mano o el brazo, incluso de forma accidental; se concede libre directo al equipo defensor.</t>
  </si>
  <si>
    <t xml:space="preserve">RJ12-056</t>
  </si>
  <si>
    <t xml:space="preserve">El guardameta sale de su área y toca voluntariamente el balón con las manos, impidiendo una ocasión manifiesta de gol de un delantero. ¿Qué decide el árbitro?</t>
  </si>
  <si>
    <t xml:space="preserve">Concede libre directo donde se produjo la infracción y expulsa al guardameta.</t>
  </si>
  <si>
    <t xml:space="preserve">Concede libre indirecto y amonesta al guardameta.</t>
  </si>
  <si>
    <t xml:space="preserve">Concede libre directo sin sanción disciplinaria, por ser el guardameta.</t>
  </si>
  <si>
    <t xml:space="preserve">El guardameta está sujeto a las mismas restricciones que cualquier jugador fuera de su área; la mano voluntaria que evita una ocasión manifiesta de gol se sanciona con expulsión salvo que sea el guardameta en su propia área.</t>
  </si>
  <si>
    <t xml:space="preserve">Regla 12.1 y 12.4 / Guardameta y mano fuera del área</t>
  </si>
  <si>
    <t xml:space="preserve">RJ12-057</t>
  </si>
  <si>
    <t xml:space="preserve">El guardameta recoge con las manos, dentro de su área, un balón que recibe directamente de un saque de banda de un compañero, o que un compañero le cede claramente con el pie. ¿Qué decide el árbitro en los dos casos?</t>
  </si>
  <si>
    <t xml:space="preserve">En los dos casos lo mismo: concede libre indirecto al equipo contrario, sin sanción disciplinaria.</t>
  </si>
  <si>
    <t xml:space="preserve">Solo se sanciona la cesión con el pie; en el saque de banda no hay infracción.</t>
  </si>
  <si>
    <t xml:space="preserve">Concede libre directo al equipo contrario y amonesta al guardameta, en ambos casos.</t>
  </si>
  <si>
    <t xml:space="preserve">El guardameta no puede tocar con las manos un balón que reciba directamente de un saque de banda de su equipo ni uno que un compañero le ceda con el pie; se concede libre indirecto, sin sanción disciplinaria.</t>
  </si>
  <si>
    <t xml:space="preserve">Regla 12.2 / Infracciones del guardameta</t>
  </si>
  <si>
    <t xml:space="preserve">RJ12-058</t>
  </si>
  <si>
    <t xml:space="preserve">El guardameta, dentro de su área, suelta el balón con las manos y, antes de que lo toque ningún otro jugador, lo vuelve a coger con las manos. ¿Qué decisión toma el árbitro?</t>
  </si>
  <si>
    <t xml:space="preserve">Concede libre directo al equipo contrario.</t>
  </si>
  <si>
    <t xml:space="preserve">Concede libre indirecto al equipo contrario.</t>
  </si>
  <si>
    <t xml:space="preserve">Concede saque de esquina.</t>
  </si>
  <si>
    <t xml:space="preserve">Se concede libre indirecto si el guardameta toca el balón con las manos o brazos después de soltarlo y antes de que lo toque otro jugador.</t>
  </si>
  <si>
    <t xml:space="preserve">RJ12-059</t>
  </si>
  <si>
    <t xml:space="preserve">Tras un saque de meta ejecutado correctamente por el guardameta, el balón queda en su área y este lo toca de nuevo con la mano antes de que lo toque otro jugador, desviando un balón que se dirigía a portería y evitando un gol. ¿Qué decide el árbitro?</t>
  </si>
  <si>
    <t xml:space="preserve">Concede libre indirecto y expulsa al guardameta.</t>
  </si>
  <si>
    <t xml:space="preserve">Concede libre indirecto sin sanción disciplinaria, por estar en su área.</t>
  </si>
  <si>
    <t xml:space="preserve">Si la infracción consiste en jugar el balón por segunda vez tras reanudarse el juego y antes de que lo toque otro jugador, se sanciona al guardameta si con ella evita un gol o una ocasión manifiesta de gol.</t>
  </si>
  <si>
    <t xml:space="preserve">Regla 12.1 / Segundo toque del guardameta</t>
  </si>
  <si>
    <t xml:space="preserve">RJ12-060</t>
  </si>
  <si>
    <t xml:space="preserve">Un defensor comete una falta imprudente sobre un atacante dentro de su propia área penal. ¿Cómo se reanuda el juego?</t>
  </si>
  <si>
    <t xml:space="preserve">Con un tiro penal, al haberse cometido la falta dentro del área del infractor.</t>
  </si>
  <si>
    <t xml:space="preserve">Con un libre directo en el borde del área, al tratarse de una falta imprudente.</t>
  </si>
  <si>
    <t xml:space="preserve">Con un libre indirecto dentro del área, al tratarse de una infracción del defensor.</t>
  </si>
  <si>
    <t xml:space="preserve">Las infracciones sancionables con libre directo cometidas por un jugador dentro de su propia área se sancionan con tiro penal.</t>
  </si>
  <si>
    <t xml:space="preserve">Regla 12.5 / Reanudación tras faltas</t>
  </si>
  <si>
    <t xml:space="preserve">RJ12-061</t>
  </si>
  <si>
    <t xml:space="preserve">Un atacante empuja de manera imprudente al guardameta rival dentro del área de penal de este. ¿Cómo se reanuda el juego?</t>
  </si>
  <si>
    <t xml:space="preserve">Con un libre directo a favor del equipo defensor.</t>
  </si>
  <si>
    <t xml:space="preserve">Con un tiro penal a favor del equipo atacante.</t>
  </si>
  <si>
    <t xml:space="preserve">Con un libre indirecto a favor del equipo defensor.</t>
  </si>
  <si>
    <t xml:space="preserve">La falta del atacante es sancionable con libre directo y se concede al equipo contrario en el lugar de la infracción; el penal solo se señala si el infractor es un defensor en su propia área.</t>
  </si>
  <si>
    <t xml:space="preserve">Regla 12.1 y 12.5 / Reanudación tras faltas</t>
  </si>
  <si>
    <t xml:space="preserve">RJ12-062</t>
  </si>
  <si>
    <t xml:space="preserve">Según la Regla 12, se considera «juego peligroso»:</t>
  </si>
  <si>
    <t xml:space="preserve">Toda acción que, al intentar jugar el balón, suponga riesgo de lesión, incluso para el propio jugador, o impida jugarlo a un adversario cercano por temor a lesionarse.</t>
  </si>
  <si>
    <t xml:space="preserve">Toda acción con contacto físico que se realice con fuerza excesiva contra un adversario, haya o no disputa del balón, aunque no suponga riesgo de lesión para el propio jugador.</t>
  </si>
  <si>
    <t xml:space="preserve">Toda acción en la que el jugador levanta el pie a la altura de la cintura o por encima, haya o no adversarios cerca, aunque no impida a nadie jugar el balón.</t>
  </si>
  <si>
    <t xml:space="preserve">El juego peligroso es cualquier acción que, al intentar jugar el balón, entrañe riesgo de lesión (incluso para uno mismo) o que impida que un adversario cercano juegue el balón por temor a lesionarse.</t>
  </si>
  <si>
    <t xml:space="preserve">Regla 12.2 / Juego peligroso</t>
  </si>
  <si>
    <t xml:space="preserve">RJ12-063</t>
  </si>
  <si>
    <t xml:space="preserve">Un jugador remata de chilena dentro del área sin que haya ningún adversario cerca y sin entrañar peligro para nadie. ¿Qué decide el árbitro?</t>
  </si>
  <si>
    <t xml:space="preserve">Deja seguir el juego, porque las voleas acrobáticas están permitidas mientras no entrañen peligro para el adversario.</t>
  </si>
  <si>
    <t xml:space="preserve">Concede libre indirecto por juego peligroso, al considerar que cualquier volea acrobática entraña un riesgo excesivo.</t>
  </si>
  <si>
    <t xml:space="preserve">Concede libre directo por patada alta, entendiendo que el remate de chilena constituye una infracción grave.</t>
  </si>
  <si>
    <t xml:space="preserve">Están permitidas las voleas acrobáticas (remates de chilena o tijera) siempre que no entrañen ningún peligro para el adversario.</t>
  </si>
  <si>
    <t xml:space="preserve">RJ12-064</t>
  </si>
  <si>
    <t xml:space="preserve">Un jugador intenta un remate de tijera cuando un adversario cercano retira la cabeza por temor a ser golpeado, sin llegar a producirse contacto. ¿Qué decide el árbitro?</t>
  </si>
  <si>
    <t xml:space="preserve">Concede libre directo por patada.</t>
  </si>
  <si>
    <t xml:space="preserve">Concede libre indirecto por juego peligroso.</t>
  </si>
  <si>
    <t xml:space="preserve">Deja seguir el juego, porque no ha habido contacto.</t>
  </si>
  <si>
    <t xml:space="preserve">Es juego peligroso la acción que impide que un adversario cercano juegue el balón por temor a lesionarse, aunque no haya contacto; se sanciona con libre indirecto.</t>
  </si>
  <si>
    <t xml:space="preserve">RJ12-065</t>
  </si>
  <si>
    <t xml:space="preserve">Según la Regla 12, «obstaculizar el avance de un adversario sin que exista contacto» consiste en:</t>
  </si>
  <si>
    <t xml:space="preserve">Interponerse en su camino para bloquearlo, ralentizarlo o hacerle cambiar de dirección cuando el balón no está a distancia de juego.</t>
  </si>
  <si>
    <t xml:space="preserve">Impedirle recibir el balón mediante una carga legal cuando el balón está a distancia de juego de los jugadores involucrados.</t>
  </si>
  <si>
    <t xml:space="preserve">Retenerlo con los brazos o con el cuerpo para que no llegue al balón cuando este está a distancia de juego de ambos.</t>
  </si>
  <si>
    <t xml:space="preserve">Obstaculizar es interponerse en el camino del adversario para obstruir, bloquear, ralentizar o forzar a cambiar de dirección cuando el balón no está a distancia de juego de los jugadores involucrados.</t>
  </si>
  <si>
    <t xml:space="preserve">Regla 12.2 / Obstaculizar sin contacto</t>
  </si>
  <si>
    <t xml:space="preserve">RJ12-066</t>
  </si>
  <si>
    <t xml:space="preserve">Con el balón a diez metros y fuera de la distancia de juego, un defensor se interpone deliberadamente en la carrera de un atacante para bloquearlo, sin llegar a tocarlo. El árbitro...</t>
  </si>
  <si>
    <t xml:space="preserve">Obstaculizar el avance de un adversario sin que exista contacto físico se sanciona con libre indirecto.</t>
  </si>
  <si>
    <t xml:space="preserve">RJ12-067</t>
  </si>
  <si>
    <t xml:space="preserve">Un defensor permanece quieto en su posición y un atacante que corre choca contra él cuando el balón no estaba a distancia de juego. ¿Qué decide el árbitro?</t>
  </si>
  <si>
    <t xml:space="preserve">No sanciona al defensor: encontrarse en el camino de un adversario no es lo mismo que interponerse en su camino.</t>
  </si>
  <si>
    <t xml:space="preserve">Concede libre indirecto por obstaculizar el avance sin contacto, al haberse producido el choque entre ambos jugadores.</t>
  </si>
  <si>
    <t xml:space="preserve">Concede libre directo por obstaculizar mediante contacto físico, al haber chocado el atacante contra el defensor.</t>
  </si>
  <si>
    <t xml:space="preserve">Todos los jugadores tienen derecho a guardar su posición en el terreno de juego; encontrarse en el camino de un adversario no es lo mismo que interponerse en su camino.</t>
  </si>
  <si>
    <t xml:space="preserve">RJ12-068</t>
  </si>
  <si>
    <t xml:space="preserve">Un jugador protege el balón, que está a distancia de juego, colocándose entre este y su adversario sin retenerlo con los brazos ni con el cuerpo. ¿Qué decide el árbitro?</t>
  </si>
  <si>
    <t xml:space="preserve">Concede libre indirecto por obstaculizar el avance.</t>
  </si>
  <si>
    <t xml:space="preserve">Concede libre directo por obstaculizar mediante contacto.</t>
  </si>
  <si>
    <t xml:space="preserve">Deja seguir el juego, porque no hay infracción.</t>
  </si>
  <si>
    <t xml:space="preserve">Los jugadores pueden proteger el balón colocándose entre este y un adversario mientras el balón esté a distancia de juego y no retengan a su adversario con los brazos o el cuerpo.</t>
  </si>
  <si>
    <t xml:space="preserve">Regla 12.2 / Proteger el balón</t>
  </si>
  <si>
    <t xml:space="preserve">RJ12-069</t>
  </si>
  <si>
    <t xml:space="preserve">Un jugador protege el balón, a distancia de juego, interponiéndose ante su adversario y extendiendo los brazos para retenerlo. ¿Qué decide el árbitro?</t>
  </si>
  <si>
    <t xml:space="preserve">Concede libre indirecto por obstaculizar sin contacto.</t>
  </si>
  <si>
    <t xml:space="preserve">Concede libre directo por sujetar a un adversario.</t>
  </si>
  <si>
    <t xml:space="preserve">Deja seguir el juego, porque el balón está a distancia de juego.</t>
  </si>
  <si>
    <t xml:space="preserve">Proteger el balón solo es lícito si el jugador no retiene al adversario con los brazos o el cuerpo; si lo retiene, comete la infracción de sujetar (libre directo).</t>
  </si>
  <si>
    <t xml:space="preserve">RJ12-070</t>
  </si>
  <si>
    <t xml:space="preserve">Un jugador protege el balón, que está a distancia de juego, y su adversario le carga con el hombro de forma reglamentaria para disputárselo. ¿Qué decide el árbitro?</t>
  </si>
  <si>
    <t xml:space="preserve">Deja seguir el juego, porque el adversario puede cargar dentro de los márgenes permitidos.</t>
  </si>
  <si>
    <t xml:space="preserve">Concede libre indirecto al jugador que protegía el balón, al haber sido cargado.</t>
  </si>
  <si>
    <t xml:space="preserve">Concede libre directo al jugador que protegía el balón, al haber sido cargado.</t>
  </si>
  <si>
    <t xml:space="preserve">Si el balón se halla a distancia de juego, el adversario puede cargar contra el jugador que lo protege dentro de los márgenes permitidos por las Reglas de Juego.</t>
  </si>
  <si>
    <t xml:space="preserve">RJ12-071</t>
  </si>
  <si>
    <t xml:space="preserve">Un jugador reclama a gritos al árbitro tras una decisión, mostrando su desaprobación con palabras, con el balón en juego y dentro del terreno de juego. ¿Cómo se sanciona?</t>
  </si>
  <si>
    <t xml:space="preserve">Con libre indirecto a favor del equipo contrario y amonestación del jugador.</t>
  </si>
  <si>
    <t xml:space="preserve">Con libre directo a favor del equipo contrario y amonestación del jugador.</t>
  </si>
  <si>
    <t xml:space="preserve">Con balón a tierra y advertencia verbal.</t>
  </si>
  <si>
    <t xml:space="preserve">Mostrar desaprobación con palabras es infracción sancionable con libre indirecto (todas las infracciones de carácter verbal) y amonestación.</t>
  </si>
  <si>
    <t xml:space="preserve">Regla 12.2 y 12.4 / Desaprobación</t>
  </si>
  <si>
    <t xml:space="preserve">RJ12-072</t>
  </si>
  <si>
    <t xml:space="preserve">Un atacante se interpone físicamente en la trayectoria del guardameta que está soltando el balón, o intenta jugar con el pie el balón que el guardameta acaba de soltar con la mano, sin llegar a tocarlo. ¿Qué decide el árbitro en ambos casos?</t>
  </si>
  <si>
    <t xml:space="preserve">En ambos casos concede libre indirecto a favor del equipo defensor.</t>
  </si>
  <si>
    <t xml:space="preserve">Solo sanciona si llega a tocar el balón; si no lo toca, el juego continúa.</t>
  </si>
  <si>
    <t xml:space="preserve">Concede libre directo a favor del equipo defensor y amonesta al atacante.</t>
  </si>
  <si>
    <t xml:space="preserve">Se concede libre indirecto si un jugador impide que el guardameta saque el balón con la mano, lo juegue o intente jugarlo cuando está en proceso de soltarlo, aunque no llegue a tocarlo.</t>
  </si>
  <si>
    <t xml:space="preserve">Regla 12.2 / Impedir que el guardameta suelte el balón</t>
  </si>
  <si>
    <t xml:space="preserve">RJ12-074</t>
  </si>
  <si>
    <t xml:space="preserve">Un defensor levanta el balón con el pie con la intención de cedérselo al guardameta con el pecho para que este lo coja con las manos. ¿Qué decide el árbitro?</t>
  </si>
  <si>
    <t xml:space="preserve">Concede libre indirecto al equipo contrario y amonesta al defensor por conducta antideportiva.</t>
  </si>
  <si>
    <t xml:space="preserve">Concede libre directo al equipo contrario y amonesta al defensor.</t>
  </si>
  <si>
    <t xml:space="preserve">Deja seguir el juego, porque el guardameta no ha tocado el balón con las manos.</t>
  </si>
  <si>
    <t xml:space="preserve">Iniciar una acción que trate de burlar la Regla deliberadamente para hacer llegar el balón al guardameta con la cabeza, el pecho, la rodilla, etc. se sanciona con libre indirecto y amonestación, independientemente de que el guardameta toque el balón con la mano.</t>
  </si>
  <si>
    <t xml:space="preserve">Regla 12.2 y 12.4 / Burlar la Regla</t>
  </si>
  <si>
    <t xml:space="preserve">RJ12-075</t>
  </si>
  <si>
    <t xml:space="preserve">Un defensor cede el balón a su guardameta de cabeza o con la rodilla, de forma espontánea y sin ánimo de burlar la Regla, y este lo coge con las manos. ¿Qué decide el árbitro?</t>
  </si>
  <si>
    <t xml:space="preserve">Deja seguir el juego, porque la cesión no ha sido con el pie y no hay ardid para burlar la Regla.</t>
  </si>
  <si>
    <t xml:space="preserve">Concede libre indirecto al equipo contrario, al coger el guardameta con las manos una cesión de un compañero.</t>
  </si>
  <si>
    <t xml:space="preserve">Concede libre directo al equipo contrario y amonesta al defensor por conducta antideportiva.</t>
  </si>
  <si>
    <t xml:space="preserve">La infracción del guardameta por cesión se limita a la cesión con el pie, salvo que exista una acción deliberada para burlar la Regla; una cesión espontánea de cabeza o con la rodilla, sin ardid, no es infracción.</t>
  </si>
  <si>
    <t xml:space="preserve">Regla 12.2 / Burlar la Regla</t>
  </si>
  <si>
    <t xml:space="preserve">RJ12-078</t>
  </si>
  <si>
    <t xml:space="preserve">El guardameta lanza el balón al aire con las manos dentro de su área, lo deja botar y lo vuelve a coger con las manos antes de que lo toque otro jugador, sin superar los ocho segundos. ¿Qué decide el árbitro?</t>
  </si>
  <si>
    <t xml:space="preserve">Concede libre indirecto por tocarlo de nuevo con las manos tras soltarlo, al haber quedado el balón fuera de su control.</t>
  </si>
  <si>
    <t xml:space="preserve">Deja seguir el juego, porque lanzar el balón al aire o hacerlo botar es controlarlo, no soltarlo.</t>
  </si>
  <si>
    <t xml:space="preserve">Concede libre directo por juego peligroso, al considerar que botar el balón dentro del área constituye una infracción.</t>
  </si>
  <si>
    <t xml:space="preserve">Un guardameta controla el balón cuando lo retiene, lo sostiene con las manos abiertas y extendidas, lo hace rebotar en el suelo o lo lanza al aire; por tanto, no lo ha soltado y no comete infracción si no supera los ocho segundos.</t>
  </si>
  <si>
    <t xml:space="preserve">Regla 12.3 / Control del balón del guardameta</t>
  </si>
  <si>
    <t xml:space="preserve">RJ12-079</t>
  </si>
  <si>
    <t xml:space="preserve">Según la Regla 12, el guardameta controla el balón con las manos o los brazos cuando:</t>
  </si>
  <si>
    <t xml:space="preserve">Lo retiene en las manos o brazos, lo sostiene con las manos abiertas y extendidas, o lo bota o lanza al aire.</t>
  </si>
  <si>
    <t xml:space="preserve">Lo retiene con ambas manos pegado al pecho, pero no cuando lo sostiene con las manos abiertas o lo bota.</t>
  </si>
  <si>
    <t xml:space="preserve">Lo sujeta contra el suelo hasta dejarlo inmóvil, pero no cuando lo bota en el suelo o lo lanza al aire.</t>
  </si>
  <si>
    <t xml:space="preserve">El guardameta controla el balón cuando lo retiene en manos o brazos (o entre mano/brazo y una superficie), lo sostiene con las manos abiertas y extendidas, o lo hace rebotar o lo lanza al aire.</t>
  </si>
  <si>
    <t xml:space="preserve">RJ12-080</t>
  </si>
  <si>
    <t xml:space="preserve">El guardameta retiene el balón en su propia área más de ocho segundos (sosteniéndolo con las manos abiertas y extendidas, atrapado contra el suelo, o haciéndolo botar sin soltarlo), sin que ningún adversario se lo dispute. ¿Qué decide el árbitro en los tres casos?</t>
  </si>
  <si>
    <t xml:space="preserve">En los tres casos lo mismo: concede saque de esquina al equipo adversario.</t>
  </si>
  <si>
    <t xml:space="preserve">Solo se sanciona si sostiene el balón con la mano abierta; en los otros dos casos no hay infracción.</t>
  </si>
  <si>
    <t xml:space="preserve">Concede saque de esquina solo si supera los diez segundos; antes de eso no es sancionable.</t>
  </si>
  <si>
    <t xml:space="preserve">Se concederá un saque de esquina si el guardameta controla el balón con las manos o los brazos durante más de ocho segundos antes de soltarlo, sea cual sea la forma concreta de retención (sosteniéndolo, atrapándolo contra el suelo, o haciéndolo botar sin soltarlo).</t>
  </si>
  <si>
    <t xml:space="preserve">Regla 12.3 / Ocho segundos</t>
  </si>
  <si>
    <t xml:space="preserve">RJ12-084</t>
  </si>
  <si>
    <t xml:space="preserve">¿Cómo debe efectuar el árbitro la cuenta atrás de los ocho segundos del guardameta según la Regla 12.3?</t>
  </si>
  <si>
    <t xml:space="preserve">Con el silbato, tras los ocho segundos completos.</t>
  </si>
  <si>
    <t xml:space="preserve">Con la mano alzada, contando hacia atrás los últimos cinco segundos.</t>
  </si>
  <si>
    <t xml:space="preserve">Con la mano alzada, contando hacia atrás los últimos tres segundos.</t>
  </si>
  <si>
    <t xml:space="preserve">El árbitro efectuará con la mano alzada la cuenta atrás de los últimos cinco segundos.</t>
  </si>
  <si>
    <t xml:space="preserve">Regla 12.3 / Cuenta de ocho segundos</t>
  </si>
  <si>
    <t xml:space="preserve">RJ12-085</t>
  </si>
  <si>
    <t xml:space="preserve">Mientras el guardameta controla el balón con las manos dentro de su área, ¿puede un adversario disputárselo?</t>
  </si>
  <si>
    <t xml:space="preserve">Sí, sin emplear fuerza excesiva.</t>
  </si>
  <si>
    <t xml:space="preserve">Sí, pasados cinco segundos.</t>
  </si>
  <si>
    <t xml:space="preserve">La Regla 12.3 establece que, mientras el guardameta controle el balón con las manos o los brazos, ningún adversario podrá disputárselo.</t>
  </si>
  <si>
    <t xml:space="preserve">Regla 12.3 / Adversarios y guardameta</t>
  </si>
  <si>
    <t xml:space="preserve">RJ12-086</t>
  </si>
  <si>
    <t xml:space="preserve">El guardameta controla el balón con las manos fuera de su área penal durante más de ocho segundos. ¿Qué decide el árbitro?</t>
  </si>
  <si>
    <t xml:space="preserve">Sanciona la infracción por mano fuera del área con libre directo, no con saque de esquina.</t>
  </si>
  <si>
    <t xml:space="preserve">Concede saque de esquina al equipo adversario, aplicando el mismo criterio que si la retención fuera dentro del área.</t>
  </si>
  <si>
    <t xml:space="preserve">Concede libre indirecto al equipo adversario, al tratarse de una simple retención excesiva del balón con las manos.</t>
  </si>
  <si>
    <t xml:space="preserve">El saque de esquina por retención se concede solo si el guardameta está dentro de su propia área; fuera de ella está sujeto a las restricciones de cualquier jugador respecto a la mano.</t>
  </si>
  <si>
    <t xml:space="preserve">RJ12-087</t>
  </si>
  <si>
    <t xml:space="preserve">Según la Regla 12.4, ¿a quién se le pueden mostrar tarjetas amarillas o rojas?</t>
  </si>
  <si>
    <t xml:space="preserve">A jugadores, suplentes, jugadores sustituidos y miembros del cuerpo técnico.</t>
  </si>
  <si>
    <t xml:space="preserve">A jugadores, suplentes y jugadores sustituidos, pero no a miembros del cuerpo técnico.</t>
  </si>
  <si>
    <t xml:space="preserve">A cualquier persona presente en el recinto, incluidos delegados y auxiliares.</t>
  </si>
  <si>
    <t xml:space="preserve">Solo se podrán mostrar tarjetas amarillas o rojas a los jugadores, a los suplentes, a los jugadores sustituidos o a los miembros del cuerpo técnico.</t>
  </si>
  <si>
    <t xml:space="preserve">Regla 12.4 / Tarjetas</t>
  </si>
  <si>
    <t xml:space="preserve">RJ12-089</t>
  </si>
  <si>
    <t xml:space="preserve">El árbitro ha decidido amonestar a un jugador. El equipo no infractor quiere ejecutar el libre rápido y no existe clara ocasión de gol. ¿Qué hace el árbitro?</t>
  </si>
  <si>
    <t xml:space="preserve">No permite reanudar hasta haber mostrado la tarjeta al infractor.</t>
  </si>
  <si>
    <t xml:space="preserve">Permite reanudar rápidamente y muestra la tarjeta en la siguiente interrupción.</t>
  </si>
  <si>
    <t xml:space="preserve">Permite reanudar y no muestra la tarjeta, al haberse ganado ventaja.</t>
  </si>
  <si>
    <t xml:space="preserve">Una vez decidida la amonestación, el juego no debe reanudarse hasta haber mostrado la tarjeta, salvo que el equipo no infractor quiera ejecutar rápido, tenga clara ocasión de gol y no se haya iniciado el procedimiento.</t>
  </si>
  <si>
    <t xml:space="preserve">Regla 12.4 / Retrasar la reanudación para mostrar una tarjeta</t>
  </si>
  <si>
    <t xml:space="preserve">RJ12-090</t>
  </si>
  <si>
    <t xml:space="preserve">El árbitro decide amonestar a un defensor y, cuando aún no ha iniciado el procedimiento de mostrar la tarjeta, el equipo atacante saca rápido el libre y dispone de una clara ocasión de gol. ¿Qué hace el árbitro?</t>
  </si>
  <si>
    <t xml:space="preserve">Permite que el juego continúe y muestra la tarjeta en la siguiente interrupción.</t>
  </si>
  <si>
    <t xml:space="preserve">Detiene el juego y muestra la tarjeta inmediatamente, aunque el juego ya se hubiera reanudado.</t>
  </si>
  <si>
    <t xml:space="preserve">Renuncia a amonestar, porque el juego ya se reanudó tras la falta.</t>
  </si>
  <si>
    <t xml:space="preserve">Si el equipo no infractor quiere un libre rápido, hay clara ocasión de gol y el árbitro no ha iniciado el procedimiento, la tarjeta se mostrará en la siguiente interrupción.</t>
  </si>
  <si>
    <t xml:space="preserve">RJ12-091</t>
  </si>
  <si>
    <t xml:space="preserve">Un defensor evita con una falta una ocasión manifiesta de gol. El equipo atacante ejecuta rápidamente el tiro libre y tiene una clara ocasión de gol, sin que el árbitro haya iniciado el procedimiento de sanción. El árbitro...</t>
  </si>
  <si>
    <t xml:space="preserve">Permite la reanudación y amonesta al infractor en la siguiente interrupción del juego.</t>
  </si>
  <si>
    <t xml:space="preserve">Permite la reanudación y expulsa al infractor en la siguiente interrupción del juego.</t>
  </si>
  <si>
    <t xml:space="preserve">Permite la reanudación y no toma medida disciplinaria contra el infractor en la siguiente interrupción.</t>
  </si>
  <si>
    <t xml:space="preserve">Evitar una ocasión manifiesta de gol mediante una infracción es, por sí solo, motivo de expulsión. Pero si el equipo no infractor quiere ejecutar un tiro libre rápido, dispone de una clara ocasión de gol y el árbitro no ha iniciado aún el procedimiento de sanción, se permite la reanudación inmediata y la sanción se rebaja a amonestación, que se mostrará en la siguiente interrupción del juego.</t>
  </si>
  <si>
    <t xml:space="preserve">RJ12-092</t>
  </si>
  <si>
    <t xml:space="preserve">El árbitro concede ventaja tras una falta merecedora de amonestación (sin ocasión manifiesta de gol), y el juego se detiene bien porque el balón sale fuera de juego, bien porque el equipo beneficiado marca gol. ¿Cuándo aplica la amonestación?</t>
  </si>
  <si>
    <t xml:space="preserve">En cuanto el balón deje de estar en juego, en ambos casos.</t>
  </si>
  <si>
    <t xml:space="preserve">No la aplica, ni porque concedió ventaja ni porque se marcó gol.</t>
  </si>
  <si>
    <t xml:space="preserve">Al finalizar el partido, incluyéndola en el acta.</t>
  </si>
  <si>
    <t xml:space="preserve">Si el árbitro concede ventaja tras una infracción merecedora de amonestación, esta se aplica en cuanto el balón deje de estar en juego, aunque el equipo beneficiado marque gol: la exención por gol solo afecta a las infracciones que evitan una ocasión manifiesta de gol.</t>
  </si>
  <si>
    <t xml:space="preserve">Regla 12.4 / Ventaja</t>
  </si>
  <si>
    <t xml:space="preserve">RJ12-093</t>
  </si>
  <si>
    <t xml:space="preserve">El árbitro aplica la ventaja tras una falta que evitaba una ocasión manifiesta de gol y el equipo atacante marca gol como consecuencia. El árbitro...</t>
  </si>
  <si>
    <t xml:space="preserve">Concede el gol y no toma medida disciplinaria contra el infractor.</t>
  </si>
  <si>
    <t xml:space="preserve">Concede el gol y amonesta al infractor por conducta antideportiva.</t>
  </si>
  <si>
    <t xml:space="preserve">Concede el gol y expulsa al infractor por evitar una ocasión de gol.</t>
  </si>
  <si>
    <t xml:space="preserve">Si el árbitro concede ventaja tras una infracción destinada a evitar una ocasión manifiesta de gol y el equipo atacante marca gol, no se produce sanción disciplinaria.</t>
  </si>
  <si>
    <t xml:space="preserve">RJ12-094</t>
  </si>
  <si>
    <t xml:space="preserve">El árbitro concede ventaja tras una infracción que evitó una ocasión manifiesta de gol y el equipo atacante no consigue marcar. ¿Qué medida disciplinaria toma cuando el balón deja de estar en juego?</t>
  </si>
  <si>
    <t xml:space="preserve">Expulsa al infractor por evitar una ocasión manifiesta de gol.</t>
  </si>
  <si>
    <t xml:space="preserve">No toma medida alguna, al haber concedido ventaja.</t>
  </si>
  <si>
    <t xml:space="preserve">Amonesta al infractor por conducta antideportiva.</t>
  </si>
  <si>
    <t xml:space="preserve">Si con la infracción se evitó una ocasión manifiesta de gol y se concedió ventaja, el jugador será amonestado por conducta antideportiva, salvo que se marque gol como consecuencia de la ventaja.</t>
  </si>
  <si>
    <t xml:space="preserve">RJ12-095</t>
  </si>
  <si>
    <t xml:space="preserve">El árbitro concede ventaja tras una infracción que solo interfirió en un ataque prometedor, y el atacante pierde el balón. ¿Qué sanción aplica al infractor?</t>
  </si>
  <si>
    <t xml:space="preserve">Ninguna sanción disciplinaria, al haber concedido ventaja tras interferir en un ataque prometedor.</t>
  </si>
  <si>
    <t xml:space="preserve">Amonestación por conducta antideportiva, al haber interferido en un ataque prometedor.</t>
  </si>
  <si>
    <t xml:space="preserve">Expulsión por evitar un ataque prometedor, aunque se haya concedido ventaja.</t>
  </si>
  <si>
    <t xml:space="preserve">Al conceder ventaja, no se amonestará al jugador si con la infracción se interfirió en un ataque prometedor o se acabó evitando.</t>
  </si>
  <si>
    <t xml:space="preserve">RJ12-096</t>
  </si>
  <si>
    <t xml:space="preserve">Un jugador comete una falta de juego brusco y grave cuando el equipo contrario podría beneficiarse de la ventaja, sin que exista ocasión manifiesta de gol. El árbitro...</t>
  </si>
  <si>
    <t xml:space="preserve">No aplica la ventaja.</t>
  </si>
  <si>
    <t xml:space="preserve">Aplica la ventaja y expulsa al jugador después.</t>
  </si>
  <si>
    <t xml:space="preserve">Aplica la ventaja si su equipo mantiene el balón.</t>
  </si>
  <si>
    <t xml:space="preserve">No se debe conceder ventaja en el juego brusco y grave, la conducta violenta ni las faltas merecedoras de una segunda amonestación, a menos que se trate de una ocasión manifiesta de gol.</t>
  </si>
  <si>
    <t xml:space="preserve">RJ12-097</t>
  </si>
  <si>
    <t xml:space="preserve">El árbitro aplica la ventaja tras una falta de juego brusco y grave en una ocasión manifiesta de gol, y el infractor juega el balón en la continuación de la jugada. El árbitro...</t>
  </si>
  <si>
    <t xml:space="preserve">Detiene el juego, lo expulsa y reanuda con un tiro libre indirecto.</t>
  </si>
  <si>
    <t xml:space="preserve">Deja que la jugada continúe y lo expulsa cuando el balón deje de estar en juego.</t>
  </si>
  <si>
    <t xml:space="preserve">Si el jugador que debe ser expulsado juega el balón, se lo disputa a un adversario o interfiere con él, el árbitro detiene el juego, lo expulsa y reanuda con libre indirecto, a menos que hubiera cometido una infracción más grave.</t>
  </si>
  <si>
    <t xml:space="preserve">RJ12-098</t>
  </si>
  <si>
    <t xml:space="preserve">Un mismo jugador comete dos infracciones sancionables con amonestación, incluso de forma sucesiva (por ejemplo, entra sin permiso del árbitro y acto seguido realiza una entrada temeraria, o toca el balón con la mano para frustrar un ataque prometedor). ¿Qué decide el árbitro?</t>
  </si>
  <si>
    <t xml:space="preserve">Le muestra una segunda amonestación y, por tanto, la expulsión.</t>
  </si>
  <si>
    <t xml:space="preserve">Le muestra una única amonestación, al tratarse de la misma secuencia de juego.</t>
  </si>
  <si>
    <t xml:space="preserve">Le muestra una amonestación y le advierte verbalmente de la segunda.</t>
  </si>
  <si>
    <t xml:space="preserve">Si un mismo jugador comete dos infracciones sancionables, incluso sucesivamente, se le debe amonestar dos veces y, por tanto, expulsar.</t>
  </si>
  <si>
    <t xml:space="preserve">Regla 12.4 / Doble amonestación</t>
  </si>
  <si>
    <t xml:space="preserve">RJ12-099</t>
  </si>
  <si>
    <t xml:space="preserve">Según la Regla 12.4, ¿cuál de las siguientes acciones NO figura entre las infracciones de los jugadores sancionables con amonestación?</t>
  </si>
  <si>
    <t xml:space="preserve">Emplear lenguaje ofensivo, insultante o humillante contra un adversario.</t>
  </si>
  <si>
    <t xml:space="preserve">Mostrar desaprobación con palabras o acciones ante una decisión arbitral.</t>
  </si>
  <si>
    <t xml:space="preserve">No respetar la distancia reglamentaria en un balón a tierra o en una reanudación.</t>
  </si>
  <si>
    <t xml:space="preserve">Las acciones amonestables incluyen mostrar desaprobación, no respetar la distancia, entrar o abandonar el campo sin permiso, etc.; insultar (lenguaje ofensivo, insultante o humillante) es motivo de expulsión.</t>
  </si>
  <si>
    <t xml:space="preserve">Regla 12.4 / Infracciones sancionables con amonestación</t>
  </si>
  <si>
    <t xml:space="preserve">RJ12-100</t>
  </si>
  <si>
    <t xml:space="preserve">Un jugador no respeta la distancia reglamentaria en la ejecución de un saque de esquina, de un saque de banda, de un tiro libre o de un balón a tierra. ¿Qué decide el árbitro en todos los casos?</t>
  </si>
  <si>
    <t xml:space="preserve">En todos los casos amonesta al jugador por no respetar la distancia reglamentaria.</t>
  </si>
  <si>
    <t xml:space="preserve">Solo lo amonesta en el saque de esquina; en los demás casos le advierte verbalmente.</t>
  </si>
  <si>
    <t xml:space="preserve">Lo expulsa en todos los casos, por impedir la ejecución de la reanudación.</t>
  </si>
  <si>
    <t xml:space="preserve">No respetar la distancia reglamentaria en un balón a tierra, saque de esquina, tiro libre o saque de banda es una infracción sancionable con amonestación.</t>
  </si>
  <si>
    <t xml:space="preserve">RJ12-101</t>
  </si>
  <si>
    <t xml:space="preserve">Un jugador entra en el terreno de juego, o lo abandona, de manera deliberada y sin permiso del árbitro. ¿Qué decide el árbitro en ambos casos?</t>
  </si>
  <si>
    <t xml:space="preserve">En ambos casos lo amonesta por hacerlo sin permiso del árbitro.</t>
  </si>
  <si>
    <t xml:space="preserve">Solo lo amonesta si entra; abandonar el terreno sin permiso no es infracción.</t>
  </si>
  <si>
    <t xml:space="preserve">Lo expulsa en ambos casos, por invadir o abandonar el terreno de juego.</t>
  </si>
  <si>
    <t xml:space="preserve">Entrar o volver a entrar en el terreno de juego, o abandonarlo, de manera deliberada y sin permiso del árbitro es una infracción sancionable con amonestación.</t>
  </si>
  <si>
    <t xml:space="preserve">RJ12-103</t>
  </si>
  <si>
    <t xml:space="preserve">¿Cuántas infracciones debe cometer un jugador para ser amonestado por «infringir reiteradamente las Reglas de Juego»?</t>
  </si>
  <si>
    <t xml:space="preserve">La Regla no fija un número concreto.</t>
  </si>
  <si>
    <t xml:space="preserve">Tres infracciones, según la Regla 12.</t>
  </si>
  <si>
    <t xml:space="preserve">Cinco infracciones, según la Regla 12.</t>
  </si>
  <si>
    <t xml:space="preserve">La Regla 12.4 no define el número de infracciones ni establece otra indicación específica sobre lo que implica «infringir reiteradamente».</t>
  </si>
  <si>
    <t xml:space="preserve">RJ12-104</t>
  </si>
  <si>
    <t xml:space="preserve">Un jugador entra en el área de revisión del VAR durante el partido. El árbitro...</t>
  </si>
  <si>
    <t xml:space="preserve">Entrar en el área de revisión es una infracción sancionable con amonestación para jugadores, suplentes y jugadores sustituidos.</t>
  </si>
  <si>
    <t xml:space="preserve">RJ12-105</t>
  </si>
  <si>
    <t xml:space="preserve">Un jugador repite de manera insistente el gesto de la «revisión» del VAR (pantalla de televisión) ante el árbitro. ¿Qué decide este?</t>
  </si>
  <si>
    <t xml:space="preserve">Lo amonesta, por repetir de manera insistente un gesto que la Regla 12 sanciona expresamente.</t>
  </si>
  <si>
    <t xml:space="preserve">Lo expulsa, al considerar el gesto reiterado como una falta de respeto grave hacia el equipo arbitral.</t>
  </si>
  <si>
    <t xml:space="preserve">Lo advierte y no toma más medidas.</t>
  </si>
  <si>
    <t xml:space="preserve">Repetir de manera insistente el gesto de la «revisión» es infracción sancionable con amonestación.</t>
  </si>
  <si>
    <t xml:space="preserve">RJ12-106</t>
  </si>
  <si>
    <t xml:space="preserve">Un jugador entra en la sala de vídeo mientras el partido está en curso. El árbitro...</t>
  </si>
  <si>
    <t xml:space="preserve">Entrar en la sala de vídeo es una infracción sancionable con expulsión, mientras que entrar en el área de revisión se sanciona con amonestación.</t>
  </si>
  <si>
    <t xml:space="preserve">Regla 12.4 / Infracciones sancionables con expulsión</t>
  </si>
  <si>
    <t xml:space="preserve">RJ12-107</t>
  </si>
  <si>
    <t xml:space="preserve">Un suplente muestra desaprobación con palabras hacia una decisión del árbitro desde el banquillo. El árbitro...</t>
  </si>
  <si>
    <t xml:space="preserve">No puede sancionarlo.</t>
  </si>
  <si>
    <t xml:space="preserve">Se amonestará al suplente o jugador sustituido que muestre desaprobación con palabras o acciones.</t>
  </si>
  <si>
    <t xml:space="preserve">Regla 12.4 / Amonestación de suplentes y sustituidos</t>
  </si>
  <si>
    <t xml:space="preserve">RJ12-108</t>
  </si>
  <si>
    <t xml:space="preserve">Un suplente entra en el terreno de juego sin permiso del árbitro sin interferir en el juego. ¿Qué decide el árbitro?</t>
  </si>
  <si>
    <t xml:space="preserve">Lo amonesta por entrar sin permiso, con independencia de que no llegara a interferir en el juego.</t>
  </si>
  <si>
    <t xml:space="preserve">Lo expulsa, al considerar que cualquier entrada sin permiso conlleva la máxima sanción disciplinaria.</t>
  </si>
  <si>
    <t xml:space="preserve">Lo advierte, porque no interfirió.</t>
  </si>
  <si>
    <t xml:space="preserve">Se amonestará al suplente o jugador sustituido que entre o vuelva a entrar en el terreno de juego sin el permiso del árbitro.</t>
  </si>
  <si>
    <t xml:space="preserve">RJ12-110</t>
  </si>
  <si>
    <t xml:space="preserve">Un jugador finge una lesión con la intención de engañar al árbitro para que este detenga el juego. ¿Qué decide el árbitro?</t>
  </si>
  <si>
    <t xml:space="preserve">Lo advierte verbalmente y no lo sanciona.</t>
  </si>
  <si>
    <t xml:space="preserve">Intentar engañar al árbitro, por ejemplo al fingir una lesión, es conducta antideportiva y se amonesta.</t>
  </si>
  <si>
    <t xml:space="preserve">Regla 12.4 / Conducta antideportiva</t>
  </si>
  <si>
    <t xml:space="preserve">RJ12-111</t>
  </si>
  <si>
    <t xml:space="preserve">Un defensor comete una falta con la que interrumpe un ataque prometedor fuera de su área, sin que exista ocasión manifiesta de gol. ¿Qué medida disciplinaria toma el árbitro?</t>
  </si>
  <si>
    <t xml:space="preserve">Amonesta al defensor por conducta antideportiva, al haber interrumpido un ataque prometedor.</t>
  </si>
  <si>
    <t xml:space="preserve">No adopta medida disciplinaria, al no existir ocasión manifiesta de gol.</t>
  </si>
  <si>
    <t xml:space="preserve">Expulsa al defensor por evitar una ocasión manifiesta de gol, aunque no la hubiera.</t>
  </si>
  <si>
    <t xml:space="preserve">Cometer cualquier infracción con la que se interfiere en un ataque prometedor o se acaba evitando es conducta antideportiva y se amonesta.</t>
  </si>
  <si>
    <t xml:space="preserve">RJ12-112</t>
  </si>
  <si>
    <t xml:space="preserve">Un defensor dentro de su área derriba a un atacante intentando jugar el balón, evitando una ocasión manifiesta de gol, y el árbitro señala penal. ¿Qué medida disciplinaria toma?</t>
  </si>
  <si>
    <t xml:space="preserve">Expulsa al defensor, al considerar que se ha evitado una ocasión manifiesta de gol.</t>
  </si>
  <si>
    <t xml:space="preserve">Amonesta al defensor, pese a haberse evitado una ocasión manifiesta de gol.</t>
  </si>
  <si>
    <t xml:space="preserve">No adopta medida disciplinaria, por haber señalado penal.</t>
  </si>
  <si>
    <t xml:space="preserve">Si el infractor pretendía jugar o disputar el balón y el árbitro señala penal, solo será amonestado, aunque se haya evitado una ocasión manifiesta de gol.</t>
  </si>
  <si>
    <t xml:space="preserve">RJ12-113</t>
  </si>
  <si>
    <t xml:space="preserve">Dentro de su área, un defensor toca el balón con la mano de forma involuntaria y evita una ocasión manifiesta de gol; el árbitro señala tiro penal. El árbitro, además...</t>
  </si>
  <si>
    <t xml:space="preserve">Amonesta al defensor.</t>
  </si>
  <si>
    <t xml:space="preserve">Expulsa al defensor.</t>
  </si>
  <si>
    <t xml:space="preserve">Cuando el jugador evita un gol o una ocasión manifiesta de gol con una infracción por mano involuntaria y el árbitro concede tiro penal, el jugador será amonestado.</t>
  </si>
  <si>
    <t xml:space="preserve">RJ12-114</t>
  </si>
  <si>
    <t xml:space="preserve">Un defensor, fuera de su área, evita una ocasión manifiesta de gol mediante una infracción por mano (incluso involuntaria) o sujetando a un delantero que se dirigía solo hacia la portería. ¿Qué decide el árbitro en ambos casos?</t>
  </si>
  <si>
    <t xml:space="preserve">En ambos casos concede libre directo y expulsa al defensor.</t>
  </si>
  <si>
    <t xml:space="preserve">Concede libre directo y lo amonesta, al ser una acción involuntaria o sin contacto grave.</t>
  </si>
  <si>
    <t xml:space="preserve">Concede libre indirecto y lo expulsa, en ambos casos.</t>
  </si>
  <si>
    <t xml:space="preserve">Evitar un gol o una ocasión manifiesta de gol fuera del área propia mediante una infracción sancionable con libre directo (mano, incluso involuntaria, o sujetar) supone libre directo y expulsión.</t>
  </si>
  <si>
    <t xml:space="preserve">RJ12-115</t>
  </si>
  <si>
    <t xml:space="preserve">Un jugador de campo, dentro de su área, toca el balón con la mano de manera voluntaria y evita un gol prácticamente seguro; el árbitro señala penal. ¿Qué medida disciplinaria toma?</t>
  </si>
  <si>
    <t xml:space="preserve">Expulsa al jugador, al evitar un gol mediante una infracción por mano voluntaria.</t>
  </si>
  <si>
    <t xml:space="preserve">Amonesta al jugador, al haberse concedido ya tiro penal por la mano.</t>
  </si>
  <si>
    <t xml:space="preserve">No adopta medida disciplinaria, al haberse concedido ya tiro penal por la mano.</t>
  </si>
  <si>
    <t xml:space="preserve">Se expulsa al jugador que evite un gol o una ocasión manifiesta de gol mediante una infracción por mano voluntaria, independientemente de dónde se produzca (salvo el guardameta en su propia área).</t>
  </si>
  <si>
    <t xml:space="preserve">RJ12-116</t>
  </si>
  <si>
    <t xml:space="preserve">Un delantero toca voluntariamente el balón con la mano al intentar marcar gol, aunque no lo consigue. ¿Qué medida disciplinaria toma el árbitro?</t>
  </si>
  <si>
    <t xml:space="preserve">No adopta medida disciplinaria, porque no marcó gol.</t>
  </si>
  <si>
    <t xml:space="preserve">Tocar el balón con la mano al intentar marcar un gol, independientemente de que se consiga o no, es conducta antideportiva.</t>
  </si>
  <si>
    <t xml:space="preserve">RJ12-117</t>
  </si>
  <si>
    <t xml:space="preserve">Un jugador que ha recibido permiso del árbitro para salir del terreno de juego juega el balón cuando este se está saliendo del campo. ¿Qué decide el árbitro?</t>
  </si>
  <si>
    <t xml:space="preserve">Lo amonesta por conducta antideportiva, al jugar el balón mientras abandonaba el campo.</t>
  </si>
  <si>
    <t xml:space="preserve">Lo expulsa por conducta antideportiva, al jugar el balón mientras abandonaba el campo.</t>
  </si>
  <si>
    <t xml:space="preserve">No adopta ninguna medida, porque tenía permiso para salir.</t>
  </si>
  <si>
    <t xml:space="preserve">Jugar el balón cuando está saliendo del terreno de juego, después de haber recibido permiso para abandonarlo, es conducta antideportiva.</t>
  </si>
  <si>
    <t xml:space="preserve">RJ12-118</t>
  </si>
  <si>
    <t xml:space="preserve">Tras una ocasión fallada, un jugador imita de forma humillante los gestos de un adversario, sin llegar a insultarlo. ¿Qué decisión toma el árbitro?</t>
  </si>
  <si>
    <t xml:space="preserve">Lo expulsa por actuar de modo humillante.</t>
  </si>
  <si>
    <t xml:space="preserve">No adopta medida disciplinaria.</t>
  </si>
  <si>
    <t xml:space="preserve">Regla 12.3: se expulsará al jugador que llegue a «emplear lenguaje o actuar de modo ofensivo, insultante o humillante». No hace falta que haya insultos: basta con una acción humillante.</t>
  </si>
  <si>
    <t xml:space="preserve">Regla 12.3 / Infracciones sancionables con expulsión</t>
  </si>
  <si>
    <t xml:space="preserve">RJ12-119</t>
  </si>
  <si>
    <t xml:space="preserve">Durante un saque de esquina, un defensor grita y hace comentarios a un atacante para distraerle en el momento de la ejecución. ¿Qué decide el árbitro?</t>
  </si>
  <si>
    <t xml:space="preserve">Lo expulsa por lenguaje ofensivo.</t>
  </si>
  <si>
    <t xml:space="preserve">No hay infracción, mientras no insulte.</t>
  </si>
  <si>
    <t xml:space="preserve">Distraer con palabras y comentarios a un adversario durante el juego o en una reanudación es conducta antideportiva.</t>
  </si>
  <si>
    <t xml:space="preserve">RJ12-120</t>
  </si>
  <si>
    <t xml:space="preserve">Según la Regla 12.4, ¿cuál de las siguientes conductas NO se sanciona con amonestación por conducta antideportiva, sino con expulsión?</t>
  </si>
  <si>
    <t xml:space="preserve">Escupir a un adversario durante el partido.</t>
  </si>
  <si>
    <t xml:space="preserve">Efectuar marcas no autorizadas en el terreno de juego.</t>
  </si>
  <si>
    <t xml:space="preserve">Intentar engañar al árbitro simulando haber sido objeto de una infracción.</t>
  </si>
  <si>
    <t xml:space="preserve">Escupir o morder a alguien es infracción sancionable con expulsión; las otras dos son conductas antideportivas que se amonestan.</t>
  </si>
  <si>
    <t xml:space="preserve">RJ12-121</t>
  </si>
  <si>
    <t xml:space="preserve">Según la Regla 12, respecto a la celebración de un gol:</t>
  </si>
  <si>
    <t xml:space="preserve">Puede celebrarse sin extralimitarse; no se deben alentar las celebraciones coreografiadas ni que causen pérdida de tiempo excesiva.</t>
  </si>
  <si>
    <t xml:space="preserve">No puede celebrarse hasta que el árbitro confirme el gol, y no se deben alentar las celebraciones coreografiadas.</t>
  </si>
  <si>
    <t xml:space="preserve">Se permiten las celebraciones coreografiadas que no superen un minuto, aunque causen pérdida de tiempo.</t>
  </si>
  <si>
    <t xml:space="preserve">Los jugadores pueden celebrar el gol, pero sin extralimitarse; no se deben alentar las celebraciones coreografiadas y no deben ocasionar una pérdida de tiempo excesiva.</t>
  </si>
  <si>
    <t xml:space="preserve">Regla 12.4 / Celebración de un gol</t>
  </si>
  <si>
    <t xml:space="preserve">RJ12-122</t>
  </si>
  <si>
    <t xml:space="preserve">Un jugador traspasa los límites del terreno de juego para celebrar un gol, sin acercarse a los espectadores de forma que genere problemas de seguridad. ¿Debe ser amonestado por ello?</t>
  </si>
  <si>
    <t xml:space="preserve">No, salvo que existan otros motivos; debe regresar al terreno de juego lo antes posible.</t>
  </si>
  <si>
    <t xml:space="preserve">Sí, por salir del terreno de juego sin permiso del árbitro, aunque regrese de inmediato.</t>
  </si>
  <si>
    <t xml:space="preserve">Sí, si tarda más de diez segundos en regresar al terreno de juego.</t>
  </si>
  <si>
    <t xml:space="preserve">Traspasar los límites del terreno para celebrar un gol no se considera infracción sancionable con amonestación, pero los jugadores deben regresar tan pronto como sea posible.</t>
  </si>
  <si>
    <t xml:space="preserve">RJ12-123</t>
  </si>
  <si>
    <t xml:space="preserve">Un jugador trepa a la valla perimetral para celebrar un gol acercándose a los espectadores y generando un problema de seguridad. ¿Qué decide el árbitro?</t>
  </si>
  <si>
    <t xml:space="preserve">Lo amonesta, por trepar a las vallas perimetrales generando un problema de seguridad.</t>
  </si>
  <si>
    <t xml:space="preserve">Lo expulsa, al considerar la escalada a la valla como una conducta violenta hacia los espectadores.</t>
  </si>
  <si>
    <t xml:space="preserve">No lo sanciona, porque es una celebración.</t>
  </si>
  <si>
    <t xml:space="preserve">Se amonesta al jugador que trepe a las vallas perimetrales o se acerque a los espectadores generando problemas de seguridad.</t>
  </si>
  <si>
    <t xml:space="preserve">RJ12-124</t>
  </si>
  <si>
    <t xml:space="preserve">Un jugador celebra un gol cubriéndose la cara con una máscara que llevaba escondida. ¿Qué decide el árbitro?</t>
  </si>
  <si>
    <t xml:space="preserve">Lo amonesta, por cubrirse la cabeza o la cara con una máscara u otro artículo similar al celebrar.</t>
  </si>
  <si>
    <t xml:space="preserve">Lo expulsa, al considerar el uso de una máscara escondida como un engaño grave al árbitro.</t>
  </si>
  <si>
    <t xml:space="preserve">Le advierte verbalmente, sin sanción disciplinaria.</t>
  </si>
  <si>
    <t xml:space="preserve">Cubrirse la cabeza o la cara con una máscara o artículos similares al celebrar un gol es motivo de amonestación.</t>
  </si>
  <si>
    <t xml:space="preserve">RJ12-125</t>
  </si>
  <si>
    <t xml:space="preserve">Un jugador celebra un gol cubriéndose la cabeza con la camiseta, sin llegar a quitársela. El árbitro...</t>
  </si>
  <si>
    <t xml:space="preserve">Se amonesta a quien se quite la camiseta o se cubra la cabeza con ella al celebrar un gol.</t>
  </si>
  <si>
    <t xml:space="preserve">RJ12-126</t>
  </si>
  <si>
    <t xml:space="preserve">Un jugador celebra un gol de forma provocadora ante los aficionados rivales, sin cometer otra infracción. El árbitro...</t>
  </si>
  <si>
    <t xml:space="preserve">Actuar de forma provocadora o exaltada en la celebración de un gol es motivo de amonestación.</t>
  </si>
  <si>
    <t xml:space="preserve">RJ12-127</t>
  </si>
  <si>
    <t xml:space="preserve">Un jugador celebra un gol quitándose la camiseta, y después el gol se anula por fuera de juego tras la revisión del VAR. ¿Debe el árbitro amonestar al jugador?</t>
  </si>
  <si>
    <t xml:space="preserve">Sí, aunque el gol se haya anulado.</t>
  </si>
  <si>
    <t xml:space="preserve">No, al anularse el gol no procede.</t>
  </si>
  <si>
    <t xml:space="preserve">Solo si ya le había mostrado la tarjeta.</t>
  </si>
  <si>
    <t xml:space="preserve">Incluso si el gol se anulara, se deberá amonestar al jugador que realice acciones como quitarse la camiseta o cubrirse la cabeza con ella, trepar a las vallas, provocar o cubrirse el rostro.</t>
  </si>
  <si>
    <t xml:space="preserve">RJ12-129</t>
  </si>
  <si>
    <t xml:space="preserve">Un jugador retiene el balón entre sus manos y se lo lleva consigo después de que el árbitro haya detenido el juego. ¿Qué decide el árbitro?</t>
  </si>
  <si>
    <t xml:space="preserve">Lo expulsa, al considerar que llevarse el balón tras la detención constituye una falta de respeto grave.</t>
  </si>
  <si>
    <t xml:space="preserve">No hay infracción, al haberse detenido ya el juego.</t>
  </si>
  <si>
    <t xml:space="preserve">Lo amonesta por retrasar la reanudación del juego, al llevarse el balón consigo tras la detención.</t>
  </si>
  <si>
    <t xml:space="preserve">Retener el balón y llevárselo consigo después de detenido el juego es retrasar la reanudación y se amonesta.</t>
  </si>
  <si>
    <t xml:space="preserve">Regla 12.4 / Retrasar la reanudación del juego</t>
  </si>
  <si>
    <t xml:space="preserve">RJ12-132</t>
  </si>
  <si>
    <t xml:space="preserve">Según la Regla 12.4, ¿cuál de las siguientes infracciones de un jugador es sancionable con expulsión?</t>
  </si>
  <si>
    <t xml:space="preserve">Recibir una segunda amonestación en el mismo partido.</t>
  </si>
  <si>
    <t xml:space="preserve">Retrasar la reanudación del juego.</t>
  </si>
  <si>
    <t xml:space="preserve">Mostrar desaprobación con palabras o acciones.</t>
  </si>
  <si>
    <t xml:space="preserve">Recibir una segunda amonestación en el mismo partido implica expulsión; retrasar la reanudación y mostrar desaprobación se sancionan con amonestación.</t>
  </si>
  <si>
    <t xml:space="preserve">RJ12-133</t>
  </si>
  <si>
    <t xml:space="preserve">Un jugador insulta gravemente a un compañero de equipo con el balón en juego dentro del terreno de juego. ¿Qué decide el árbitro?</t>
  </si>
  <si>
    <t xml:space="preserve">Lo amonesta y reanuda con libre directo.</t>
  </si>
  <si>
    <t xml:space="preserve">Lo expulsa y reanuda con libre indirecto.</t>
  </si>
  <si>
    <t xml:space="preserve">Lo advierte y reanuda con balón a tierra.</t>
  </si>
  <si>
    <t xml:space="preserve">Emplear lenguaje ofensivo, insultante o humillante es motivo de expulsión; las infracciones de carácter verbal se sancionan con libre indirecto.</t>
  </si>
  <si>
    <t xml:space="preserve">Regla 12.4 y 12.5 / Infracciones verbales</t>
  </si>
  <si>
    <t xml:space="preserve">RJ12-134</t>
  </si>
  <si>
    <t xml:space="preserve">Un jugador expulsado, que debe abandonar el terreno de juego, permanece en el área técnica de su equipo mientras se reanuda el partido. ¿Qué exige la Regla?</t>
  </si>
  <si>
    <t xml:space="preserve">Que se siente en el banquillo, pero sin participar.</t>
  </si>
  <si>
    <t xml:space="preserve">Que permanezca en el área técnica, sin dirigir a sus compañeros.</t>
  </si>
  <si>
    <t xml:space="preserve">Que abandone las inmediaciones del terreno de juego y del área técnica.</t>
  </si>
  <si>
    <t xml:space="preserve">Los jugadores, suplentes o sustituidos expulsados deberán abandonar las inmediaciones del terreno de juego y del área técnica.</t>
  </si>
  <si>
    <t xml:space="preserve">RJ12-135</t>
  </si>
  <si>
    <t xml:space="preserve">Dentro de su área, un defensor agarra a un atacante que iba a marcar solo ante la portería, sin intentar jugar el balón; el árbitro señala tiro penal. El árbitro, además...</t>
  </si>
  <si>
    <t xml:space="preserve">Si dentro del área se evita una ocasión manifiesta de gol y se señala penal, solo se amonesta si se pretendía jugar o disputar el balón; en el resto de acciones (agarrar, tirar, empujar, etc.) se expulsa.</t>
  </si>
  <si>
    <t xml:space="preserve">RJ12-137</t>
  </si>
  <si>
    <t xml:space="preserve">Un defensor, dentro de su área, no llega al balón y derriba al atacante que se dirigía solo hacia la portería; es imposible que pudiera jugar el balón. ¿Qué medida disciplinaria toma el árbitro?</t>
  </si>
  <si>
    <t xml:space="preserve">Expulsa al defensor y señala penal.</t>
  </si>
  <si>
    <t xml:space="preserve">Amonesta al defensor y señala penal.</t>
  </si>
  <si>
    <t xml:space="preserve">Señala penal sin sanción disciplinaria.</t>
  </si>
  <si>
    <t xml:space="preserve">La imposibilidad de jugar el balón es una de las acciones en las que, tras evitar una ocasión manifiesta de gol con penal, el infractor debe ser expulsado.</t>
  </si>
  <si>
    <t xml:space="preserve">RJ12-139</t>
  </si>
  <si>
    <t xml:space="preserve">Según la Regla 12.4, ¿cuál de los siguientes aspectos NO se debe tener en cuenta para valorar si existe una ocasión manifiesta de gol?</t>
  </si>
  <si>
    <t xml:space="preserve">La distancia entre el lugar de la infracción y la portería.</t>
  </si>
  <si>
    <t xml:space="preserve">La probabilidad de mantener o recuperar el balón.</t>
  </si>
  <si>
    <t xml:space="preserve">El número de tarjetas que lleve el equipo infractor.</t>
  </si>
  <si>
    <t xml:space="preserve">Los aspectos a tener en cuenta son la distancia a la portería, la dirección del juego, la probabilidad de mantener o recuperar el balón y la posición y número de defensores y atacantes.</t>
  </si>
  <si>
    <t xml:space="preserve">RJ12-140</t>
  </si>
  <si>
    <t xml:space="preserve">Además de la distancia a la portería, la dirección del juego y la probabilidad de mantener o recuperar el balón, para valorar una ocasión manifiesta de gol se tiene en cuenta:</t>
  </si>
  <si>
    <t xml:space="preserve">La posición y el número de defensores y de atacantes.</t>
  </si>
  <si>
    <t xml:space="preserve">La posición y el número de defensores, pero no de atacantes.</t>
  </si>
  <si>
    <t xml:space="preserve">El resultado del partido y el tiempo que queda por jugar.</t>
  </si>
  <si>
    <t xml:space="preserve">La lista de aspectos incluye la posición y el número de defensores y atacantes (se incorporan expresamente los atacantes).</t>
  </si>
  <si>
    <t xml:space="preserve">RJ12-141</t>
  </si>
  <si>
    <t xml:space="preserve">Un suplente entra en el terreno de juego sin permiso, intercepta con el pie un balón que iba hacia la portería y evita así un gol. ¿Qué decide el árbitro?</t>
  </si>
  <si>
    <t xml:space="preserve">Lo expulsa y reanuda con libre directo o penal, según dónde se produjo la interferencia.</t>
  </si>
  <si>
    <t xml:space="preserve">Lo amonesta por entrar sin permiso y reanuda con libre indirecto en el lugar de la interferencia.</t>
  </si>
  <si>
    <t xml:space="preserve">Lo expulsa y reanuda con balón a tierra en el lugar donde se produjo la interferencia.</t>
  </si>
  <si>
    <t xml:space="preserve">Quien entre sin autorización en el terreno de juego, interfiera y evite un gol o una ocasión manifiesta de gol comete una infracción merecedora de expulsión.</t>
  </si>
  <si>
    <t xml:space="preserve">RJ12-142</t>
  </si>
  <si>
    <t xml:space="preserve">Según la Regla 12, una entrada o disputa del balón se sanciona como «juego brusco y grave» cuando:</t>
  </si>
  <si>
    <t xml:space="preserve">El jugador no tiene posibilidad de jugar el balón, aunque no emplee fuerza excesiva.</t>
  </si>
  <si>
    <t xml:space="preserve">Se comete sin disputa del balón y con intención de dañar físicamente al adversario.</t>
  </si>
  <si>
    <t xml:space="preserve">Pone en peligro la integridad física del adversario o se emplea fuerza excesiva o brutalidad.</t>
  </si>
  <si>
    <t xml:space="preserve">Las entradas o disputas del balón que ponen en peligro la integridad física de un adversario o en las que el jugador emplea fuerza excesiva o brutalidad se sancionan como juego brusco y grave.</t>
  </si>
  <si>
    <t xml:space="preserve">Regla 12.4 / Juego brusco y grave</t>
  </si>
  <si>
    <t xml:space="preserve">RJ12-144</t>
  </si>
  <si>
    <t xml:space="preserve">¿Qué diferencia, según la Regla 12.4, la conducta violenta del juego brusco y grave?</t>
  </si>
  <si>
    <t xml:space="preserve">En la conducta violenta el jugador no está disputando el balón al adversario; en el juego brusco y grave sí hay disputa del balón.</t>
  </si>
  <si>
    <t xml:space="preserve">En la conducta violenta la fuerza empleada es menor que en el juego brusco y grave.</t>
  </si>
  <si>
    <t xml:space="preserve">La conducta violenta puede cometerse contra jugadores adversarios, pero no contra compañeros ni otras personas.</t>
  </si>
  <si>
    <t xml:space="preserve">Conducta violenta: emplearse con fuerza excesiva o brutalidad contra un adversario cuando no le está disputando el balón, o contra otras personas. Juego brusco y grave: en la disputa del balón.</t>
  </si>
  <si>
    <t xml:space="preserve">Regla 12.4 / Conducta violenta</t>
  </si>
  <si>
    <t xml:space="preserve">RJ12-145</t>
  </si>
  <si>
    <t xml:space="preserve">Durante el juego, un jugador intenta golpear con brutalidad a un compañero de equipo, que esquiva el golpe sin que haya contacto. El árbitro...</t>
  </si>
  <si>
    <t xml:space="preserve">La conducta violenta lo es independientemente de si se produce o no contacto, cuando el jugador se emplea o tiene la intención de emplearse con fuerza excesiva o brutalidad.</t>
  </si>
  <si>
    <t xml:space="preserve">RJ12-146</t>
  </si>
  <si>
    <t xml:space="preserve">Un jugador, sin disputar el balón, golpea deliberadamente con la mano a un adversario en la cara con fuerza apreciable. ¿Qué decide el árbitro?</t>
  </si>
  <si>
    <t xml:space="preserve">Concede libre directo sin sanción disciplinaria.</t>
  </si>
  <si>
    <t xml:space="preserve">Golpear deliberadamente a un adversario en la cabeza o la cara con la mano o el brazo, sin disputar el balón, es conducta violenta a menos que la fuerza empleada sea insignificante.</t>
  </si>
  <si>
    <t xml:space="preserve">RJ12-147</t>
  </si>
  <si>
    <t xml:space="preserve">Un jugador toca ligeramente con la mano la cara de un adversario sin disputar el balón, con una fuerza claramente insignificante. ¿Se considera conducta violenta?</t>
  </si>
  <si>
    <t xml:space="preserve">No, porque la fuerza empleada es insignificante.</t>
  </si>
  <si>
    <t xml:space="preserve">Sí, si golpea en la cara sin disputa del balón.</t>
  </si>
  <si>
    <t xml:space="preserve">Sí, si el adversario cae al suelo.</t>
  </si>
  <si>
    <t xml:space="preserve">El golpeo deliberado a la cabeza o la cara con la mano o el brazo sin disputar el balón es conducta violenta a menos que la fuerza empleada sea insignificante.</t>
  </si>
  <si>
    <t xml:space="preserve">RJ12-148</t>
  </si>
  <si>
    <t xml:space="preserve">Un jugador propina una patada con brutalidad a un recogepelotas con el balón en juego. ¿Qué decide el árbitro?</t>
  </si>
  <si>
    <t xml:space="preserve">Lo expulsa por conducta violenta, al patear con brutalidad a otra persona.</t>
  </si>
  <si>
    <t xml:space="preserve">Lo amonesta por conducta antideportiva, al patear a otra persona.</t>
  </si>
  <si>
    <t xml:space="preserve">No lo sanciona, por no ser el recogepelotas miembro de las listas de los equipos.</t>
  </si>
  <si>
    <t xml:space="preserve">La conducta violenta puede dirigirse contra un adversario, un compañero, un miembro del cuerpo técnico o arbitral, un espectador o cualquier otra persona.</t>
  </si>
  <si>
    <t xml:space="preserve">RJ12-149</t>
  </si>
  <si>
    <t xml:space="preserve">Con el balón ya fuera de juego tras salir por la línea de banda, un jugador golpea con brutalidad a un adversario que no disputaba el balón. ¿Qué decide el árbitro?</t>
  </si>
  <si>
    <t xml:space="preserve">Lo expulsa por conducta violenta y reanuda con el saque de banda ya concedido.</t>
  </si>
  <si>
    <t xml:space="preserve">Lo expulsa y concede libre directo en el lugar de la agresión.</t>
  </si>
  <si>
    <t xml:space="preserve">Lo amonesta y reanuda con balón a tierra en el lugar donde estaba el balón.</t>
  </si>
  <si>
    <t xml:space="preserve">Si el balón está detenido, se sanciona disciplinariamente la conducta violenta y el juego se reanuda según la decisión adoptada anteriormente.</t>
  </si>
  <si>
    <t xml:space="preserve">Regla 12.4 y 12.5 / Conducta violenta</t>
  </si>
  <si>
    <t xml:space="preserve">RJ12-150</t>
  </si>
  <si>
    <t xml:space="preserve">Con el balón en juego, un jugador muerde a un adversario durante una disputa. ¿Qué decide el árbitro?</t>
  </si>
  <si>
    <t xml:space="preserve">Concede libre directo (o penal) y lo expulsa.</t>
  </si>
  <si>
    <t xml:space="preserve">Concede libre directo (o penal) y lo amonesta.</t>
  </si>
  <si>
    <t xml:space="preserve">Concede libre indirecto y lo expulsa.</t>
  </si>
  <si>
    <t xml:space="preserve">Escupir o morder a alguien es infracción sancionable con expulsión y, con el balón en juego contra un adversario, con libre directo o penal.</t>
  </si>
  <si>
    <t xml:space="preserve">Regla 12.1 y 12.4 / Escupir o morder</t>
  </si>
  <si>
    <t xml:space="preserve">RJ12-151</t>
  </si>
  <si>
    <t xml:space="preserve">Un miembro del cuerpo técnico entra en el terreno de juego de manera respetuosa y pacífica. El árbitro...</t>
  </si>
  <si>
    <t xml:space="preserve">Entrar en el terreno de juego de manera respetuosa y pacífica suele dar lugar a una advertencia, aunque la reiteración o el carácter improcedente podrían suponer amonestación o expulsión.</t>
  </si>
  <si>
    <t xml:space="preserve">Regla 12.4 / Advertencia a miembros del cuerpo técnico</t>
  </si>
  <si>
    <t xml:space="preserve">RJ12-152</t>
  </si>
  <si>
    <t xml:space="preserve">El cuarto árbitro pide al entrenador que vuelva al área técnica y este no atiende la petición, sin más incidentes. El árbitro, por lo general...</t>
  </si>
  <si>
    <t xml:space="preserve">No cooperar con un árbitro, por ejemplo al desoír una orden o petición del asistente o del cuarto árbitro, se sanciona por lo general con una advertencia.</t>
  </si>
  <si>
    <t xml:space="preserve">RJ12-153</t>
  </si>
  <si>
    <t xml:space="preserve">Un entrenador expresa su desacuerdo con una decisión arbitral con un comentario de poca intensidad, sin faltar al respeto. ¿Qué medida es la habitual?</t>
  </si>
  <si>
    <t xml:space="preserve">Una advertencia, al tratarse de un desacuerdo de poca intensidad expresado sin faltar al respeto.</t>
  </si>
  <si>
    <t xml:space="preserve">Una amonestación, al considerarse cualquier comentario de desacuerdo como conducta antideportiva sancionable.</t>
  </si>
  <si>
    <t xml:space="preserve">Ninguna, porque el entrenador no puede ser sancionado por desacuerdo.</t>
  </si>
  <si>
    <t xml:space="preserve">El desacuerdo con una decisión (con palabras o actos) de poca intensidad conlleva, por lo general, una advertencia.</t>
  </si>
  <si>
    <t xml:space="preserve">RJ12-154</t>
  </si>
  <si>
    <t xml:space="preserve">Un entrenador sale del área técnica de manera ocasional, sin cometer ninguna otra infracción. ¿Qué medida es la habitual?</t>
  </si>
  <si>
    <t xml:space="preserve">Una advertencia, al tratarse de una salida ocasional sin que se cometa ninguna otra infracción.</t>
  </si>
  <si>
    <t xml:space="preserve">Una amonestación, al considerarse cualquier salida del área técnica como una infracción sancionable.</t>
  </si>
  <si>
    <t xml:space="preserve">Una expulsión, al equiparar la salida ocasional con una falta grave de disciplina.</t>
  </si>
  <si>
    <t xml:space="preserve">Salir del área técnica de manera ocasional sin cometer ninguna otra infracción se sanciona por lo general con una advertencia.</t>
  </si>
  <si>
    <t xml:space="preserve">RJ12-155</t>
  </si>
  <si>
    <t xml:space="preserve">Un entrenador ya advertido reiteradamente abandona una y otra vez los límites del área técnica de forma obvia y persistente. ¿Qué medida procede?</t>
  </si>
  <si>
    <t xml:space="preserve">La amonestación, al persistir la conducta pese a las advertencias previas del árbitro.</t>
  </si>
  <si>
    <t xml:space="preserve">Una nueva advertencia, ya que las salidas reiteradas del área técnica no se amonestan por sí solas.</t>
  </si>
  <si>
    <t xml:space="preserve">La expulsión inmediata, al persistir la conducta pese a las advertencias previas del árbitro.</t>
  </si>
  <si>
    <t xml:space="preserve">No respetar de manera obvia o persistente los límites del área técnica es motivo de amonestación; la reiteración de infracciones merecedoras de advertencia también puede acabar en amonestación.</t>
  </si>
  <si>
    <t xml:space="preserve">Regla 12.4 / Amonestación a miembros del cuerpo técnico</t>
  </si>
  <si>
    <t xml:space="preserve">RJ12-156</t>
  </si>
  <si>
    <t xml:space="preserve">Un entrenador retiene el balón con las manos y retrasa un saque de banda que corresponde a su propio equipo. El árbitro...</t>
  </si>
  <si>
    <t xml:space="preserve">Retrasar la reanudación cuando le corresponde hacerlo a su equipo es motivo de amonestación; si corresponde al equipo adversario, es motivo de expulsión.</t>
  </si>
  <si>
    <t xml:space="preserve">RJ12-157</t>
  </si>
  <si>
    <t xml:space="preserve">Un entrenador entra deliberadamente en el área técnica del equipo adversario, sin ánimo de confrontación. El árbitro...</t>
  </si>
  <si>
    <t xml:space="preserve">Entrar de manera premeditada en el área técnica del equipo adversario, sin ánimo de confrontación, es motivo de amonestación; con ánimo de confrontación o agresivo, de expulsión.</t>
  </si>
  <si>
    <t xml:space="preserve">RJ12-158</t>
  </si>
  <si>
    <t xml:space="preserve">Un miembro del cuerpo técnico patea con rabia una botella tras una decisión arbitral, mostrando así su desaprobación. ¿Qué decide el árbitro?</t>
  </si>
  <si>
    <t xml:space="preserve">Lo amonesta, por mostrar desaprobación con acciones, como patear una botella.</t>
  </si>
  <si>
    <t xml:space="preserve">Lo expulsa, al considerar la patada a la botella una conducta violenta.</t>
  </si>
  <si>
    <t xml:space="preserve">Le advierte, sin llegar a amonestarlo por mostrar desaprobación así.</t>
  </si>
  <si>
    <t xml:space="preserve">Mostrar desaprobación con palabras o acciones, como lanzar o golpear con los pies botellas u otros objetos, es motivo de amonestación.</t>
  </si>
  <si>
    <t xml:space="preserve">RJ12-159</t>
  </si>
  <si>
    <t xml:space="preserve">Un entrenador aplaude de forma sarcástica una decisión del árbitro. El árbitro...</t>
  </si>
  <si>
    <t xml:space="preserve">Actuar de modo que se falte al respeto a uno o varios miembros del equipo arbitral, por ejemplo aplaudiendo de forma sarcástica, es motivo de amonestación.</t>
  </si>
  <si>
    <t xml:space="preserve">RJ12-160</t>
  </si>
  <si>
    <t xml:space="preserve">Un entrenador pide de manera insistente y con gestos exagerados que se muestre tarjeta a un adversario. ¿Qué decide el árbitro?</t>
  </si>
  <si>
    <t xml:space="preserve">Lo amonesta, por pedir de manera insistente y con gestos exagerados que se sancione a un rival.</t>
  </si>
  <si>
    <t xml:space="preserve">Lo expulsa, por insistir de forma reiterada en que se sancione a un rival.</t>
  </si>
  <si>
    <t xml:space="preserve">Le advierte, sin que ese comportamiento llegue a considerarse sancionable con tarjeta.</t>
  </si>
  <si>
    <t xml:space="preserve">Pedir con gestos exagerados o de manera insistente que se muestre tarjeta es motivo de amonestación para el cuerpo técnico.</t>
  </si>
  <si>
    <t xml:space="preserve">RJ12-161</t>
  </si>
  <si>
    <t xml:space="preserve">Un ayudante del entrenador repite de forma insistente el gesto de «revisión» del VAR desde el área técnica. ¿Qué decide el árbitro?</t>
  </si>
  <si>
    <t xml:space="preserve">Lo amonesta, por repetir de manera insistente el gesto de «revisión» desde el área técnica.</t>
  </si>
  <si>
    <t xml:space="preserve">Lo expulsa, al tratarse de una reiteración equivalente a una segunda amonestación en el mismo partido.</t>
  </si>
  <si>
    <t xml:space="preserve">Le advierte, sin llegar a amonestarlo por repetir ese gesto.</t>
  </si>
  <si>
    <t xml:space="preserve">Repetir de forma insistente el gesto de «revisión» del VAR es motivo de amonestación para los miembros del cuerpo técnico.</t>
  </si>
  <si>
    <t xml:space="preserve">RJ12-162</t>
  </si>
  <si>
    <t xml:space="preserve">Un miembro del cuerpo técnico (por ejemplo, un entrenador o el preparador físico) retrasa la reanudación del juego cuando le corresponde hacerlo al equipo adversario: reteniendo el balón o alejándolo con el pie para impedir un saque rápido. ¿Qué medida toma el árbitro en ambos casos?</t>
  </si>
  <si>
    <t xml:space="preserve">Lo expulsa, por retrasar la reanudación correspondiente al equipo adversario.</t>
  </si>
  <si>
    <t xml:space="preserve">Lo amonesta en ambos casos, por retrasar la reanudación del juego.</t>
  </si>
  <si>
    <t xml:space="preserve">Le hace una advertencia verbal, sin mostrarle tarjeta alguna.</t>
  </si>
  <si>
    <t xml:space="preserve">Retrasar la reanudación del juego cuando le corresponde hacerlo al equipo adversario (reteniendo el balón, alejándolo con el pie, etc.) es motivo de expulsión para un miembro del cuerpo técnico.</t>
  </si>
  <si>
    <t xml:space="preserve">Regla 12.4 / Expulsión de miembros del cuerpo técnico</t>
  </si>
  <si>
    <t xml:space="preserve">RJ12-164</t>
  </si>
  <si>
    <t xml:space="preserve">Un entrenador abandona el área técnica de manera deliberada para protestar a uno de los árbitros. ¿Qué medida toma este?</t>
  </si>
  <si>
    <t xml:space="preserve">Lo expulsa, por abandonar el área técnica de forma deliberada para protestar.</t>
  </si>
  <si>
    <t xml:space="preserve">Lo amonesta, al asimilar la salida a un simple incumplimiento de los límites del área técnica.</t>
  </si>
  <si>
    <t xml:space="preserve">Lo advierte, porque ha sido una única salida sin que se repita la conducta con posterioridad.</t>
  </si>
  <si>
    <t xml:space="preserve">Abandonar el área técnica de forma deliberada para mostrar desacuerdo o protestar a uno de los árbitros, o para proceder de forma provocativa o exaltada, es motivo de expulsión.</t>
  </si>
  <si>
    <t xml:space="preserve">RJ12-165</t>
  </si>
  <si>
    <t xml:space="preserve">Un entrenador entra de manera agresiva y con ánimo de confrontación en el área técnica del equipo contrario. ¿Qué decide el árbitro?</t>
  </si>
  <si>
    <t xml:space="preserve">Lo amonesta, al asimilar la entrada agresiva con una entrada premeditada sin ánimo de confrontación.</t>
  </si>
  <si>
    <t xml:space="preserve">Le advierte verbalmente, sin adoptar ninguna medida disciplinaria adicional por la entrada agresiva.</t>
  </si>
  <si>
    <t xml:space="preserve">Lo expulsa, por entrar con ánimo de confrontación en el área técnica rival.</t>
  </si>
  <si>
    <t xml:space="preserve">Entrar al área técnica del equipo adversario de manera agresiva o con ánimo de confrontación es motivo de expulsión.</t>
  </si>
  <si>
    <t xml:space="preserve">RJ12-166</t>
  </si>
  <si>
    <t xml:space="preserve">Un miembro del cuerpo técnico lanza voluntariamente con la mano una botella al terreno de juego. ¿Qué decide el árbitro?</t>
  </si>
  <si>
    <t xml:space="preserve">Lo expulsa, por lanzar voluntariamente un objeto al terreno de juego.</t>
  </si>
  <si>
    <t xml:space="preserve">Lo amonesta, al asimilar el lanzamiento a una simple muestra de desaprobación.</t>
  </si>
  <si>
    <t xml:space="preserve">Le advierte, sin llegar a expulsarlo por lanzar un objeto al terreno de juego.</t>
  </si>
  <si>
    <t xml:space="preserve">Lanzar voluntariamente con la mano o con el pie un objeto al terreno de juego es motivo de expulsión para un miembro del cuerpo técnico.</t>
  </si>
  <si>
    <t xml:space="preserve">RJ12-167</t>
  </si>
  <si>
    <t xml:space="preserve">Durante el descanso, un entrenador entra en el terreno de juego para enfrentarse a uno de los árbitros. ¿Qué medida toma este?</t>
  </si>
  <si>
    <t xml:space="preserve">Lo amonesta, porque el juego está detenido.</t>
  </si>
  <si>
    <t xml:space="preserve">Lo expulsa, incluso siendo en el descanso.</t>
  </si>
  <si>
    <t xml:space="preserve">Lo advierte, porque no hay partido en curso.</t>
  </si>
  <si>
    <t xml:space="preserve">Entrar en el terreno de juego para enfrentarse a uno de los árbitros es motivo de expulsión, incluso si la acción se produce en el descanso o al finalizar el partido.</t>
  </si>
  <si>
    <t xml:space="preserve">RJ12-168</t>
  </si>
  <si>
    <t xml:space="preserve">Un miembro del cuerpo técnico entra en el terreno de juego durante una jugada e intenta obstaculizar a un jugador adversario. ¿Qué medida toma el árbitro?</t>
  </si>
  <si>
    <t xml:space="preserve">Lo amonesta, al asimilar la entrada al terreno con un simple incumplimiento de los límites del área técnica.</t>
  </si>
  <si>
    <t xml:space="preserve">Lo advierte, sin adoptar ninguna medida disciplinaria por intentar obstaculizar al jugador adversario.</t>
  </si>
  <si>
    <t xml:space="preserve">Lo expulsa, por entrar en el terreno de juego para obstaculizar a un adversario.</t>
  </si>
  <si>
    <t xml:space="preserve">Entrar en el terreno de juego para intervenir en el juego u obstaculizar a un jugador adversario o a uno de los árbitros es motivo de expulsión.</t>
  </si>
  <si>
    <t xml:space="preserve">RJ12-170</t>
  </si>
  <si>
    <t xml:space="preserve">Un entrenador que ya había sido amonestado en el partido vuelve a cometer una infracción merecedora de amonestación. ¿Qué decide el árbitro?</t>
  </si>
  <si>
    <t xml:space="preserve">Le muestra una nueva amarilla y permanece en el área técnica.</t>
  </si>
  <si>
    <t xml:space="preserve">Lo expulsa por recibir una segunda amonestación.</t>
  </si>
  <si>
    <t xml:space="preserve">Le advierte, porque no puede ser expulsado por dos amarillas.</t>
  </si>
  <si>
    <t xml:space="preserve">Recibir una segunda amonestación en el mismo partido es motivo de expulsión también para los miembros del cuerpo técnico.</t>
  </si>
  <si>
    <t xml:space="preserve">RJ12-171</t>
  </si>
  <si>
    <t xml:space="preserve">Un entrenador se dirige al árbitro con lenguaje ofensivo e insultante desde el área técnica. ¿Qué decide este?</t>
  </si>
  <si>
    <t xml:space="preserve">Lo expulsa, por emplear lenguaje ofensivo e insultante hacia el árbitro.</t>
  </si>
  <si>
    <t xml:space="preserve">Lo amonesta, al asimilarlo a una simple muestra de desaprobación hacia el árbitro.</t>
  </si>
  <si>
    <t xml:space="preserve">Le advierte, sin llegar a amonestarlo por dirigirse así al árbitro.</t>
  </si>
  <si>
    <t xml:space="preserve">Emplear lenguaje o actuar de modo ofensivo, insultante o humillante es motivo de expulsión.</t>
  </si>
  <si>
    <t xml:space="preserve">RJ12-173</t>
  </si>
  <si>
    <t xml:space="preserve">Un jugador lanza de forma temeraria un objeto (no el balón) contra un adversario, sin causarle daño. ¿Qué medida disciplinaria toma el árbitro?</t>
  </si>
  <si>
    <t xml:space="preserve">En las infracciones relacionadas con el lanzamiento de objetos, si es temeraria se amonesta al infractor por conducta antideportiva; si es con fuerza excesiva, se expulsa por conducta violenta.</t>
  </si>
  <si>
    <t xml:space="preserve">Regla 12.4 / Lanzamiento de objetos</t>
  </si>
  <si>
    <t xml:space="preserve">RJ12-174</t>
  </si>
  <si>
    <t xml:space="preserve">Un jugador lanza con fuerza excesiva el balón contra un suplente del equipo rival. ¿Qué medida disciplinaria toma el árbitro?</t>
  </si>
  <si>
    <t xml:space="preserve">Lo expulsa por conducta violenta, al lanzar el balón con fuerza excesiva contra un suplente.</t>
  </si>
  <si>
    <t xml:space="preserve">Lo amonesta por conducta antideportiva, al lanzar el balón contra un suplente.</t>
  </si>
  <si>
    <t xml:space="preserve">No adopta medida disciplinaria, porque el balón no es un objeto.</t>
  </si>
  <si>
    <t xml:space="preserve">En las infracciones relacionadas con el lanzamiento de objetos (o del balón), con fuerza excesiva se expulsa al infractor por conducta violenta.</t>
  </si>
  <si>
    <t xml:space="preserve">RJ12-176</t>
  </si>
  <si>
    <t xml:space="preserve">Un defensor lanza un objeto contra un adversario desde dentro de su propia área penal. ¿Cómo se reanuda el juego?</t>
  </si>
  <si>
    <t xml:space="preserve">Con tiro penal, al haberse cometido la infracción dentro del área penal.</t>
  </si>
  <si>
    <t xml:space="preserve">Con libre directo en el borde del área, al haberse cometido la infracción contra un adversario.</t>
  </si>
  <si>
    <t xml:space="preserve">Con libre indirecto en el lugar del lanzamiento.</t>
  </si>
  <si>
    <t xml:space="preserve">Se concederá tiro penal si la acción de lanzar el objeto tiene lugar dentro del área del infractor.</t>
  </si>
  <si>
    <t xml:space="preserve">Regla 12.5 / Lanzamiento de objetos</t>
  </si>
  <si>
    <t xml:space="preserve">RJ12-177</t>
  </si>
  <si>
    <t xml:space="preserve">Un jugador lanza un objeto contra un árbitro asistente (situado fuera del terreno de juego) o contra un suplente rival que está en el banquillo, con el balón en juego, y en ambos casos el objeto golpea o habría golpeado en un punto fuera del terreno de juego. ¿Cómo se reanuda el juego?</t>
  </si>
  <si>
    <t xml:space="preserve">Con libre directo en el punto más cercano de la línea de demarcación.</t>
  </si>
  <si>
    <t xml:space="preserve">Con libre indirecto en el lugar donde se encontraba el lanzador.</t>
  </si>
  <si>
    <t xml:space="preserve">Con balón a tierra en el lugar donde estaba el balón cuando se detuvo el juego.</t>
  </si>
  <si>
    <t xml:space="preserve">Si el lugar donde el objeto golpeó o habría golpeado se encuentra fuera del terreno de juego, el libre directo se ejecuta en el punto más cercano de la línea de demarcación.</t>
  </si>
  <si>
    <t xml:space="preserve">RJ12-178</t>
  </si>
  <si>
    <t xml:space="preserve">Con el balón en juego, un suplente (desde el banquillo), un jugador temporalmente fuera del terreno de juego o un miembro del cuerpo técnico lanza o chuta un objeto al campo que interfiere en el juego, golpea el balón o golpea a un adversario. ¿Cómo se reanuda el juego?</t>
  </si>
  <si>
    <t xml:space="preserve">Con libre directo (o penal) en el lugar donde el objeto interfirió en el juego o golpeó el balón o al adversario.</t>
  </si>
  <si>
    <t xml:space="preserve">Con libre indirecto desde el lugar donde se encontraba la persona que lanzó el objeto.</t>
  </si>
  <si>
    <t xml:space="preserve">Con balón a tierra, por tratarse de un agente externo cuya interferencia no es infracción de ningún jugador.</t>
  </si>
  <si>
    <t xml:space="preserve">Si un suplente, sustituido, expulsado, jugador temporalmente fuera del campo o miembro del cuerpo técnico lanza o chuta un objeto al terreno de juego que interfiere en el juego o contacta con el balón o con un adversario, se concede libre directo (o penal) en el lugar de la interferencia o del impacto.</t>
  </si>
  <si>
    <t xml:space="preserve">RJ12-180</t>
  </si>
  <si>
    <t xml:space="preserve">Con el balón detenido, un jugador comete una infracción merecedora de expulsión. ¿Cómo se reanuda el juego tras expulsarlo?</t>
  </si>
  <si>
    <t xml:space="preserve">Con libre directo desde el lugar de la infracción.</t>
  </si>
  <si>
    <t xml:space="preserve">Con balón a tierra en el lugar de la infracción.</t>
  </si>
  <si>
    <t xml:space="preserve">Según la decisión adoptada anteriormente.</t>
  </si>
  <si>
    <t xml:space="preserve">Si el balón estuviera detenido, el partido se reanudará según la decisión adoptada anteriormente.</t>
  </si>
  <si>
    <t xml:space="preserve">RJ12-181</t>
  </si>
  <si>
    <t xml:space="preserve">Según la Regla 12.5, con el balón en juego, ¿cómo se sancionan todas las infracciones de carácter verbal cometidas dentro del terreno de juego?</t>
  </si>
  <si>
    <t xml:space="preserve">Con libre directo.</t>
  </si>
  <si>
    <t xml:space="preserve">Con libre indirecto.</t>
  </si>
  <si>
    <t xml:space="preserve">Con balón a tierra.</t>
  </si>
  <si>
    <t xml:space="preserve">Se sancionarán con libre indirecto todas las infracciones de carácter verbal.</t>
  </si>
  <si>
    <t xml:space="preserve">Regla 12.5 / Infracciones verbales</t>
  </si>
  <si>
    <t xml:space="preserve">RJ12-182</t>
  </si>
  <si>
    <t xml:space="preserve">Con el balón en juego, un jugador comete una infracción de carácter físico contra un compañero de equipo dentro del terreno de juego. ¿Cómo se reanuda el juego?</t>
  </si>
  <si>
    <t xml:space="preserve">Con libre directo (o penal) a favor del equipo adversario.</t>
  </si>
  <si>
    <t xml:space="preserve">Con libre indirecto a favor del equipo adversario, al tratarse de un compañero de equipo.</t>
  </si>
  <si>
    <t xml:space="preserve">Con balón a tierra en el lugar donde se cometió la infracción.</t>
  </si>
  <si>
    <t xml:space="preserve">Si un jugador comete una infracción de carácter físico dentro del campo contra un compañero, suplente, sustituido, expulsado, miembro del cuerpo técnico o del equipo arbitral, se concede libre directo o penal, según el caso.</t>
  </si>
  <si>
    <t xml:space="preserve">RJ12-183</t>
  </si>
  <si>
    <t xml:space="preserve">Un espectador invade el terreno de juego y un jugador le da un empujón, o un jugador patea a un perro que ha invadido el terreno de juego, y el árbitro detiene el juego. ¿Cómo se reanuda en ambos casos?</t>
  </si>
  <si>
    <t xml:space="preserve">Con un balón a tierra, al tratarse de una infracción contra un agente externo.</t>
  </si>
  <si>
    <t xml:space="preserve">Con libre directo a favor del equipo adversario, al haber cometido el jugador una infracción física.</t>
  </si>
  <si>
    <t xml:space="preserve">Con libre indirecto a favor del equipo adversario, al haber cometido el jugador una infracción.</t>
  </si>
  <si>
    <t xml:space="preserve">Una infracción cometida contra un agente externo (un espectador, un animal...) no es una infracción contra un jugador: el juego se reanuda con un balón a tierra.</t>
  </si>
  <si>
    <t xml:space="preserve">Regla 12.5 / Infracción sobre un agente externo</t>
  </si>
  <si>
    <t xml:space="preserve">RJ12-184</t>
  </si>
  <si>
    <t xml:space="preserve">Un jugador abandona el terreno de juego sin permiso del árbitro y agrede fuera del campo a un recogepelotas; el árbitro detiene el juego. ¿Cómo se reanuda?</t>
  </si>
  <si>
    <t xml:space="preserve">Con libre indirecto desde el punto de la línea de demarcación por el que el jugador salió del campo.</t>
  </si>
  <si>
    <t xml:space="preserve">Con balón a tierra donde estaba el balón, al no considerarse la agresión cometida fuera del campo como infracción sancionable.</t>
  </si>
  <si>
    <t xml:space="preserve">Con libre directo en el lugar de la agresión, aunque esta se haya producido fuera de los límites del terreno de juego.</t>
  </si>
  <si>
    <t xml:space="preserve">Si la infracción es sobre un agente externo y el jugador ha abandonado el campo sin permiso, el árbitro concede libre indirecto desde el punto de la línea por el que salió.</t>
  </si>
  <si>
    <t xml:space="preserve">RJ12-185</t>
  </si>
  <si>
    <t xml:space="preserve">Con el balón en juego, un jugador comete una infracción física contra un miembro del cuerpo técnico adversario, un suplente que calienta junto a la línea de banda, o un árbitro asistente, estando los tres fuera del terreno de juego. ¿Cómo se reanuda el juego en los tres casos?</t>
  </si>
  <si>
    <t xml:space="preserve">En los tres casos igual: con libre directo (o penal) desde el punto de la línea de demarcación más cercano a la infracción.</t>
  </si>
  <si>
    <t xml:space="preserve">Con libre directo si la víctima es del cuerpo técnico o suplente, pero con libre indirecto si es el árbitro asistente.</t>
  </si>
  <si>
    <t xml:space="preserve">Con libre indirecto en los tres casos, al tratarse de personas situadas fuera del terreno de juego.</t>
  </si>
  <si>
    <t xml:space="preserve">En los tres casos la sanción es la misma: tiro libre directo (o penal si corresponde) desde el punto de la línea de demarcación más cercano al lugar donde se cometió la infracción, con independencia de si la víctima es del cuerpo técnico, un suplente o un árbitro asistente.</t>
  </si>
  <si>
    <t xml:space="preserve">RJ12-187</t>
  </si>
  <si>
    <t xml:space="preserve">Un suplente entra en el terreno de juego sin permiso e interfiere con la evolución de un adversario, sin que se evite gol. ¿Cómo se reanuda el juego?</t>
  </si>
  <si>
    <t xml:space="preserve">Con libre directo (o penal) desde donde se produjo la interferencia.</t>
  </si>
  <si>
    <t xml:space="preserve">Con balón a tierra en el lugar de la interferencia.</t>
  </si>
  <si>
    <t xml:space="preserve">Con libre indirecto en el centro del campo, al ser un suplente el infractor.</t>
  </si>
  <si>
    <t xml:space="preserve">Cuando un suplente interfiere en la evolución de un adversario, se reanuda con libre en el lugar donde se produjo la interferencia; será penal si es una infracción sancionable con libre directo dentro del área del infractor.</t>
  </si>
  <si>
    <t xml:space="preserve">RJ12-188</t>
  </si>
  <si>
    <t xml:space="preserve">Un suplente entra sin permiso en su propia área penal y derriba a un atacante que iba a rematar. ¿Cómo se reanuda el juego?</t>
  </si>
  <si>
    <t xml:space="preserve">Con un tiro penal.</t>
  </si>
  <si>
    <t xml:space="preserve">Con un tiro libre directo en el borde del área.</t>
  </si>
  <si>
    <t xml:space="preserve">Con un tiro libre indirecto dentro del área.</t>
  </si>
  <si>
    <t xml:space="preserve">Se señalará tiro penal si se trata de una infracción sancionable con libre directo cometida dentro del área del infractor.</t>
  </si>
  <si>
    <t xml:space="preserve">RJ12-189</t>
  </si>
  <si>
    <t xml:space="preserve">Con el balón en juego, un jugador que está fuera del terreno recibiendo atención médica empuja con fuerza a un suplente de su propio equipo. ¿Cómo se reanuda el juego?</t>
  </si>
  <si>
    <t xml:space="preserve">Con un tiro libre directo en el punto más cercano de la línea de demarcación.</t>
  </si>
  <si>
    <t xml:space="preserve">Con un balón a tierra en el punto más cercano de la línea de demarcación.</t>
  </si>
  <si>
    <t xml:space="preserve">Con un tiro libre indirecto en el punto más cercano de la línea de demarcación.</t>
  </si>
  <si>
    <t xml:space="preserve">Si la infracción la comete un jugador situado fuera del campo contra otro jugador, suplente, sustituido o miembro del cuerpo técnico de su propio equipo, se reanuda con libre indirecto desde el punto de la línea de demarcación más cercano.</t>
  </si>
  <si>
    <t xml:space="preserve">RJ12-191</t>
  </si>
  <si>
    <t xml:space="preserve">Con el balón en juego, un jugador dentro del terreno insulta a un miembro de su propio cuerpo técnico que está en el área técnica, y el árbitro lo expulsa. ¿Cómo se reanuda el juego?</t>
  </si>
  <si>
    <t xml:space="preserve">Con un tiro libre indirecto donde se encontraba el jugador.</t>
  </si>
  <si>
    <t xml:space="preserve">Con un tiro libre directo en la línea de demarcación más cercana.</t>
  </si>
  <si>
    <t xml:space="preserve">Con un balón a tierra donde estaba el balón.</t>
  </si>
  <si>
    <t xml:space="preserve">Las infracciones de carácter verbal se sancionan con libre indirecto.</t>
  </si>
  <si>
    <t xml:space="preserve">RJ12-192</t>
  </si>
  <si>
    <t xml:space="preserve">Según la introducción de la Regla 12, ¿por qué infracciones pueden concederse libres directos, libres indirectos y penales?</t>
  </si>
  <si>
    <t xml:space="preserve">Solamente por infracciones cometidas con el balón en juego.</t>
  </si>
  <si>
    <t xml:space="preserve">Por infracciones cometidas con el balón en juego o durante una interrupción por lesión.</t>
  </si>
  <si>
    <t xml:space="preserve">Por cualquier infracción, esté o no el balón en juego.</t>
  </si>
  <si>
    <t xml:space="preserve">Los tiros libres directos e indirectos y los lanzamientos desde el punto penal solamente podrán concederse por infracciones cometidas con el balón en juego.</t>
  </si>
  <si>
    <t xml:space="preserve">Regla 12 / Introducción</t>
  </si>
  <si>
    <t xml:space="preserve">RJ12-193</t>
  </si>
  <si>
    <t xml:space="preserve">Con el balón fuera de juego tras haber salido por la línea de meta, un jugador golpea imprudentemente a un adversario. ¿Concede el árbitro un libre directo?</t>
  </si>
  <si>
    <t xml:space="preserve">Sí, libre directo en el lugar de la infracción, con independencia de que el balón estuviera o no en juego en ese momento.</t>
  </si>
  <si>
    <t xml:space="preserve">No, porque los libres solo se conceden por infracciones con el balón en juego; el juego se reanuda como correspondía.</t>
  </si>
  <si>
    <t xml:space="preserve">Sí, libre indirecto en la línea de meta, al considerarse que el balón fuera de juego no exime de sanción al infractor.</t>
  </si>
  <si>
    <t xml:space="preserve">Los libres y penales solo pueden concederse por infracciones cometidas con el balón en juego; con el balón detenido se reanuda según la decisión anterior, adoptando las medidas disciplinarias que procedan.</t>
  </si>
  <si>
    <t xml:space="preserve">Regla 12 / Introducción y 12.5</t>
  </si>
  <si>
    <t xml:space="preserve">RJ12-194</t>
  </si>
  <si>
    <t xml:space="preserve">Con el balón detenido, un jugador escupe a un adversario. ¿Qué decide el árbitro?</t>
  </si>
  <si>
    <t xml:space="preserve">Lo expulsa y reanuda el juego según la decisión adoptada anteriormente.</t>
  </si>
  <si>
    <t xml:space="preserve">Lo amonesta y reanuda con balón a tierra.</t>
  </si>
  <si>
    <t xml:space="preserve">Escupir a alguien es motivo de expulsión; al estar el balón detenido, el juego se reanuda según la decisión anterior.</t>
  </si>
  <si>
    <t xml:space="preserve">Regla 12.4 y 12.5</t>
  </si>
  <si>
    <t xml:space="preserve">RJ12-195</t>
  </si>
  <si>
    <t xml:space="preserve">Un jugador salta a cabecear un balón y el balón golpea su brazo, que se encontraba en una posición natural derivada del movimiento de su cuerpo al saltar. ¿Qué decide el árbitro?</t>
  </si>
  <si>
    <t xml:space="preserve">No sanciona infracción por mano.</t>
  </si>
  <si>
    <t xml:space="preserve">Concede libre directo o penal por mano.</t>
  </si>
  <si>
    <t xml:space="preserve">Se comete infracción cuando la posición del brazo no es consecuencia del movimiento del cuerpo en esa acción; si está justificada por dicho movimiento, no hay infracción, salvo que el balón entre directamente en la meta tras el contacto.</t>
  </si>
  <si>
    <t xml:space="preserve">RJ12-196</t>
  </si>
  <si>
    <t xml:space="preserve">El guardameta, fuera de su área, toca el balón con las manos tras una cesión con el pie de un compañero, sin evitar ocasión manifiesta de gol. ¿Qué decide el árbitro?</t>
  </si>
  <si>
    <t xml:space="preserve">Concede libre directo por mano fuera del área.</t>
  </si>
  <si>
    <t xml:space="preserve">Concede libre indirecto, como si estuviera dentro del área.</t>
  </si>
  <si>
    <t xml:space="preserve">Deja seguir el juego, porque es el guardameta.</t>
  </si>
  <si>
    <t xml:space="preserve">Fuera de su área el guardameta está sujeto a las mismas restricciones que cualquier jugador respecto a tocar el balón con la mano, por lo que la infracción por mano se sanciona con libre directo.</t>
  </si>
  <si>
    <t xml:space="preserve">Regla 12.1 / Guardameta y mano fuera del área</t>
  </si>
  <si>
    <t xml:space="preserve">RJ12-198</t>
  </si>
  <si>
    <t xml:space="preserve">Un jugador comete una infracción que no aparece recogida en las Reglas de Juego y el árbitro detiene el partido para amonestarle. ¿Cómo se reanuda el juego?</t>
  </si>
  <si>
    <t xml:space="preserve">Con libre directo a favor del equipo adversario.</t>
  </si>
  <si>
    <t xml:space="preserve">Con libre indirecto a favor del equipo adversario.</t>
  </si>
  <si>
    <t xml:space="preserve">Se concede libre indirecto si un jugador comete cualquier otra infracción no mencionada en las Reglas por la que se interrumpe el partido para amonestar o expulsar a un jugador.</t>
  </si>
  <si>
    <t xml:space="preserve">Regla 12.2 / Libre indirecto</t>
  </si>
  <si>
    <t xml:space="preserve">RJ12-200</t>
  </si>
  <si>
    <t xml:space="preserve">Tras el pitido final, y antes de que el árbitro abandone el terreno de juego, un jugador le insulta gravemente. ¿Puede el árbitro expulsarlo?</t>
  </si>
  <si>
    <t xml:space="preserve">No, el partido ya ha terminado.</t>
  </si>
  <si>
    <t xml:space="preserve">No, solo puede reflejarlo en el acta.</t>
  </si>
  <si>
    <t xml:space="preserve">El árbitro tiene autoridad disciplinaria desde que entra en el terreno de juego para la inspección previa hasta que lo abandona una vez terminado el partido.</t>
  </si>
  <si>
    <t xml:space="preserve">Regla 12.4 / Autoridad disciplinaria</t>
  </si>
  <si>
    <t xml:space="preserve">RJ12-201</t>
  </si>
  <si>
    <t xml:space="preserve">Antes de la inspección previa al partido, un miembro del cuerpo técnico comete una infracción merecedora de expulsión antes de que el árbitro haya entrado en el terreno de juego. ¿Qué puede hacer el árbitro?</t>
  </si>
  <si>
    <t xml:space="preserve">Nada, porque su autoridad disciplinaria aún no ha comenzado.</t>
  </si>
  <si>
    <t xml:space="preserve">Impedir que participe en el partido y hacer constar el caso.</t>
  </si>
  <si>
    <t xml:space="preserve">Amonestarlo y permitirle ocupar el área técnica.</t>
  </si>
  <si>
    <t xml:space="preserve">Si antes de entrar en el terreno de juego un jugador o miembro del cuerpo técnico comete una infracción merecedora de expulsión, el árbitro puede impedir su participación y debe hacer constar los casos de conducta incorrecta.</t>
  </si>
  <si>
    <t xml:space="preserve">RJ12-203</t>
  </si>
  <si>
    <t xml:space="preserve">Un suplente repite de manera insistente el gesto de «revisión» ante el árbitro desde el banquillo. ¿Qué decide el árbitro?</t>
  </si>
  <si>
    <t xml:space="preserve">Lo amonesta, por repetir de manera insistente el gesto de «revisión».</t>
  </si>
  <si>
    <t xml:space="preserve">Lo advierte, sin llegar a amonestarlo por este tipo de conducta desde el banquillo.</t>
  </si>
  <si>
    <t xml:space="preserve">Se amonestará al suplente o jugador sustituido que repita de manera insistente el gesto de la «revisión».</t>
  </si>
  <si>
    <t xml:space="preserve">RJ12-204</t>
  </si>
  <si>
    <t xml:space="preserve">Un jugador sustituido, sentado en el banquillo, comete un acto de conducta antideportiva hacia un adversario. ¿Qué decide el árbitro?</t>
  </si>
  <si>
    <t xml:space="preserve">Lo amonesta, por incurrir en conducta antideportiva pese a estar en el banquillo.</t>
  </si>
  <si>
    <t xml:space="preserve">Lo advierte, al aplicarle el mismo sistema de apercibimiento previsto para el cuerpo técnico.</t>
  </si>
  <si>
    <t xml:space="preserve">No puede sancionarle, al no estar disputando el balón ni encontrarse dentro del terreno de juego.</t>
  </si>
  <si>
    <t xml:space="preserve">Se amonestará al suplente o jugador sustituido que realice conducta antideportiva.</t>
  </si>
  <si>
    <t xml:space="preserve">RJ12-205</t>
  </si>
  <si>
    <t xml:space="preserve">Un jugador muestra su desaprobación con acciones: lanza con rabia el balón contra el suelo tras un pitido en contra, o aplaude de forma sarcástica una decisión del árbitro en su cara. ¿Qué decide el árbitro en ambos casos?</t>
  </si>
  <si>
    <t xml:space="preserve">En ambos casos lo amonesta por mostrar desaprobación con acciones.</t>
  </si>
  <si>
    <t xml:space="preserve">Solo lo amonesta si aplaude; lanzar el balón con rabia no es sancionable.</t>
  </si>
  <si>
    <t xml:space="preserve">Lo expulsa en ambos casos, por faltar al respeto al equipo arbitral.</t>
  </si>
  <si>
    <t xml:space="preserve">Mostrar desaprobación con palabras o acciones (lanzar el balón con rabia, aplaudir sarcásticamente una decisión...) es una infracción sancionable con amonestación.</t>
  </si>
  <si>
    <t xml:space="preserve">RJ12-206</t>
  </si>
  <si>
    <t xml:space="preserve">Un defensor, fuera de su área, entra a un atacante que se dirigía solo hacia la portería. Intentaba jugar el balón, pero llega tarde y lo derriba. ¿Qué medida disciplinaria toma el árbitro?</t>
  </si>
  <si>
    <t xml:space="preserve">Concede libre directo y amonesta al defensor porque intentaba jugar el balón.</t>
  </si>
  <si>
    <t xml:space="preserve">Concede libre directo y expulsa al defensor por evitar una ocasión manifiesta de gol.</t>
  </si>
  <si>
    <t xml:space="preserve">La reducción a amonestación por intentar jugar el balón solo se aplica cuando el árbitro señala tiro penal; fuera del área, evitar una ocasión manifiesta de gol mediante falta conlleva expulsión.</t>
  </si>
  <si>
    <t xml:space="preserve">RJ12-208</t>
  </si>
  <si>
    <t xml:space="preserve">Según la Regla 12.5, si el balón está en juego y un jugador comete una infracción de carácter físico dentro del terreno de juego contra un adversario, ¿cómo se reanuda el juego?</t>
  </si>
  <si>
    <t xml:space="preserve">Con libre indirecto, libre directo o tiro penal, según el caso.</t>
  </si>
  <si>
    <t xml:space="preserve">Con libre directo, con independencia del lugar donde se produzca la infracción física.</t>
  </si>
  <si>
    <t xml:space="preserve">Con libre indirecto, al considerarse toda infracción física de menor gravedad.</t>
  </si>
  <si>
    <t xml:space="preserve">Si un jugador comete una infracción física dentro del campo contra un adversario, el juego se reanuda con libre indirecto, directo o tiro penal, según el caso.</t>
  </si>
  <si>
    <t xml:space="preserve">RJ12-211</t>
  </si>
  <si>
    <t xml:space="preserve">Un entrenador celebra un gol de su equipo de manera provocativa y exaltada frente al banquillo rival. ¿Qué decide el árbitro?</t>
  </si>
  <si>
    <t xml:space="preserve">Lo amonesta, por celebrar de manera provocativa y exaltada frente al banquillo rival.</t>
  </si>
  <si>
    <t xml:space="preserve">Lo expulsa, al asimilar la celebración provocativa a una entrada con ánimo de confrontación hacia el banquillo rival.</t>
  </si>
  <si>
    <t xml:space="preserve">Le advierte, sin llegar a amonestarlo por este tipo de celebración provocativa.</t>
  </si>
  <si>
    <t xml:space="preserve">Proceder de manera provocativa o exaltada es motivo de amonestación para los miembros del cuerpo técnico.</t>
  </si>
  <si>
    <t xml:space="preserve">RJ12-212</t>
  </si>
  <si>
    <t xml:space="preserve">El guardameta controla el balón con las manos dentro de su área durante siete segundos y lo suelta. El árbitro...</t>
  </si>
  <si>
    <t xml:space="preserve">La infracción se produce si el guardameta controla el balón con las manos o los brazos durante más de ocho segundos antes de soltarlo.</t>
  </si>
  <si>
    <t xml:space="preserve">RJ12-213</t>
  </si>
  <si>
    <t xml:space="preserve">Un defensor golpea con el puño en la cabeza a un atacante cuando ninguno disputaba el balón, con una fuerza claramente apreciable. ¿Qué decide el árbitro?</t>
  </si>
  <si>
    <t xml:space="preserve">Concede libre directo (o penal) y lo expulsa por juego brusco y grave.</t>
  </si>
  <si>
    <t xml:space="preserve">Concede libre directo (o penal) y lo expulsa por conducta violenta.</t>
  </si>
  <si>
    <t xml:space="preserve">Concede libre indirecto y lo amonesta.</t>
  </si>
  <si>
    <t xml:space="preserve">Si un jugador golpea deliberadamente a un adversario en la cabeza o la cara sin disputar el balón, la acción es conducta violenta (expulsión); el juego brusco y grave exige disputa del balón.</t>
  </si>
  <si>
    <t xml:space="preserve">RJ12-216</t>
  </si>
  <si>
    <t xml:space="preserve">¿Qué distingue, respecto al área técnica, una advertencia de una amonestación a un miembro del cuerpo técnico?</t>
  </si>
  <si>
    <t xml:space="preserve">La advertencia procede por salidas ocasionales sin otra infracción; la amonestación, por no respetar de manera obvia o persistente los límites del área técnica.</t>
  </si>
  <si>
    <t xml:space="preserve">La advertencia procede por cualquier salida del área técnica; la amonestación, por salir más de una vez en la misma parte del partido.</t>
  </si>
  <si>
    <t xml:space="preserve">La advertencia procede antes o después del partido; la amonestación, durante el desarrollo del juego.</t>
  </si>
  <si>
    <t xml:space="preserve">Salir del área técnica de manera ocasional sin otra infracción da lugar a advertencia; no respetar de manera obvia o persistente sus límites es motivo de amonestación.</t>
  </si>
  <si>
    <t xml:space="preserve">Regla 12.4 / Miembros del cuerpo técnico</t>
  </si>
  <si>
    <t xml:space="preserve">RJ12-219</t>
  </si>
  <si>
    <t xml:space="preserve">Un atacante empuja el balón con la mano de forma voluntaria hacia la portería y marca gol. ¿Qué decide el árbitro?</t>
  </si>
  <si>
    <t xml:space="preserve">Anula el gol, concede libre directo al equipo defensor y amonesta al atacante.</t>
  </si>
  <si>
    <t xml:space="preserve">Concede el gol y amonesta al atacante por tocar el balón con la mano.</t>
  </si>
  <si>
    <t xml:space="preserve">Anula el gol y concede saque de meta, sin sanción disciplinaria.</t>
  </si>
  <si>
    <t xml:space="preserve">Marcar gol directamente con la mano es infracción (libre directo para el adversario) y tocar el balón con la mano al intentar marcar gol es conducta antideportiva, por lo que se amonesta.</t>
  </si>
  <si>
    <t xml:space="preserve">Regla 12.1 y 12.4 / Tocar el balón con la mano</t>
  </si>
  <si>
    <t xml:space="preserve">RJ12-220</t>
  </si>
  <si>
    <t xml:space="preserve">Dentro de su área, un defensor comete una falta imprudente al intentar jugar el balón e interfiere en un ataque prometedor; el árbitro señala tiro penal. El árbitro, además...</t>
  </si>
  <si>
    <t xml:space="preserve">Amonesta al defensor por ello.</t>
  </si>
  <si>
    <t xml:space="preserve">Expulsa al defensor por ello.</t>
  </si>
  <si>
    <t xml:space="preserve">La conducta antideportiva por interferir en un ataque prometedor no se aplica cuando el árbitro concede penal por una infracción con la que se pretende jugar o disputar el balón.</t>
  </si>
  <si>
    <t xml:space="preserve">RJ12-221</t>
  </si>
  <si>
    <t xml:space="preserve">Dentro de su área, un defensor agarra de la camiseta a un atacante e interfiere en un ataque prometedor, sin que exista ocasión manifiesta de gol; el árbitro señala tiro penal. El árbitro, además...</t>
  </si>
  <si>
    <t xml:space="preserve">Al no pretender jugar o disputar el balón, la excepción no se aplica: interferir en un ataque prometedor mediante una infracción es conducta antideportiva y se amonesta.</t>
  </si>
  <si>
    <t xml:space="preserve">RJ12-225</t>
  </si>
  <si>
    <t xml:space="preserve">El guardameta comete una falta imprudente sobre un delantero dentro de su propia área, sin ocasión manifiesta de gol. ¿Qué decide el árbitro?</t>
  </si>
  <si>
    <t xml:space="preserve">Señala penal y amonesta al guardameta.</t>
  </si>
  <si>
    <t xml:space="preserve">Concede libre indirecto sin sanción disciplinaria.</t>
  </si>
  <si>
    <t xml:space="preserve">Una falta imprudente no requiere sanción disciplinaria; cometida dentro del área del infractor, se sanciona con tiro penal.</t>
  </si>
  <si>
    <t xml:space="preserve">RJ12-226</t>
  </si>
  <si>
    <t xml:space="preserve">El guardameta sale de su área y toca el balón voluntariamente con las manos, interrumpiendo un ataque prometedor, pero sin evitar una ocasión manifiesta de gol. ¿Qué decide el árbitro?</t>
  </si>
  <si>
    <t xml:space="preserve">Concede libre directo y lo amonesta por conducta antideportiva.</t>
  </si>
  <si>
    <t xml:space="preserve">Concede libre directo y lo expulsa por evitar una ocasión manifiesta de gol.</t>
  </si>
  <si>
    <t xml:space="preserve">Concede libre indirecto sin sanción disciplinaria, al haber tocado el balón con las manos.</t>
  </si>
  <si>
    <t xml:space="preserve">Fuera de su área el guardameta está sujeto a las mismas restricciones que cualquier jugador: la mano voluntaria que interrumpe un ataque prometedor es conducta antideportiva.</t>
  </si>
  <si>
    <t xml:space="preserve">RJ12-228</t>
  </si>
  <si>
    <t xml:space="preserve">Un jugador toca el balón con la mano (voluntariamente para controlarlo, o con el brazo en posición antinatural que hace que su cuerpo ocupe más espacio), sin interrumpir un ataque prometedor ni evitar un gol u ocasión manifiesta de gol. ¿Qué decide el árbitro en ambos casos?</t>
  </si>
  <si>
    <t xml:space="preserve">En ambos casos concede libre directo (o penal si es en su área) sin sanción disciplinaria.</t>
  </si>
  <si>
    <t xml:space="preserve">Concede libre indirecto y amonesta al jugador, en ambos casos.</t>
  </si>
  <si>
    <t xml:space="preserve">Concede libre directo y lo amonesta por conducta antideportiva, en ambos casos.</t>
  </si>
  <si>
    <t xml:space="preserve">La infracción por mano se sanciona con libre directo (o penal); solo se sanciona disciplinariamente si con ella se interrumpe un ataque prometedor o se evita un gol u ocasión manifiesta de gol.</t>
  </si>
  <si>
    <t xml:space="preserve">RJ12-229</t>
  </si>
  <si>
    <t xml:space="preserve">Un jugador comete una falta de juego brusco y grave cuando el atacante mantiene una ocasión manifiesta de gol y el árbitro concede ventaja. El balón sale del campo poco después. ¿Qué hace el árbitro con el infractor?</t>
  </si>
  <si>
    <t xml:space="preserve">Lo amonesta, porque concedió ventaja.</t>
  </si>
  <si>
    <t xml:space="preserve">No adopta medida disciplinaria, al haber aplicado ventaja.</t>
  </si>
  <si>
    <t xml:space="preserve">En el juego brusco y grave solo se concede ventaja si hay ocasión manifiesta de gol; el árbitro expulsa al jugador en cuanto el balón deje de estar en juego.</t>
  </si>
  <si>
    <t xml:space="preserve">RJ12-231</t>
  </si>
  <si>
    <t xml:space="preserve">Un defensor, fuera de su área penal, obstaculiza el avance de un atacante sin que exista contacto físico, impidiéndole llegar en solitario hacia la portería y evitando así una clara ocasión de gol. ¿Qué decisión toma el árbitro?</t>
  </si>
  <si>
    <t xml:space="preserve">Concede tiro libre indirecto y amonesta al defensor por conducta antideportiva.</t>
  </si>
  <si>
    <t xml:space="preserve">Concede tiro libre indirecto y expulsa al defensor por evitar una ocasión manifiesta de gol.</t>
  </si>
  <si>
    <t xml:space="preserve">Concede tiro libre indirecto sin sanción disciplinaria, al no existir contacto físico.</t>
  </si>
  <si>
    <t xml:space="preserve">Evitar un gol o una ocasión manifiesta de gol mediante una infracción sancionable con libre, directo o indirecto, fuera del área del infractor conlleva expulsión.</t>
  </si>
  <si>
    <t xml:space="preserve">Regla 12.4</t>
  </si>
  <si>
    <t xml:space="preserve">RJ12-232</t>
  </si>
  <si>
    <t xml:space="preserve">El guardameta, en una jugada de ataque de su equipo lejos de su propia área, golpea el balón directamente con la mano y este entra en la portería contraria. ¿Qué decisión toma el árbitro?</t>
  </si>
  <si>
    <t xml:space="preserve">Concede el gol, al considerar que la infracción por mano del guardameta lejos de su área no impide su validez.</t>
  </si>
  <si>
    <t xml:space="preserve">No concede el gol; concede tiro libre indirecto a favor del equipo adversario, al tratarse de una simple infracción por mano.</t>
  </si>
  <si>
    <t xml:space="preserve">No concede el gol; concede tiro libre directo a favor del equipo adversario en el lugar del contacto.</t>
  </si>
  <si>
    <t xml:space="preserve">Marcar gol directamente con la mano o el brazo constituye infracción por mano, incluido el guardameta, y se sanciona con libre directo en el lugar donde se produjo el contacto.</t>
  </si>
  <si>
    <t xml:space="preserve">Regla 12.1</t>
  </si>
  <si>
    <t xml:space="preserve">RJ12-233</t>
  </si>
  <si>
    <t xml:space="preserve">Un defensor cede deliberadamente el balón con el pecho a su guardameta para burlar la Regla, y el guardameta lo controla con el pie, sin tocarlo con las manos. El árbitro...</t>
  </si>
  <si>
    <t xml:space="preserve">Deja que el juego continúe al no tocarlo con las manos.</t>
  </si>
  <si>
    <t xml:space="preserve">Burlar deliberadamente la Regla para hacer llegar el balón al guardameta con el pecho se sanciona con libre indirecto, independientemente de que el guardameta llegue a tocar el balón con la mano.</t>
  </si>
  <si>
    <t xml:space="preserve">Regla 12.2</t>
  </si>
  <si>
    <t xml:space="preserve">RJ12-235</t>
  </si>
  <si>
    <t xml:space="preserve">Un defensor, en clara disputa del balón, entra con exceso de fuerza sobre un rival, poniendo en peligro su integridad física, fuera del área penal. ¿Cómo se sanciona?</t>
  </si>
  <si>
    <t xml:space="preserve">Juego brusco grave: expulsión y tiro libre directo a favor del equipo contrario.</t>
  </si>
  <si>
    <t xml:space="preserve">Falta imprudente: amonestación y tiro libre directo a favor del equipo contrario.</t>
  </si>
  <si>
    <t xml:space="preserve">Conducta violenta: expulsión y tiro libre indirecto a favor del equipo contrario.</t>
  </si>
  <si>
    <t xml:space="preserve">Una entrada con exceso de fuerza que pone en peligro la integridad de un rival, disputando el balón, se sanciona como juego brusco grave: expulsión y tiro libre directo (o penal si es dentro del área).</t>
  </si>
  <si>
    <t xml:space="preserve">RJ12-236</t>
  </si>
  <si>
    <t xml:space="preserve">Un jugador, fuera de una disputa por el balón, empuja con violencia a un adversario en pleno centro del campo. ¿Cómo se sanciona?</t>
  </si>
  <si>
    <t xml:space="preserve">Conducta violenta: expulsión y tiro libre directo a favor del equipo contrario.</t>
  </si>
  <si>
    <t xml:space="preserve">Juego brusco grave: expulsión y tiro libre indirecto a favor del equipo contrario.</t>
  </si>
  <si>
    <t xml:space="preserve">Emplear fuerza excesiva o brutalidad contra un adversario cuando no se está disputando el balón se sanciona como conducta violenta: expulsión y tiro libre directo (o penal).</t>
  </si>
  <si>
    <t xml:space="preserve">RJ12-237</t>
  </si>
  <si>
    <t xml:space="preserve">Un jugador simula haber sido derribado dentro del área para intentar que se conceda un tiro penal inexistente. ¿Cómo se sanciona?</t>
  </si>
  <si>
    <t xml:space="preserve">Amonestación por conducta antideportiva, al tratarse de una simulación.</t>
  </si>
  <si>
    <t xml:space="preserve">Expulsión por conducta antideportiva, al tratarse de un intento de engaño grave al árbitro.</t>
  </si>
  <si>
    <t xml:space="preserve">No se sanciona, salvo que el árbitro llegue a conceder el tiro penal.</t>
  </si>
  <si>
    <t xml:space="preserve">La simulación, entendida como el intento de engañar al árbitro para obtener una ventaja indebida, se sanciona con amonestación por conducta antideportiva.</t>
  </si>
  <si>
    <t xml:space="preserve">RJ12-238</t>
  </si>
  <si>
    <t xml:space="preserve">Un jugador ya amonestado lanza con rabia el balón contra el suelo para protestar una decisión del árbitro. ¿Qué decisión toma el árbitro?</t>
  </si>
  <si>
    <t xml:space="preserve">Le advierte, al estar ya amonestado.</t>
  </si>
  <si>
    <t xml:space="preserve">Lo amonesta, sin consecuencias adicionales.</t>
  </si>
  <si>
    <t xml:space="preserve">Regla 12.3: mostrar desaprobación con palabras o acciones se sanciona con amonestación, y recibir una segunda amonestación en el mismo partido supone la expulsión.</t>
  </si>
  <si>
    <t xml:space="preserve">Regla 12.3</t>
  </si>
  <si>
    <t xml:space="preserve">RJ12-240</t>
  </si>
  <si>
    <t xml:space="preserve">Con el balón en juego, un jugador que está fuera del terreno de juego recibiendo atención médica insulta al árbitro, que detiene el juego. El árbitro...</t>
  </si>
  <si>
    <t xml:space="preserve">Lo expulsa y reanuda con un tiro libre indirecto en el punto más cercano de la línea de demarcación.</t>
  </si>
  <si>
    <t xml:space="preserve">Lo expulsa y reanuda con un tiro libre directo en el punto más cercano de la línea de demarcación.</t>
  </si>
  <si>
    <t xml:space="preserve">Lo amonesta y reanuda con un tiro libre indirecto en el punto más cercano de la línea de demarcación.</t>
  </si>
  <si>
    <t xml:space="preserve">Regla 12 (pág. 69): si con el balón en juego un jugador comete una infracción contra un miembro del equipo arbitral fuera del terreno de juego, se reanuda con un tiro libre desde el punto de la línea de demarcación más cercano. Las infracciones de carácter verbal se sancionan con libre indirecto. Insultar es motivo de expulsión.</t>
  </si>
  <si>
    <t xml:space="preserve">RJ12-242</t>
  </si>
  <si>
    <t xml:space="preserve">Un jugador realiza una entrada temeraria (sin fuerza excesiva) sobre un rival en una acción sin ocasión manifiesta de gol, dentro del área del infractor. ¿Cómo se sanciona?</t>
  </si>
  <si>
    <t xml:space="preserve">Tiro penal y amonestación al infractor por la entrada temeraria.</t>
  </si>
  <si>
    <t xml:space="preserve">Tiro penal y expulsión al infractor por juego brusco grave.</t>
  </si>
  <si>
    <t xml:space="preserve">Tiro libre indirecto dentro del área y amonestación al infractor.</t>
  </si>
  <si>
    <t xml:space="preserve">Una entrada temeraria sancionable con libre directo dentro del área conlleva tiro penal, y la temeridad se sanciona con amonestación, salvo que concurra otra circunstancia agravante.</t>
  </si>
  <si>
    <t xml:space="preserve">RJ12-243</t>
  </si>
  <si>
    <t xml:space="preserve">Durante el calentamiento previo, una vez que el árbitro ha entrado en el terreno de juego para la inspección, un suplente agrede a un jugador rival. ¿Puede el árbitro sancionarlo?</t>
  </si>
  <si>
    <t xml:space="preserve">Sí, su autoridad disciplinaria comienza con la inspección previa al partido.</t>
  </si>
  <si>
    <t xml:space="preserve">No, su autoridad disciplinaria comienza con el saque inicial del partido.</t>
  </si>
  <si>
    <t xml:space="preserve">No, solo puede reflejarlo en el acta sin ninguna sanción en el terreno.</t>
  </si>
  <si>
    <t xml:space="preserve">La autoridad del árbitro para sancionar comienza en cuanto entra en el terreno de juego para la inspección previa al partido.</t>
  </si>
  <si>
    <t xml:space="preserve">RJ12-244</t>
  </si>
  <si>
    <t xml:space="preserve">Un jugador, molesto por una decisión, patea con rabia el banderín de esquina, dañándolo, sin dirigirlo contra ninguna persona. ¿Cómo se sanciona?</t>
  </si>
  <si>
    <t xml:space="preserve">Amonestación por conducta antideportiva, al mostrar desaprobación con sus acciones.</t>
  </si>
  <si>
    <t xml:space="preserve">Expulsión por conducta violenta, al tratarse de un acto de agresividad.</t>
  </si>
  <si>
    <t xml:space="preserve">No se sanciona, al no haber ninguna persona afectada por la acción.</t>
  </si>
  <si>
    <t xml:space="preserve">Mostrar desaprobación con acciones, como golpear con rabia elementos del terreno de juego, se sanciona con amonestación por conducta antideportiva.</t>
  </si>
  <si>
    <t xml:space="preserve">RJ12-245</t>
  </si>
  <si>
    <t xml:space="preserve">Fuera de su área, un jugador intercepta deliberadamente con la mano un pase dirigido a un adversario, sin que se trate de un ataque prometedor ni de una ocasión de gol. El árbitro...</t>
  </si>
  <si>
    <t xml:space="preserve">Concede un tiro libre directo, sin medida disciplinaria.</t>
  </si>
  <si>
    <t xml:space="preserve">Concede un tiro libre indirecto, sin medida disciplinaria.</t>
  </si>
  <si>
    <t xml:space="preserve">Concede un tiro libre directo y amonesta al jugador.</t>
  </si>
  <si>
    <t xml:space="preserve">Tocar deliberadamente el balón con la mano fuera del área propia se sanciona con tiro libre directo, salvo que además concurra una circunstancia agravante que conlleve sanción disciplinaria.</t>
  </si>
  <si>
    <t xml:space="preserve">RJ12-246</t>
  </si>
  <si>
    <t xml:space="preserve">Tras un gol, un entrenador entra en el terreno de juego para felicitar de forma respetuosa a sus jugadores. El árbitro...</t>
  </si>
  <si>
    <t xml:space="preserve">No toma ninguna medida.</t>
  </si>
  <si>
    <t xml:space="preserve">Entrar en el terreno de juego de manera respetuosa y pacífica se sanciona, con carácter general, con una advertencia (apercibimiento).</t>
  </si>
  <si>
    <t xml:space="preserve">RJ12-247</t>
  </si>
  <si>
    <t xml:space="preserve">Tras ser sustituido, un jugador permanece varios minutos discutiendo con el árbitro antes de ir al banquillo. El árbitro...</t>
  </si>
  <si>
    <t xml:space="preserve">Puede amonestarlo por desaprobación o por retrasar la reanudación.</t>
  </si>
  <si>
    <t xml:space="preserve">Lo expulsa por abandonar el terreno de juego con retraso.</t>
  </si>
  <si>
    <t xml:space="preserve">No puede sancionarlo, al haber sido ya sustituido.</t>
  </si>
  <si>
    <t xml:space="preserve">Un jugador sustituido sigue sujeto a la autoridad disciplinaria del árbitro; mostrar desaprobación o retrasar la reanudación puede sancionarse con amonestación.</t>
  </si>
  <si>
    <t xml:space="preserve">RJ12-250</t>
  </si>
  <si>
    <t xml:space="preserve">El guardameta controla el balón con las manos dentro de su propia área durante más de ocho segundos antes de soltarlo, tras haber efectuado el árbitro la cuenta atrás de los últimos cinco segundos con la mano alzada. ¿Qué decisión toma el árbitro?</t>
  </si>
  <si>
    <t xml:space="preserve">Concede un saque de esquina al equipo adversario, sin sanción disciplinaria para el guardameta.</t>
  </si>
  <si>
    <t xml:space="preserve">Concede un tiro libre indirecto al equipo adversario, sin sanción disciplinaria para el guardameta.</t>
  </si>
  <si>
    <t xml:space="preserve">Concede un saque de esquina al equipo adversario y amonesta al guardameta por retrasar la reanudación.</t>
  </si>
  <si>
    <t xml:space="preserve">Se concederá un saque de esquina si el guardameta, dentro de su propia área, controla el balón con las manos o los brazos durante más de ocho segundos antes de soltarlo. La Regla 12.3 no prevé sanción disciplinaria por ello.</t>
  </si>
  <si>
    <t xml:space="preserve">RJ13-001</t>
  </si>
  <si>
    <t xml:space="preserve">Regla 13</t>
  </si>
  <si>
    <t xml:space="preserve">Un jugador, que no es el guardameta, ejecuta un tiro libre fuera del área y toca el balón por segunda vez de forma involuntaria antes de que lo toque otro jugador. Decisión:</t>
  </si>
  <si>
    <t xml:space="preserve">El árbitro ordenará repetir el tiro libre, al tratarse de un toque involuntario del ejecutor.</t>
  </si>
  <si>
    <t xml:space="preserve">El árbitro aplicará ventaja si procede; si no, concederá un tiro libre indirecto al equipo contrario.</t>
  </si>
  <si>
    <t xml:space="preserve">El árbitro dejará que el juego continúe, al no constituir infracción un toque involuntario.</t>
  </si>
  <si>
    <t xml:space="preserve">El doble toque involuntario del ejecutor se sanciona con tiro libre indirecto al equipo contrario, aplicando ventaja si es posible antes de detener el juego.</t>
  </si>
  <si>
    <t xml:space="preserve">RJ13-002</t>
  </si>
  <si>
    <t xml:space="preserve">Un jugador ejecuta rápidamente un tiro libre y un adversario situado a 5 metros intercepta el balón. Decisión del árbitro:</t>
  </si>
  <si>
    <t xml:space="preserve">Ordena repetir el tiro libre y amonesta al adversario.</t>
  </si>
  <si>
    <t xml:space="preserve">Ordena repetir el tiro libre.</t>
  </si>
  <si>
    <t xml:space="preserve">Regla 13 (pág. 72): si un jugador ejecuta un tiro libre rápido y un adversario a menos de 9,15 m intercepta el balón, el árbitro permitirá que el juego continúe.</t>
  </si>
  <si>
    <t xml:space="preserve">RJ13-005</t>
  </si>
  <si>
    <t xml:space="preserve">En la ejecución de un tiro libre directo a favor del equipo atacante fuera del área, ¿a qué distancia mínima deben situarse los adversarios del balón, salvo que estén sobre su propia línea de meta entre los postes?</t>
  </si>
  <si>
    <t xml:space="preserve">5 metros.</t>
  </si>
  <si>
    <t xml:space="preserve">7,32 metros.</t>
  </si>
  <si>
    <t xml:space="preserve">9,15 metros.</t>
  </si>
  <si>
    <t xml:space="preserve">La distancia reglamentaria mínima que deben guardar los adversarios en los tiros libres es de 9,15 metros, salvo excepciones específicas junto a la propia meta.</t>
  </si>
  <si>
    <t xml:space="preserve">RJ13-007</t>
  </si>
  <si>
    <t xml:space="preserve">¿Hasta cuándo mantiene el árbitro la señal de tiro libre indirecto?</t>
  </si>
  <si>
    <t xml:space="preserve">Hasta que se ejecuta el tiro y el balón toca a otro jugador, deja de estar en juego o es evidente que no puede marcarse gol directamente.</t>
  </si>
  <si>
    <t xml:space="preserve">Hasta que se ejecuta el tiro y el balón toca a un jugador adversario, sin otros supuestos posibles.</t>
  </si>
  <si>
    <t xml:space="preserve">Hasta que el balón esté en juego tras ser golpeado con el pie y se mueva con claridad, sin otros supuestos posibles.</t>
  </si>
  <si>
    <t xml:space="preserve">La señal se mantiene hasta que se ejecuta el tiro y el balón toca a otro jugador, deja de estar en juego o está claro que no es posible marcar gol directamente.</t>
  </si>
  <si>
    <t xml:space="preserve">Regla 13.1 / Señal de tiro libre indirecto</t>
  </si>
  <si>
    <t xml:space="preserve">RJ13-008</t>
  </si>
  <si>
    <t xml:space="preserve">El árbitro concede un tiro libre indirecto, pero olvida levantar el brazo. El ejecutor golpea el balón y este entra directamente en la portería contraria sin tocar a nadie. ¿Qué decisión toma el árbitro?</t>
  </si>
  <si>
    <t xml:space="preserve">Ordena repetir el tiro libre, al haber olvidado señalar que era indirecto.</t>
  </si>
  <si>
    <t xml:space="preserve">Concede saque de meta a favor del equipo defensor, al ser un tiro libre indirecto.</t>
  </si>
  <si>
    <t xml:space="preserve">Concede gol, ya que el error de señalización es del árbitro.</t>
  </si>
  <si>
    <t xml:space="preserve">Si el árbitro olvida indicar que el tiro es indirecto y el balón entra directamente en la portería, se repite el tiro.</t>
  </si>
  <si>
    <t xml:space="preserve">RJ13-012</t>
  </si>
  <si>
    <t xml:space="preserve">Dentro de su área de meta, un defensor obstaculiza sin contacto a un atacante. ¿Desde dónde se ejecuta el tiro libre indirecto a favor del equipo atacante?</t>
  </si>
  <si>
    <t xml:space="preserve">Desde el punto exacto donde se cometió la infracción, dentro del área de meta.</t>
  </si>
  <si>
    <t xml:space="preserve">Desde el punto más cercano de la línea del área penal paralela a la línea de meta.</t>
  </si>
  <si>
    <t xml:space="preserve">Cuando corresponde un tiro libre indirecto a favor del equipo atacante por una infracción cometida dentro del área de meta, se ejecuta desde el punto de la línea del área de meta (paralela a la línea de meta) más próximo al lugar donde se produjo la infracción.</t>
  </si>
  <si>
    <t xml:space="preserve">Regla 13.2 / Procedimiento</t>
  </si>
  <si>
    <t xml:space="preserve">RJ13-014</t>
  </si>
  <si>
    <t xml:space="preserve">El equipo defensor tiene un tiro libre a su favor dentro de su propia área de meta. ¿Desde qué lugar puede ejecutarse?</t>
  </si>
  <si>
    <t xml:space="preserve">Desde el punto más próximo al banderín de esquina.</t>
  </si>
  <si>
    <t xml:space="preserve">Los tiros libres a favor del equipo defensor en su área de meta podrán ejecutarse desde cualquier punto de dicha área.</t>
  </si>
  <si>
    <t xml:space="preserve">RJ13-015</t>
  </si>
  <si>
    <t xml:space="preserve">Un jugador vuelve a entrar en el terreno de juego sin permiso del árbitro, que detiene el juego para sancionarlo, sin que haya habido interferencia. ¿Desde dónde se ejecuta el tiro libre?</t>
  </si>
  <si>
    <t xml:space="preserve">Desde el lugar donde se encontraba el balón cuando se detuvo el juego.</t>
  </si>
  <si>
    <t xml:space="preserve">Desde el punto de la línea de demarcación por donde entró el jugador.</t>
  </si>
  <si>
    <t xml:space="preserve">Desde el punto central del terreno de juego.</t>
  </si>
  <si>
    <t xml:space="preserve">Los libres por entrada, reingreso o salida sin permiso se ejecutan desde el lugar donde estaba el balón cuando se detuvo el juego.</t>
  </si>
  <si>
    <t xml:space="preserve">RJ13-016</t>
  </si>
  <si>
    <t xml:space="preserve">Con el balón en juego, un suplente comete fuera del terreno de juego una infracción física contra un adversario, cerca de la línea de banda. ¿Dónde se ejecuta el tiro libre?</t>
  </si>
  <si>
    <t xml:space="preserve">En el lugar donde se encontraba el balón al detenerse el juego.</t>
  </si>
  <si>
    <t xml:space="preserve">En el punto de la línea de banda más cercano a su banquillo.</t>
  </si>
  <si>
    <t xml:space="preserve">En el punto de la línea de demarcación más cercano a la infracción.</t>
  </si>
  <si>
    <t xml:space="preserve">Cuando la infracción se comete fuera del terreno de juego, el tiro libre se ejecuta en la línea de demarcación más cercana al lugar de la infracción.</t>
  </si>
  <si>
    <t xml:space="preserve">RJ13-017</t>
  </si>
  <si>
    <t xml:space="preserve">En un tiro libre, un adversario se sitúa a 5 metros del balón antes de que se ejecute y el árbitro no puede aplicar la ventaja. El árbitro...</t>
  </si>
  <si>
    <t xml:space="preserve">Ordena que se vuelva a ejecutar el tiro libre.</t>
  </si>
  <si>
    <t xml:space="preserve">Concede un tiro libre indirecto donde estaba el adversario.</t>
  </si>
  <si>
    <t xml:space="preserve">Deja que el juego continúe y amonesta al adversario.</t>
  </si>
  <si>
    <t xml:space="preserve">Si un adversario no respeta la distancia reglamentaria, se vuelve a ejecutar el tiro a menos que pueda concederse ventaja.</t>
  </si>
  <si>
    <t xml:space="preserve">Regla 13.3 / Infracciones y sanciones</t>
  </si>
  <si>
    <t xml:space="preserve">RJ13-018</t>
  </si>
  <si>
    <t xml:space="preserve">Un jugador ejecuta rápidamente un tiro libre y un adversario situado a 6 metros, que no había obstaculizado deliberadamente la ejecución, intercepta el balón. El árbitro...</t>
  </si>
  <si>
    <t xml:space="preserve">En un tiro libre rápido, si un adversario a menos de 9,15 m intercepta el balón, el árbitro permite que el juego continúe.</t>
  </si>
  <si>
    <t xml:space="preserve">RJ13-019</t>
  </si>
  <si>
    <t xml:space="preserve">Un jugador ejecuta un tiro libre rápido y un adversario se coloca deliberadamente delante del balón para obstaculizar el saque. ¿Qué decide el árbitro?</t>
  </si>
  <si>
    <t xml:space="preserve">Amonesta al adversario por retrasar la reanudación del juego.</t>
  </si>
  <si>
    <t xml:space="preserve">Amonesta al adversario por conducta antideportiva y ordena repetir el tiro libre.</t>
  </si>
  <si>
    <t xml:space="preserve">Amonesta al adversario por no respetar la distancia reglamentaria.</t>
  </si>
  <si>
    <t xml:space="preserve">El adversario que obstaculice deliberadamente el saque de un tiro libre rápido será amonestado por retrasar la reanudación.</t>
  </si>
  <si>
    <t xml:space="preserve">RJ13-021</t>
  </si>
  <si>
    <t xml:space="preserve">El equipo defensor ejecuta un tiro libre dentro de su área penal y un atacante sigue dentro del área porque no tuvo tiempo de salir; no toca ni disputa el balón. ¿Qué decide el árbitro?</t>
  </si>
  <si>
    <t xml:space="preserve">Concede un tiro libre indirecto a favor del equipo defensor.</t>
  </si>
  <si>
    <t xml:space="preserve">Si un adversario sigue en el área porque no tuvo tiempo de salir, el árbitro permite que continúe el juego.</t>
  </si>
  <si>
    <t xml:space="preserve">RJ13-022</t>
  </si>
  <si>
    <t xml:space="preserve">El equipo defensor ejecuta un tiro libre dentro de su área penal y un atacante, que estaba dentro del área, toca el balón antes de que esté en juego. ¿Qué decide el árbitro?</t>
  </si>
  <si>
    <t xml:space="preserve">Concede un tiro libre indirecto a favor del equipo atacante.</t>
  </si>
  <si>
    <t xml:space="preserve">Concede un balón a tierra para el guardameta.</t>
  </si>
  <si>
    <t xml:space="preserve">Si un adversario dentro del área toca o disputa el balón antes de que esté en juego, se repite el tiro libre.</t>
  </si>
  <si>
    <t xml:space="preserve">RJ13-023</t>
  </si>
  <si>
    <t xml:space="preserve">Hasta que el balón esté en juego, en un tiro libre los adversarios deberán situarse:</t>
  </si>
  <si>
    <t xml:space="preserve">A 9,15 m como mínimo, salvo que estén sobre su línea de meta entre los postes.</t>
  </si>
  <si>
    <t xml:space="preserve">A 9,15 m como mínimo, incluso si están sobre su línea de meta entre los postes.</t>
  </si>
  <si>
    <t xml:space="preserve">A 4 m como mínimo, salvo que estén sobre su línea de meta entre los postes.</t>
  </si>
  <si>
    <t xml:space="preserve">Los adversarios deben estar a 9,15 m mínimo, salvo si se hallan sobre la línea de meta entre los postes de su propia portería.</t>
  </si>
  <si>
    <t xml:space="preserve">RJ13-024</t>
  </si>
  <si>
    <t xml:space="preserve">En un tiro libre a favor del equipo atacante dentro del área penal del adversario, ¿dónde deben permanecer los adversarios hasta que el balón esté en juego?</t>
  </si>
  <si>
    <t xml:space="preserve">Fuera del área penal y a 9,15 m del balón, salvo los situados en su línea de meta entre los postes.</t>
  </si>
  <si>
    <t xml:space="preserve">Dentro del área penal, formando barrera a 9,15 metros del balón, igual que en un tiro libre fuera del área.</t>
  </si>
  <si>
    <t xml:space="preserve">Fuera del área de meta, pudiendo permanecer dentro del área penal si respetan la distancia mínima.</t>
  </si>
  <si>
    <t xml:space="preserve">En libres dentro del área penal del adversario, estos deben estar a 9,15 m y fuera del área penal, salvo los que estén sobre la línea de meta entre los postes.</t>
  </si>
  <si>
    <t xml:space="preserve">RJ13-025</t>
  </si>
  <si>
    <t xml:space="preserve">Cuatro defensores forman una barrera y, durante la ejecución del tiro libre, un atacante se sitúa a 50 cm de ella. ¿Qué decisión toma el árbitro?</t>
  </si>
  <si>
    <t xml:space="preserve">Permite continuar, pues la barrera no exige distancia alguna.</t>
  </si>
  <si>
    <t xml:space="preserve">Ordena repetir el tiro libre y advierte al atacante.</t>
  </si>
  <si>
    <t xml:space="preserve">Si un atacante está a menos de 1 m de una barrera de tres o más defensores durante la ejecución, se concede libre indirecto.</t>
  </si>
  <si>
    <t xml:space="preserve">RJ13-026</t>
  </si>
  <si>
    <t xml:space="preserve">Dos defensores forman una barrera y, en la ejecución del tiro libre, un atacante se sitúa pegado a ellos. El árbitro...</t>
  </si>
  <si>
    <t xml:space="preserve">Amonesta al atacante.</t>
  </si>
  <si>
    <t xml:space="preserve">Concede un tiro libre indirecto al equipo defensor.</t>
  </si>
  <si>
    <t xml:space="preserve">La distancia de 1 m solo se exige cuando tres o más defensores forman una barrera.</t>
  </si>
  <si>
    <t xml:space="preserve">RJ13-027</t>
  </si>
  <si>
    <t xml:space="preserve">¿Cuál es la distancia mínima que deben guardar los atacantes respecto de una barrera de tres o más defensores hasta que el balón esté en juego?</t>
  </si>
  <si>
    <t xml:space="preserve">3 metros.</t>
  </si>
  <si>
    <t xml:space="preserve">2 metros.</t>
  </si>
  <si>
    <t xml:space="preserve">1 metro.</t>
  </si>
  <si>
    <t xml:space="preserve">Los atacantes deben guardar al menos 1 m de distancia respecto a la barrera formada por tres o más defensores.</t>
  </si>
  <si>
    <t xml:space="preserve">RJ13-028</t>
  </si>
  <si>
    <t xml:space="preserve">Un jugador ejecuta un tiro libre elevando el balón con los dos pies a la vez. El árbitro...</t>
  </si>
  <si>
    <t xml:space="preserve">Ordena repetir el tiro libre y amonesta al ejecutor.</t>
  </si>
  <si>
    <t xml:space="preserve">Concede un tiro libre indirecto al adversario.</t>
  </si>
  <si>
    <t xml:space="preserve">Se podrá ejecutar un tiro libre elevando el balón con un solo pie o con los dos simultáneamente.</t>
  </si>
  <si>
    <t xml:space="preserve">RJ13-029</t>
  </si>
  <si>
    <t xml:space="preserve">En la ejecución de un tiro libre, un jugador amaga con golpear el balón para confundir a los adversarios y después lo juega. El árbitro...</t>
  </si>
  <si>
    <t xml:space="preserve">Concede un tiro libre indirecto y amonesta al ejecutor.</t>
  </si>
  <si>
    <t xml:space="preserve">Fintar durante la ejecución de un tiro libre para confundir a los adversarios forma parte del juego y está permitido.</t>
  </si>
  <si>
    <t xml:space="preserve">RJ13-032</t>
  </si>
  <si>
    <t xml:space="preserve">Un jugador ejecuta un tiro libre y, con el balón ya en juego, vuelve a tocarlo (con el pie o con la mano, si es el guardameta) antes de que lo haga otro jugador. ¿Qué decide el árbitro?</t>
  </si>
  <si>
    <t xml:space="preserve">Concede un tiro libre indirecto a favor del equipo adversario.</t>
  </si>
  <si>
    <t xml:space="preserve">Ordena repetir el tiro libre, sin conceder nada al equipo adversario.</t>
  </si>
  <si>
    <t xml:space="preserve">Concede un tiro libre directo a favor del equipo adversario.</t>
  </si>
  <si>
    <t xml:space="preserve">El ejecutor de un tiro libre no puede volver a tocar el balón (con el pie o, si es el guardameta dentro de su área, con la mano) antes de que lo haga otro jugador; se sanciona con tiro libre indirecto a favor del equipo contrario.</t>
  </si>
  <si>
    <t xml:space="preserve">RJ13-034</t>
  </si>
  <si>
    <t xml:space="preserve">En un tiro libre ejecutado correctamente, el ejecutor golpea voluntariamente el balón contra un adversario para volver a jugarlo, sin imprudencia, temeridad ni fuerza excesiva. El árbitro...</t>
  </si>
  <si>
    <t xml:space="preserve">Si el ejecutor golpea voluntariamente el balón contra un adversario para jugarlo de nuevo sin imprudencia, temeridad ni fuerza excesiva, el juego continúa.</t>
  </si>
  <si>
    <t xml:space="preserve">RJ13-035</t>
  </si>
  <si>
    <t xml:space="preserve">¿A favor de quién se concede el tiro libre cuando un miembro del cuerpo técnico comete una infracción sancionable con libre?</t>
  </si>
  <si>
    <t xml:space="preserve">A favor del equipo adversario del responsable de la infracción.</t>
  </si>
  <si>
    <t xml:space="preserve">A favor del equipo cuyo jugador más cercano estuviese en el lugar.</t>
  </si>
  <si>
    <t xml:space="preserve">A favor del mismo equipo, si el árbitro lo decide.</t>
  </si>
  <si>
    <t xml:space="preserve">Se concede libre directo o indirecto al equipo adversario de un jugador, suplente, sustituido, expulsado o miembro del cuerpo técnico responsable de la infracción.</t>
  </si>
  <si>
    <t xml:space="preserve">Regla 13.1 / Tipos de tiros libres</t>
  </si>
  <si>
    <t xml:space="preserve">RJ13-036</t>
  </si>
  <si>
    <t xml:space="preserve">En un tiro libre indirecto, el balón toca a un compañero del ejecutor y entra en la portería adversaria. El árbitro...</t>
  </si>
  <si>
    <t xml:space="preserve">El libre indirecto solo no vale si entra directamente en la portería; si toca antes a otro jugador, se concede gol.</t>
  </si>
  <si>
    <t xml:space="preserve">Regla 13.1 / El balón entra en la portería</t>
  </si>
  <si>
    <t xml:space="preserve">RJ13-037</t>
  </si>
  <si>
    <t xml:space="preserve">Un suplente comete, fuera del terreno de juego, una infracción sancionable con libre directo contra un adversario, justo en el punto correspondiente a su propia área penal. ¿Qué decisión toma el árbitro?</t>
  </si>
  <si>
    <t xml:space="preserve">Concede un tiro penal a favor del equipo contrario, al corresponder la infracción a su propia área penal.</t>
  </si>
  <si>
    <t xml:space="preserve">Concede un tiro libre en la línea de demarcación más cercana al lugar de la infracción, a favor del equipo contrario.</t>
  </si>
  <si>
    <t xml:space="preserve">Concede un balón a tierra en el lugar donde se encontraba el balón cuando se produjo la infracción.</t>
  </si>
  <si>
    <t xml:space="preserve">Cuando una infracción cometida fuera del terreno de juego, sancionable con libre directo, se produce en un punto correspondiente al área penal del infractor, se señala tiro penal.</t>
  </si>
  <si>
    <t xml:space="preserve">RJ13-039</t>
  </si>
  <si>
    <t xml:space="preserve">Un equipo ejecuta un tiro libre sin que el árbitro haya gestionado la distancia, y un adversario situado a menos de 9,15 m intercepta el balón sin obstaculizar deliberadamente la ejecución. El árbitro...</t>
  </si>
  <si>
    <t xml:space="preserve">Regla 13: si se ejecuta un tiro libre rápido y un adversario a menos de 9,15 m intercepta el balón, el árbitro permitirá que el juego continúe. Solo se amonesta al adversario que obstaculice deliberadamente la ejecución rápida.</t>
  </si>
  <si>
    <t xml:space="preserve">RJ13-040</t>
  </si>
  <si>
    <t xml:space="preserve">Un jugador ejecuta un tiro libre rápido antes de que el árbitro coloque la barrera, y el balón entra directamente en la portería. ¿Es válido el gol?</t>
  </si>
  <si>
    <t xml:space="preserve">Sí, si el tiro libre era directo y no existía obligación de esperar a que se completara la barrera.</t>
  </si>
  <si>
    <t xml:space="preserve">No, todo tiro libre requiere que el árbitro autorice expresamente su ejecución.</t>
  </si>
  <si>
    <t xml:space="preserve">No, el gol solo es válido si la distancia reglamentaria ya se ha respetado por completo.</t>
  </si>
  <si>
    <t xml:space="preserve">Los equipos pueden ejecutar un tiro libre de forma rápida sin esperar a que el árbitro organice la barrera, salvo que este haya detenido expresamente la reanudación.</t>
  </si>
  <si>
    <t xml:space="preserve">RJ13-041</t>
  </si>
  <si>
    <t xml:space="preserve">Dos jugadores del mismo equipo se colocan junto al balón fingiendo que uno de ellos va a ejecutar el tiro libre, para confundir a la barrera. ¿Está permitido?</t>
  </si>
  <si>
    <t xml:space="preserve">Sí, fintar para confundir a los adversarios está permitido.</t>
  </si>
  <si>
    <t xml:space="preserve">No, cualquier finta antes del tiro libre se sanciona con amonestación.</t>
  </si>
  <si>
    <t xml:space="preserve">No, solo puede situarse junto al balón el jugador que lo va a ejecutar.</t>
  </si>
  <si>
    <t xml:space="preserve">Las Reglas de Juego permiten fintas para confundir a los adversarios, siempre que sean reglamentarias y no infrinjan otras disposiciones.</t>
  </si>
  <si>
    <t xml:space="preserve">RJ13-042</t>
  </si>
  <si>
    <t xml:space="preserve">En un tiro libre directo, el balón golpea a un adversario que no respetaba la distancia y entra en la portería. El árbitro...</t>
  </si>
  <si>
    <t xml:space="preserve">Concede el gol, sin perjuicio de sancionar al adversario.</t>
  </si>
  <si>
    <t xml:space="preserve">Anula el gol por la infracción de distancia del adversario.</t>
  </si>
  <si>
    <t xml:space="preserve">Ordena repetir el tiro libre y sanciona al adversario.</t>
  </si>
  <si>
    <t xml:space="preserve">Si el árbitro permite la ejecución sin detener antes el juego, el resultado de la jugada puede mantenerse válido, sin perjuicio de la sanción disciplinaria que corresponda al adversario infractor.</t>
  </si>
  <si>
    <t xml:space="preserve">RJ13-045</t>
  </si>
  <si>
    <t xml:space="preserve">¿Puede ejecutarse un tiro libre rápido mientras el árbitro asistente todavía no ha bajado el banderín tras señalar la infracción?</t>
  </si>
  <si>
    <t xml:space="preserve">Sí, no es necesario esperar a que el asistente baje el banderín.</t>
  </si>
  <si>
    <t xml:space="preserve">No, debe esperarse a que el asistente baje del todo el banderín.</t>
  </si>
  <si>
    <t xml:space="preserve">No, debe esperarse a que el árbitro lo autorice con el silbato.</t>
  </si>
  <si>
    <t xml:space="preserve">Un tiro libre puede ejecutarse de forma rápida sin necesidad de esperar a que el árbitro asistente complete la señalización, siempre que el árbitro no haya detenido expresamente la reanudación.</t>
  </si>
  <si>
    <t xml:space="preserve">RJ13-048</t>
  </si>
  <si>
    <t xml:space="preserve">Un equipo quiere ejecutar rápidamente un tiro libre, pero el árbitro ya ha empezado a gestionar la distancia de 9,15 m. ¿Puede ejecutarse antes de que el árbitro lo autorice?</t>
  </si>
  <si>
    <t xml:space="preserve">No, debe esperar a que el árbitro lo autorice.</t>
  </si>
  <si>
    <t xml:space="preserve">Sí, el equipo puede ejecutarlo cuando quiera.</t>
  </si>
  <si>
    <t xml:space="preserve">Sí, salvo que el árbitro haya pitado para detenerlo.</t>
  </si>
  <si>
    <t xml:space="preserve">Si el árbitro decide gestionar la distancia reglamentaria, la ejecución rápida queda condicionada a que la complete o autorice expresamente.</t>
  </si>
  <si>
    <t xml:space="preserve">RJ13-049</t>
  </si>
  <si>
    <t xml:space="preserve">En un tiro libre, tres o más defensores forman una barrera. Hasta que el balón esté en juego, los atacantes deberán estar de la barrera a una distancia mínima de:</t>
  </si>
  <si>
    <t xml:space="preserve">Regla 13 (pág. 72): cuando tres o más jugadores del equipo defensor formen una «barrera», los atacantes deberán guardar al menos 1 m de distancia hasta que el balón esté en juego; si no lo hacen, se concede un libre indirecto.</t>
  </si>
  <si>
    <t xml:space="preserve">RJ13-050</t>
  </si>
  <si>
    <t xml:space="preserve">En un tiro libre indirecto, el balón golpea a un adversario y después entra en la portería. El árbitro...</t>
  </si>
  <si>
    <t xml:space="preserve">De un tiro libre indirecto puede marcarse gol siempre que el balón toque a otro jugador (incluido un adversario) antes de entrar en la portería.</t>
  </si>
  <si>
    <t xml:space="preserve">RJ13-051</t>
  </si>
  <si>
    <t xml:space="preserve">En un tiro libre, ¿puede el ejecutor golpear el balón hacia atrás, en dirección contraria a la portería rival?</t>
  </si>
  <si>
    <t xml:space="preserve">Sí, el balón puede moverse en cualquier dirección.</t>
  </si>
  <si>
    <t xml:space="preserve">No, el balón debe dirigirse hacia delante.</t>
  </si>
  <si>
    <t xml:space="preserve">No existe restricción sobre la dirección del balón al ejecutar un tiro libre, siempre que se mueva con claridad tras el golpeo.</t>
  </si>
  <si>
    <t xml:space="preserve">RJ13-052</t>
  </si>
  <si>
    <t xml:space="preserve">Durante la ejecución de un tiro libre, un compañero del ejecutor entra en el terreno de juego sin permiso del árbitro para participar en la jugada. ¿Es sancionable?</t>
  </si>
  <si>
    <t xml:space="preserve">Sí, como cualquier entrada sin permiso del árbitro.</t>
  </si>
  <si>
    <t xml:space="preserve">No, puede incorporarse libremente a la jugada.</t>
  </si>
  <si>
    <t xml:space="preserve">Solo si llega a tocar el balón durante la jugada.</t>
  </si>
  <si>
    <t xml:space="preserve">Entrar al terreno de juego sin permiso del árbitro se sanciona conforme a las disposiciones generales de la Regla 12, con independencia de si se participa en un tiro libre en marcha.</t>
  </si>
  <si>
    <t xml:space="preserve">RJ13-053</t>
  </si>
  <si>
    <t xml:space="preserve">¿Puede el equipo que va a ejecutar un tiro libre hacerlo rápidamente, sin esperar a que el árbitro gestione la distancia de la barrera?</t>
  </si>
  <si>
    <t xml:space="preserve">Sí, si el árbitro no ha decidido gestionar la distancia.</t>
  </si>
  <si>
    <t xml:space="preserve">No, el árbitro debe gestionar la distancia antes de cada tiro libre.</t>
  </si>
  <si>
    <t xml:space="preserve">Sí, pero solo si el equipo contrario está de acuerdo con ello.</t>
  </si>
  <si>
    <t xml:space="preserve">Un equipo puede optar por ejecutar el tiro libre de forma rápida sin que el árbitro intervenga en la gestión de la distancia, si no la ha exigido ya expresamente.</t>
  </si>
  <si>
    <t xml:space="preserve">RJ13-054</t>
  </si>
  <si>
    <t xml:space="preserve">En un tiro libre a favor de un equipo en su propia mitad del terreno de juego, ¿deben los adversarios respetar la distancia de 9,15 m?</t>
  </si>
  <si>
    <t xml:space="preserve">Sí, en cualquier zona del terreno de juego.</t>
  </si>
  <si>
    <t xml:space="preserve">No, solo en la mitad de campo contraria.</t>
  </si>
  <si>
    <t xml:space="preserve">No, solo cerca del área penal contraria.</t>
  </si>
  <si>
    <t xml:space="preserve">La distancia mínima de 9,15 m se exige en cualquier tiro libre, con independencia de la zona del terreno de juego donde se ejecute.</t>
  </si>
  <si>
    <t xml:space="preserve">RJ13-055</t>
  </si>
  <si>
    <t xml:space="preserve">Durante un tiro libre, un jugador del equipo ejecutor obstaculiza deliberadamente a un adversario para que no pueda retirarse a la distancia reglamentaria. El árbitro...</t>
  </si>
  <si>
    <t xml:space="preserve">Amonesta al jugador infractor.</t>
  </si>
  <si>
    <t xml:space="preserve">Anula el tiro libre concedido.</t>
  </si>
  <si>
    <t xml:space="preserve">Obstaculizar deliberadamente a un adversario para impedirle llegar a la distancia reglamentaria se sanciona como conducta antideportiva.</t>
  </si>
  <si>
    <t xml:space="preserve">RJ13-056</t>
  </si>
  <si>
    <t xml:space="preserve">Un tiro libre se ejecuta desde un lugar erróneo y el árbitro lo advierte antes de que el juego continúe. El árbitro...</t>
  </si>
  <si>
    <t xml:space="preserve">Ordena repetirlo desde el lugar correcto.</t>
  </si>
  <si>
    <t xml:space="preserve">Concede el tiro libre al otro equipo.</t>
  </si>
  <si>
    <t xml:space="preserve">El árbitro puede corregir el lugar de ejecución de un tiro libre si detecta el error a tiempo, antes de que el juego continúe con normalidad.</t>
  </si>
  <si>
    <t xml:space="preserve">RJ13-057</t>
  </si>
  <si>
    <t xml:space="preserve">Un tiro libre indirecto se concede a favor del equipo atacante dentro del área de meta del equipo defensor. El ejecutor golpea el balón, que sale directamente por la línea de meta sin tocar a ningún otro jugador. ¿Cómo se reanuda el juego?</t>
  </si>
  <si>
    <t xml:space="preserve">Con un saque de meta a favor del equipo defensor, al no haber tocado el balón a otro jugador antes de salir del terreno de juego.</t>
  </si>
  <si>
    <t xml:space="preserve">Con la repetición del tiro libre indirecto desde el mismo lugar, al no haberse producido ninguna jugada relevante.</t>
  </si>
  <si>
    <t xml:space="preserve">Con un saque de esquina a favor del equipo atacante, al haber salido el balón por la línea de meta.</t>
  </si>
  <si>
    <t xml:space="preserve">Si de un tiro libre indirecto ejecutado dentro del área de meta el balón sale directamente sin tocar a otro jugador, corresponde saque de meta al equipo defensor, aplicando las reglas generales de reanudación tras un tiro libre indirecto.</t>
  </si>
  <si>
    <t xml:space="preserve">RJ13-058</t>
  </si>
  <si>
    <t xml:space="preserve">En un tiro libre directo, el balón roza a un adversario que no respetaba la distancia y entra en la portería. El árbitro...</t>
  </si>
  <si>
    <t xml:space="preserve">Puede aplicar la ventaja y conceder el gol, sin perjuicio de sancionar al adversario.</t>
  </si>
  <si>
    <t xml:space="preserve">Anula el gol por la infracción de distancia y ordena repetir el tiro libre.</t>
  </si>
  <si>
    <t xml:space="preserve">Concede el gol y no puede tomar medida disciplinaria contra el adversario.</t>
  </si>
  <si>
    <t xml:space="preserve">Ante una infracción de distancia que no llega a impedir el desarrollo normal de la jugada, el árbitro puede aplicar el criterio de ventaja y dar el gol como válido, sin perjuicio de sancionar disciplinariamente al adversario infractor.</t>
  </si>
  <si>
    <t xml:space="preserve">RJ13-059</t>
  </si>
  <si>
    <t xml:space="preserve">Un equipo ejecuta rápidamente un tiro libre y lo intercepta un adversario que estaba muy cerca y no había tenido tiempo de alejarse. ¿Debe el árbitro amonestar a ese adversario?</t>
  </si>
  <si>
    <t xml:space="preserve">Solo si obstaculizó deliberadamente la ejecución del tiro libre.</t>
  </si>
  <si>
    <t xml:space="preserve">Sí, por no respetar la distancia reglamentaria de 9,15 m.</t>
  </si>
  <si>
    <t xml:space="preserve">Sí, y además ordenará repetir la ejecución del tiro libre.</t>
  </si>
  <si>
    <t xml:space="preserve">Al permitir la ejecución rápida de un tiro libre, el árbitro debe valorar razonablemente si los adversarios cercanos han tenido oportunidad de reaccionar, evitando situaciones manifiestamente injustas para el equipo que ejecuta.</t>
  </si>
  <si>
    <t xml:space="preserve">RJ13-060</t>
  </si>
  <si>
    <t xml:space="preserve">Un tiro libre directo se concede al equipo atacante fuera del área. El ejecutor golpea el balón, que entra directamente en la portería, pero justo antes había rozado levemente el brazo de un compañero suyo situado en la barrera de su propio equipo, sin desviar su trayectoria de forma relevante. ¿Es válido el gol?</t>
  </si>
  <si>
    <t xml:space="preserve">Sí, el gol es válido; el roce accidental con un compañero propio no invalida un tiro libre directo.</t>
  </si>
  <si>
    <t xml:space="preserve">No, cualquier contacto con un compañero antes de entrar en la portería anula el gol.</t>
  </si>
  <si>
    <t xml:space="preserve">No, se concede tiro libre indirecto al contrario, por considerarse un doble toque del ejecutor.</t>
  </si>
  <si>
    <t xml:space="preserve">Un contacto accidental y sin relevancia en la trayectoria con un compañero propio situado en la barrera no constituye una infracción ni afecta a la validez del gol resultante de un tiro libre directo.</t>
  </si>
  <si>
    <t xml:space="preserve">RJ13-062</t>
  </si>
  <si>
    <t xml:space="preserve">Tras señalar un tiro libre indirecto, el equipo atacante pide al árbitro reanudar con un balón a tierra porque le resulta más ventajoso. El árbitro...</t>
  </si>
  <si>
    <t xml:space="preserve">No accede: la reanudación depende de la infracción cometida.</t>
  </si>
  <si>
    <t xml:space="preserve">Accede si el equipo adversario no se opone a esa petición.</t>
  </si>
  <si>
    <t xml:space="preserve">Accede si considera que es más ventajoso para el atacante.</t>
  </si>
  <si>
    <t xml:space="preserve">El tipo de reanudación que corresponde tras una infracción viene determinado por las propias Reglas de Juego según la naturaleza de la infracción; no puede sustituirse por otro distinto a petición de un equipo.</t>
  </si>
  <si>
    <t xml:space="preserve">RJ14-001</t>
  </si>
  <si>
    <t xml:space="preserve">Regla 14</t>
  </si>
  <si>
    <t xml:space="preserve">Tras ejecutarse correctamente un tiro penal, el balón se desplaza hacia adelante y queda defectuoso sin haber tocado a ningún jugador ni al guardameta. ¿Cómo se reanuda el juego?</t>
  </si>
  <si>
    <t xml:space="preserve">Con la repetición del tiro penal, al haber quedado defectuoso el balón.</t>
  </si>
  <si>
    <t xml:space="preserve">Con un balón a tierra a favor del guardameta dentro de su área.</t>
  </si>
  <si>
    <t xml:space="preserve">Con un balón a tierra a favor del ejecutor, por ser el último que tocó el balón.</t>
  </si>
  <si>
    <t xml:space="preserve">Si el balón queda defectuoso tras un tiro penal correctamente ejecutado, antes de tocar a otro jugador, guardameta o cuerpo extraño, se repite el lanzamiento.</t>
  </si>
  <si>
    <t xml:space="preserve">Regla 14 / Glosario</t>
  </si>
  <si>
    <t xml:space="preserve">RJ14-002</t>
  </si>
  <si>
    <t xml:space="preserve">Un defensor ejecuta correctamente un tiro libre indirecto desde su propia área penal, dirigido hacia su guardameta, que se encuentra también dentro del área. El guardameta coge el balón con las manos antes de que entre en la portería. ¿Qué decisión toma el árbitro?</t>
  </si>
  <si>
    <t xml:space="preserve">Concede tiro libre indirecto a favor del equipo adversario, sin sanción disciplinaria.</t>
  </si>
  <si>
    <t xml:space="preserve">Ordena repetir el tiro libre y amonesta al defensor.</t>
  </si>
  <si>
    <t xml:space="preserve">Concede tiro libre indirecto y expulsa al guardameta por evitar una ocasión manifiesta de gol.</t>
  </si>
  <si>
    <t xml:space="preserve">El guardameta comete infracción al tocar con las manos un pase deliberado de un compañero, sancionándose con tiro libre indirecto sin sanción disciplinaria adicional en este supuesto.</t>
  </si>
  <si>
    <t xml:space="preserve">Regla 14 / Regla 12</t>
  </si>
  <si>
    <t xml:space="preserve">RJ14-003</t>
  </si>
  <si>
    <t xml:space="preserve">Tras un disparo de un atacante, el balón queda defectuoso mientras se dirige a la portería, sin tocar a nadie, y entra en ella. El árbitro...</t>
  </si>
  <si>
    <t xml:space="preserve">Reanuda con un balón a tierra al guardameta.</t>
  </si>
  <si>
    <t xml:space="preserve">Reanuda con un balón a tierra al equipo atacante.</t>
  </si>
  <si>
    <t xml:space="preserve">Regla 2 (pág. 31): si el balón pierde sus propiedades, se detendrá el juego y se reanudará con un balón a tierra. Regla 8: si el balón está en el área penal, el balón a tierra se concede al guardameta.</t>
  </si>
  <si>
    <t xml:space="preserve">Regla 14 / Regla 2 / Regla 10</t>
  </si>
  <si>
    <t xml:space="preserve">RJ14-004</t>
  </si>
  <si>
    <t xml:space="preserve">Tras el lanzamiento de un penal se produce un rechace, y en ese momento un defensor que había infringido las reglas de juego interfiere en el segundo disparo del atacante. ¿Qué decisión toma el árbitro?</t>
  </si>
  <si>
    <t xml:space="preserve">Concede el gol si entra o manda repetir el tiro penal.</t>
  </si>
  <si>
    <t xml:space="preserve">Concede el gol si entra o reanuda con tiro libre indirecto.</t>
  </si>
  <si>
    <t xml:space="preserve">Manda repetir el tiro penal o reanuda con tiro libre indirecto.</t>
  </si>
  <si>
    <t xml:space="preserve">Cuando el defensor infringe antes del rechace y luego interfiere en el segundo disparo, el árbitro concede el gol si el balón entra o, en caso contrario, ordena repetir el tiro penal.</t>
  </si>
  <si>
    <t xml:space="preserve">RJ14-005</t>
  </si>
  <si>
    <t xml:space="preserve">En un tiro penal, el ejecutor golpea el balón de forma involuntaria con los dos pies a la vez, o el balón le toca la pierna de apoyo justo después del golpeo, y el balón entra directamente en la portería. El árbitro...</t>
  </si>
  <si>
    <t xml:space="preserve">Ordena repetir el tiro penal.</t>
  </si>
  <si>
    <t xml:space="preserve">Si el lanzador del penal golpea el balón de manera involuntaria con los dos pies simultáneamente, o el balón le toca el pie o la pierna de apoyo justo después de ejecutar el tiro, y el balón entra directamente en la portería, se repite el penal.</t>
  </si>
  <si>
    <t xml:space="preserve">RJ14-006</t>
  </si>
  <si>
    <t xml:space="preserve">¿Cuál es la posición correcta del árbitro asistente durante la ejecución de un tiro penal?</t>
  </si>
  <si>
    <t xml:space="preserve">En la intersección de la línea de meta con el área penal, o a la altura del punto de penalti en la línea de banda.</t>
  </si>
  <si>
    <t xml:space="preserve">Detrás del banderín de esquina, siguiendo la misma referencia que en un saque de esquina del equipo defensor.</t>
  </si>
  <si>
    <t xml:space="preserve">En la intersección de la línea de meta con el área de meta, controlando la posición del guardameta.</t>
  </si>
  <si>
    <t xml:space="preserve">Durante un tiro penal, el asistente se sitúa en la intersección de la línea de meta y el área penal, o a la altura del punto de penalti sobre la línea de banda.</t>
  </si>
  <si>
    <t xml:space="preserve">RJ14-007</t>
  </si>
  <si>
    <t xml:space="preserve">En la ejecución de un tiro penal, ¿dónde deben situarse todos los jugadores excepto el ejecutor y el guardameta?</t>
  </si>
  <si>
    <t xml:space="preserve">Fuera del área penal, detrás del punto de penal y a al menos 9,15 metros de dicho punto.</t>
  </si>
  <si>
    <t xml:space="preserve">Dentro del área penal, a más de 5 metros del punto de penal.</t>
  </si>
  <si>
    <t xml:space="preserve">En cualquier lugar del terreno de juego, si no están dentro del círculo central.</t>
  </si>
  <si>
    <t xml:space="preserve">En un tiro penal, el resto de jugadores deben permanecer fuera del área penal, detrás del punto de penal y a una distancia mínima de 9,15 metros de este.</t>
  </si>
  <si>
    <t xml:space="preserve">RJ14-008</t>
  </si>
  <si>
    <t xml:space="preserve">¿Por qué tipo de infracción se concede un tiro penal?</t>
  </si>
  <si>
    <t xml:space="preserve">Por una infracción sancionable con libre directo cometida por un jugador dentro de su propia área penal.</t>
  </si>
  <si>
    <t xml:space="preserve">Por cualquier infracción, directa o indirecta, cometida por un jugador dentro de su propia área penal.</t>
  </si>
  <si>
    <t xml:space="preserve">Por una infracción sancionable con libre directo cometida en cualquier punto de su propia mitad del campo.</t>
  </si>
  <si>
    <t xml:space="preserve">Se concede penal siempre que un jugador cometa una infracción sancionable con libre directo dentro de su área penal o fuera del terreno de juego como parte del juego.</t>
  </si>
  <si>
    <t xml:space="preserve">Regla 14 / Introducción</t>
  </si>
  <si>
    <t xml:space="preserve">RJ14-012</t>
  </si>
  <si>
    <t xml:space="preserve">¿Dónde debe situarse el guardameta defensor hasta el golpeo del balón en un tiro penal?</t>
  </si>
  <si>
    <t xml:space="preserve">A un máximo de un metro por delante de la línea de meta.</t>
  </si>
  <si>
    <t xml:space="preserve">Sobre la línea del área de meta, frente al ejecutor.</t>
  </si>
  <si>
    <t xml:space="preserve">Sobre su línea de meta, entre los postes y frente al ejecutor.</t>
  </si>
  <si>
    <t xml:space="preserve">El guardameta deberá permanecer sobre su propia línea de meta, entre los postes y frente al ejecutor hasta el golpeo.</t>
  </si>
  <si>
    <t xml:space="preserve">Regla 14.1 / Procedimiento</t>
  </si>
  <si>
    <t xml:space="preserve">RJ14-013</t>
  </si>
  <si>
    <t xml:space="preserve">Antes del golpeo de un tiro penal, el guardameta toca el travesaño para distraer al ejecutor, y el balón entra en la portería. El árbitro...</t>
  </si>
  <si>
    <t xml:space="preserve">Si el guardameta comete una infracción y el balón entra en la portería, se concede gol.</t>
  </si>
  <si>
    <t xml:space="preserve">Regla 14.2 / Infracciones y sanciones</t>
  </si>
  <si>
    <t xml:space="preserve">RJ14-014</t>
  </si>
  <si>
    <t xml:space="preserve">Antes del golpeo de un tiro penal, el guardameta avanza con los dos pies delante de la línea de meta y detiene el lanzamiento. Es la primera infracción del guardameta en el partido. ¿Qué decide el árbitro?</t>
  </si>
  <si>
    <t xml:space="preserve">Ordena repetir el penal y advierte al guardameta.</t>
  </si>
  <si>
    <t xml:space="preserve">Ordena repetir el penal y amonesta al guardameta.</t>
  </si>
  <si>
    <t xml:space="preserve">Si el guardameta evita el gol con su infracción se repite el penal; se advierte en la primera infracción y se amonesta en la reincidencia.</t>
  </si>
  <si>
    <t xml:space="preserve">RJ14-015</t>
  </si>
  <si>
    <t xml:space="preserve">Antes del golpeo de un penal, el guardameta, que ya había sido advertido por una infracción anterior en el partido, se adelanta de la línea y detiene el lanzamiento. ¿Qué decide el árbitro?</t>
  </si>
  <si>
    <t xml:space="preserve">Ordena repetir el penal y advierte de nuevo al guardameta.</t>
  </si>
  <si>
    <t xml:space="preserve">Concede gol y amonesta al guardameta.</t>
  </si>
  <si>
    <t xml:space="preserve">Si la infracción conlleva repetición, se advierte al guardameta en la primera infracción y se le amonesta en caso de reincidencia.</t>
  </si>
  <si>
    <t xml:space="preserve">RJ14-016</t>
  </si>
  <si>
    <t xml:space="preserve">El guardameta se adelanta antes del golpeo, pero el balón da en el poste y sale, sin que la infracción haya influido claramente en el ejecutor. El árbitro...</t>
  </si>
  <si>
    <t xml:space="preserve">Concede un tiro libre indirecto al equipo atacante.</t>
  </si>
  <si>
    <t xml:space="preserve">Ordena repetir el tiro penal y advierte al guardameta.</t>
  </si>
  <si>
    <t xml:space="preserve">No ordena repetir el tiro penal.</t>
  </si>
  <si>
    <t xml:space="preserve">Si el balón no entra o rebota en los postes, solo se repite si la infracción del guardameta influye claramente en el lanzador.</t>
  </si>
  <si>
    <t xml:space="preserve">RJ14-017</t>
  </si>
  <si>
    <t xml:space="preserve">Durante un penal, el lanzamiento entra directamente en la portería y, antes del golpeo, se ha producido una de estas situaciones: un defensor entra en el área sin respetar los 9,15 m y sin influir en la jugada; un compañero del ejecutor invade el área sin influir en la jugada; o un compañero del guardameta invade el área e influye claramente en el lanzador. ¿Qué decide el árbitro en los tres casos?</t>
  </si>
  <si>
    <t xml:space="preserve">En los tres casos concede el gol.</t>
  </si>
  <si>
    <t xml:space="preserve">En los tres casos ordena repetir el tiro penal.</t>
  </si>
  <si>
    <t xml:space="preserve">Concede un tiro libre indirecto a favor del equipo atacante y no da el gol por válido.</t>
  </si>
  <si>
    <t xml:space="preserve">El adelantamiento de un compañero del ejecutor o de un defensor solo se sanciona si influye claramente (o si el jugador adelantado juega o disputa el balón y a continuación marca o crea una ocasión); si el lanzamiento entra directamente, el gol es válido, incluso cuando el infractor es un compañero del guardameta que influye en el lanzador.</t>
  </si>
  <si>
    <t xml:space="preserve">RJ14-018</t>
  </si>
  <si>
    <t xml:space="preserve">Un compañero del guardameta entra en el área antes del golpeo e influye claramente en el ejecutor, y el balón sale fuera. El árbitro...</t>
  </si>
  <si>
    <t xml:space="preserve">Si un compañero del guardameta infringe y el balón no entra, se repite el tiro penal.</t>
  </si>
  <si>
    <t xml:space="preserve">RJ14-019</t>
  </si>
  <si>
    <t xml:space="preserve">Un compañero del ejecutor entra en el área antes del golpeo e influye claramente en el guardameta; el lanzamiento entra en la portería. ¿Qué decide el árbitro?</t>
  </si>
  <si>
    <t xml:space="preserve">Ordena repetir el tiro penal, al haber influido el compañero del ejecutor.</t>
  </si>
  <si>
    <t xml:space="preserve">Concede el gol, al haber entrado el lanzamiento en la portería.</t>
  </si>
  <si>
    <t xml:space="preserve">Si el ejecutor o un compañero infringe las Reglas y el balón entra, se repite el penal.</t>
  </si>
  <si>
    <t xml:space="preserve">RJ14-020</t>
  </si>
  <si>
    <t xml:space="preserve">Un compañero del ejecutor entra en el área antes del golpeo e influye claramente en el guardameta; el lanzamiento no entra en la portería. ¿Qué decide el árbitro?</t>
  </si>
  <si>
    <t xml:space="preserve">Reanuda con un saque de meta a favor del equipo defensor, al no haber entrado el balón en la portería.</t>
  </si>
  <si>
    <t xml:space="preserve">Ordena repetir el tiro penal, al considerar que la influencia sobre el guardameta no altera la validez del lanzamiento.</t>
  </si>
  <si>
    <t xml:space="preserve">Detiene el juego y lo reanuda con un tiro libre indirecto a favor del equipo defensor.</t>
  </si>
  <si>
    <t xml:space="preserve">Si el ejecutor o un compañero infringe y el balón no entra, el árbitro detiene el juego y lo reanuda con libre indirecto.</t>
  </si>
  <si>
    <t xml:space="preserve">RJ14-021</t>
  </si>
  <si>
    <t xml:space="preserve">Durante la ejecución de un tiro penal, todos los jugadores salvo el ejecutor y el guardameta deberán estar:</t>
  </si>
  <si>
    <t xml:space="preserve">A 9,15 m del punto penal, detrás de este, dentro del terreno y fuera del área.</t>
  </si>
  <si>
    <t xml:space="preserve">A 9,15 m del punto penal, detrás de este y dentro del área penal.</t>
  </si>
  <si>
    <t xml:space="preserve">A 4 m del punto penal, detrás de este, dentro del terreno y fuera del área.</t>
  </si>
  <si>
    <t xml:space="preserve">Todos deben estar a 9,15 m del punto penal, detrás del punto, dentro del terreno y fuera del área penal.</t>
  </si>
  <si>
    <t xml:space="preserve">RJ14-022</t>
  </si>
  <si>
    <t xml:space="preserve">En un tiro penal, el ejecutor deberá golpear el balón:</t>
  </si>
  <si>
    <t xml:space="preserve">Con el pie; se permite el tacón si el balón se mueve hacia delante.</t>
  </si>
  <si>
    <t xml:space="preserve">Con cualquier parte del cuerpo, si el balón se mueve hacia delante.</t>
  </si>
  <si>
    <t xml:space="preserve">Con el pie, pero no con el tacón, aunque el balón vaya hacia delante.</t>
  </si>
  <si>
    <t xml:space="preserve">El ejecutor tocará el balón con el pie hacia delante y se permite golpearlo con el tacón siempre que el balón se mueva hacia delante.</t>
  </si>
  <si>
    <t xml:space="preserve">RJ14-023</t>
  </si>
  <si>
    <t xml:space="preserve">El ejecutor de un penal golpea el balón con el pie de forma que este rueda hacia atrás, hacia el centro del campo, sin entrar en la portería. ¿Qué decide el árbitro?</t>
  </si>
  <si>
    <t xml:space="preserve">Detiene el juego y lo reanuda con un tiro libre indirecto.</t>
  </si>
  <si>
    <t xml:space="preserve">Concede un tiro libre directo a favor del equipo defensor.</t>
  </si>
  <si>
    <t xml:space="preserve">Ordena repetir el tiro penal sin sanción alguna.</t>
  </si>
  <si>
    <t xml:space="preserve">Si el penal se ejecuta hacia atrás, se detiene el juego y se reanuda con libre indirecto, independientemente de que se marque gol.</t>
  </si>
  <si>
    <t xml:space="preserve">RJ14-024</t>
  </si>
  <si>
    <t xml:space="preserve">En el momento del golpeo de un tiro penal, el guardameta tiene un pie en el aire y el otro sobre la línea de meta, y detiene el balón. El árbitro...</t>
  </si>
  <si>
    <t xml:space="preserve">En el golpeo, el guardameta deberá tener al menos parte de un pie en contacto directo con la línea, sobre ella o por detrás.</t>
  </si>
  <si>
    <t xml:space="preserve">RJ14-026</t>
  </si>
  <si>
    <t xml:space="preserve">Tras ejecutar un penal, el balón rebota en el poste y el ejecutor lo vuelve a tocar voluntariamente con el pie antes de que lo toque otro jugador. ¿Qué decide el árbitro?</t>
  </si>
  <si>
    <t xml:space="preserve">Permite continuar el juego, al tratarse de un rebote en el poste.</t>
  </si>
  <si>
    <t xml:space="preserve">Ordena repetir el lanzamiento, al no haber influido en el resultado.</t>
  </si>
  <si>
    <t xml:space="preserve">Tras el lanzamiento, si el ejecutor vuelve a tocar intencionadamente el balón antes de que lo toque otro jugador (un rebote en el poste no cuenta como toque de otro jugador), se concede libre indirecto (o libre directo si comete una infracción por mano). El toque involuntario se trata aparte: se repite el penal si el balón entra directamente y se concede libre indirecto si no entra.</t>
  </si>
  <si>
    <t xml:space="preserve">RJ14-030</t>
  </si>
  <si>
    <t xml:space="preserve">Tras finalizar la carrera, el ejecutor de un tiro penal hace un amago con el pie antes de golpear el balón y marca gol. El árbitro...</t>
  </si>
  <si>
    <t xml:space="preserve">Ordena repetir el tiro penal y no toma medida disciplinaria alguna.</t>
  </si>
  <si>
    <t xml:space="preserve">Anula el gol, concede un tiro libre indirecto y amonesta al ejecutor.</t>
  </si>
  <si>
    <t xml:space="preserve">Concede el gol y amonesta al ejecutor por fintar tras la carrera.</t>
  </si>
  <si>
    <t xml:space="preserve">Si el ejecutor finta al golpear tras finalizar la carrera, se concede libre indirecto y se amonesta, aunque haya gol.</t>
  </si>
  <si>
    <t xml:space="preserve">RJ14-031</t>
  </si>
  <si>
    <t xml:space="preserve">El ejecutor de un tiro penal finta durante la carrera, sin haberla terminado, y después lanza correctamente. El árbitro...</t>
  </si>
  <si>
    <t xml:space="preserve">Ordena repetir el tiro penal y amonesta al ejecutor.</t>
  </si>
  <si>
    <t xml:space="preserve">Se permite fintar durante la carrera; la finta antirreglamentaria es la que se hace al golpear tras finalizar la carrera.</t>
  </si>
  <si>
    <t xml:space="preserve">RJ14-032</t>
  </si>
  <si>
    <t xml:space="preserve">Un jugador que no ha sido designado como ejecutor lanza el penal, que entra en la portería. El árbitro no lo había permitido. ¿Qué decide el árbitro?</t>
  </si>
  <si>
    <t xml:space="preserve">Concede el gol y amonesta al lanzador.</t>
  </si>
  <si>
    <t xml:space="preserve">Ordena repetir el penal con el jugador designado.</t>
  </si>
  <si>
    <t xml:space="preserve">Concede un tiro libre indirecto y amonesta al lanzador.</t>
  </si>
  <si>
    <t xml:space="preserve">Si el penal lo ejecuta un jugador no designado, se concede libre indirecto y se amonesta al lanzador.</t>
  </si>
  <si>
    <t xml:space="preserve">RJ14-033</t>
  </si>
  <si>
    <t xml:space="preserve">Tras la señal del árbitro para ejecutar un penal, el ejecutor tarda de forma excesiva en lanzarlo. ¿Qué puede hacer el árbitro?</t>
  </si>
  <si>
    <t xml:space="preserve">Adoptar medidas disciplinarias antes de volver a dar la señal de ejecución.</t>
  </si>
  <si>
    <t xml:space="preserve">Ordenar el lanzamiento inmediato sin poder sancionar al ejecutor.</t>
  </si>
  <si>
    <t xml:space="preserve">Conceder un tiro libre indirecto a favor del equipo defensor.</t>
  </si>
  <si>
    <t xml:space="preserve">Tras la señal, el penal debe lanzarse de inmediato; si no, el árbitro podrá adoptar medidas disciplinarias antes de volver a dar la señal.</t>
  </si>
  <si>
    <t xml:space="preserve">RJ14-034</t>
  </si>
  <si>
    <t xml:space="preserve">En un tiro penal, el guardameta y el ejecutor cometen una infracción al mismo tiempo, sin que ninguna sea más grave que la otra. El árbitro...</t>
  </si>
  <si>
    <t xml:space="preserve">Concede el gol si el balón entra.</t>
  </si>
  <si>
    <t xml:space="preserve">Cuando ambos equipos cometen una infracción simultánea durante un penal sin que ninguna sea más grave que la otra, se repite el lanzamiento, tanto si los infractores son un defensor y un atacante como si son el guardameta y el ejecutor.</t>
  </si>
  <si>
    <t xml:space="preserve">RJ14-036</t>
  </si>
  <si>
    <t xml:space="preserve">Un agente externo toca el balón mientras este se dirige hacia la portería tras un penal y el balón no iba a entrar. ¿Qué decide el árbitro?</t>
  </si>
  <si>
    <t xml:space="preserve">Reanuda con un balón a tierra en el lugar del contacto.</t>
  </si>
  <si>
    <t xml:space="preserve">Concede saque de meta a favor del equipo defensor.</t>
  </si>
  <si>
    <t xml:space="preserve">Si un agente externo toca el balón cuando este se mueve hacia delante, se repite el tiro, salvo que el balón fuera a entrar.</t>
  </si>
  <si>
    <t xml:space="preserve">RJ14-037</t>
  </si>
  <si>
    <t xml:space="preserve">Un balón de repuesto interfiere en un penal cuando iba a entrar en la portería, sin impedir que el guardameta lo jugara; el balón entra después. ¿Qué decide el árbitro?</t>
  </si>
  <si>
    <t xml:space="preserve">Concede el gol, salvo que el equipo atacante fuera responsable de la interferencia.</t>
  </si>
  <si>
    <t xml:space="preserve">Reanuda con balón a tierra en el lugar de la interferencia.</t>
  </si>
  <si>
    <t xml:space="preserve">Ordena repetir el tiro penal, aunque la interferencia no impidiera jugar el balón al guardameta.</t>
  </si>
  <si>
    <t xml:space="preserve">Si iba a entrar y la interferencia no impide que el guardameta o un defensor juegue el balón, se concede gol si entra, salvo responsabilidad atacante.</t>
  </si>
  <si>
    <t xml:space="preserve">RJ14-038</t>
  </si>
  <si>
    <t xml:space="preserve">Tras el lanzamiento de un penal, el balón rebota en el guardameta y vuelve al terreno de juego, donde lo toca un agente externo. ¿Qué decide el árbitro?</t>
  </si>
  <si>
    <t xml:space="preserve">Concede un saque de meta a favor del equipo defensor, sin tener en cuenta el contacto del agente externo.</t>
  </si>
  <si>
    <t xml:space="preserve">Detiene el juego y reanuda con un balón a tierra donde el agente externo tocó el balón.</t>
  </si>
  <si>
    <t xml:space="preserve">Ordena repetir el tiro penal, al considerar que el contacto del agente externo invalida el lanzamiento realizado.</t>
  </si>
  <si>
    <t xml:space="preserve">Si el balón vuelve al terreno tras rebotar y un agente externo lo toca, se detiene el juego y se reanuda con balón a tierra donde se tocó.</t>
  </si>
  <si>
    <t xml:space="preserve">RJ14-039</t>
  </si>
  <si>
    <t xml:space="preserve">¿Cuándo se considera completada la ejecución de un tiro penal (sin tiempo adicional)?</t>
  </si>
  <si>
    <t xml:space="preserve">Cuando el balón deja de moverse, deja de estar en juego o el árbitro detiene el juego por una infracción.</t>
  </si>
  <si>
    <t xml:space="preserve">Cuando el balón cruza la línea de meta o sale del terreno de juego, sin otros supuestos.</t>
  </si>
  <si>
    <t xml:space="preserve">Cuando el guardameta toca el balón, sin otros supuestos.</t>
  </si>
  <si>
    <t xml:space="preserve">La ejecución se completa cuando el balón deja de moverse, deja de estar en juego o el árbitro detiene el juego por infracción.</t>
  </si>
  <si>
    <t xml:space="preserve">RJ14-040</t>
  </si>
  <si>
    <t xml:space="preserve">Se prolonga la primera parte para ejecutar un tiro penal. El guardameta lo detiene, pero había adelantado ilegalmente los dos pies de la línea. El árbitro...</t>
  </si>
  <si>
    <t xml:space="preserve">Da por finalizada la primera parte.</t>
  </si>
  <si>
    <t xml:space="preserve">Regla 14.2: si el guardameta comete una infracción y «evitara que el balón entrara en la portería, se repetirá el tiro penal». El periodo se prolonga hasta que el penal se haya completado.</t>
  </si>
  <si>
    <t xml:space="preserve">RJ14-041</t>
  </si>
  <si>
    <t xml:space="preserve">Al final del partido se concede tiempo para ejecutar un tiro penal. El guardameta lo detiene y el ejecutor remata el rechace sin que haya infracción. ¿Cuándo se completó el tiro penal?</t>
  </si>
  <si>
    <t xml:space="preserve">Cuando el balón fue jugado por un jugador distinto del guardameta.</t>
  </si>
  <si>
    <t xml:space="preserve">Cuando el balón cruzó la línea de meta tras el remate del ejecutor.</t>
  </si>
  <si>
    <t xml:space="preserve">Cuando el guardameta detuvo el balón y este dejó de estar en juego.</t>
  </si>
  <si>
    <t xml:space="preserve">Con tiempo adicional, el penal se completa cuando el balón es jugado por un jugador (incluido el lanzador) aparte del guardameta defensor, entre otros supuestos.</t>
  </si>
  <si>
    <t xml:space="preserve">RJ14-043</t>
  </si>
  <si>
    <t xml:space="preserve">En un tiro penal, un compañero del ejecutor o un compañero del guardameta entra en el área antes del golpeo, sin influir en la jugada, y el balón no entra en la portería. El árbitro...</t>
  </si>
  <si>
    <t xml:space="preserve">No ordena repetir el tiro penal en ninguno de los dos casos.</t>
  </si>
  <si>
    <t xml:space="preserve">Ordena repetirlo solo si quien entra es compañero del guardameta.</t>
  </si>
  <si>
    <t xml:space="preserve">Ordena repetir el tiro penal en los dos casos.</t>
  </si>
  <si>
    <t xml:space="preserve">Si un compañero del ejecutor o un compañero del guardameta invade el área antes del golpeo sin influir en la jugada, y el lanzamiento no entra en la portería, no se repite: se registra como fallado.</t>
  </si>
  <si>
    <t xml:space="preserve">RJ14-047</t>
  </si>
  <si>
    <t xml:space="preserve">El árbitro señala un tiro penal, pero antes de ejecutarlo detecta que el balón utilizado está desinflado. ¿Qué debe hacer?</t>
  </si>
  <si>
    <t xml:space="preserve">Sustituir el balón por otro reglamentario antes de que se ejecute el lanzamiento.</t>
  </si>
  <si>
    <t xml:space="preserve">Anular el tiro penal y reanudar con un balón a tierra.</t>
  </si>
  <si>
    <t xml:space="preserve">Permitir la ejecución del penal, ya que la presión del balón no afecta a un lanzamiento estático.</t>
  </si>
  <si>
    <t xml:space="preserve">El balón defectuoso debe sustituirse antes de reanudar el juego, incluida la ejecución de un tiro penal.</t>
  </si>
  <si>
    <t xml:space="preserve">RJ14-048</t>
  </si>
  <si>
    <t xml:space="preserve">Durante la ejecución de un tiro penal, un defensor del Equipo B entra en el área antes de que el balón esté en juego y el lanzamiento acaba en gol. El árbitro...</t>
  </si>
  <si>
    <t xml:space="preserve">Ordena repetir el tiro penal y amonesta al defensor.</t>
  </si>
  <si>
    <t xml:space="preserve">Si un jugador defensor invade antes de tiempo y el balón entra en la portería, el gol es válido, ya que la infracción no impidió el resultado favorable al equipo atacante.</t>
  </si>
  <si>
    <t xml:space="preserve">RJ14-049</t>
  </si>
  <si>
    <t xml:space="preserve">Antes del lanzamiento de un tiro penal, el guardameta sale claramente de la línea de meta y avanza varios metros, y el lanzamiento se falla. El árbitro...</t>
  </si>
  <si>
    <t xml:space="preserve">Si el guardameta se adelanta de la línea de meta antes del lanzamiento y este se falla, el árbitro deberá ordenar su repetición.</t>
  </si>
  <si>
    <t xml:space="preserve">RJ14-050</t>
  </si>
  <si>
    <t xml:space="preserve">Tras señalarse un tiro penal, el equipo defensor solicita cambiar de guardameta antes de la ejecución. ¿Es posible?</t>
  </si>
  <si>
    <t xml:space="preserve">Sí, siempre que se realice conforme al procedimiento de sustitución antes de que se ejecute el lanzamiento.</t>
  </si>
  <si>
    <t xml:space="preserve">No, una vez señalado un tiro penal no puede sustituirse al guardameta bajo ninguna circunstancia.</t>
  </si>
  <si>
    <t xml:space="preserve">Un equipo puede realizar una sustitución antes de la ejecución de un tiro penal, siguiendo el procedimiento habitual, siempre que el reglamento lo permita.</t>
  </si>
  <si>
    <t xml:space="preserve">RJ14-052</t>
  </si>
  <si>
    <t xml:space="preserve">En la ejecución de un tiro penal, el ejecutor, tras la carrera de aproximación, se detiene por completo y luego continúa golpeando el balón. ¿Es una infracción?</t>
  </si>
  <si>
    <t xml:space="preserve">Sí, es una finta ilegal al detenerse en la carrera de aproximación, sancionable con amonestación.</t>
  </si>
  <si>
    <t xml:space="preserve">No, cualquier tipo de finta durante la ejecución del penal está permitida sin límite.</t>
  </si>
  <si>
    <t xml:space="preserve">No, solo se sanciona si el ejecutor se detiene después de golpear el balón.</t>
  </si>
  <si>
    <t xml:space="preserve">Detenerse en la carrera de aproximación a un tiro penal para fintar al guardameta se considera una infracción de la Regla 14, sancionable con amonestación.</t>
  </si>
  <si>
    <t xml:space="preserve">RJ14-053</t>
  </si>
  <si>
    <t xml:space="preserve">¿Puede señalarse un tiro penal por una infracción cometida fuera del área penal, si el efecto de la infracción se produce dentro de ella?</t>
  </si>
  <si>
    <t xml:space="preserve">No, para que se conceda un tiro penal, la infracción debe cometerse dentro del área penal del equipo defensor.</t>
  </si>
  <si>
    <t xml:space="preserve">Sí, si el balón se encontraba dentro del área en el momento de la infracción, aunque el jugador infractor estuviera fuera.</t>
  </si>
  <si>
    <t xml:space="preserve">Sí, si el árbitro considera que la infracción tuvo un efecto directo dentro del área.</t>
  </si>
  <si>
    <t xml:space="preserve">Se concede tiro penal por infracciones sancionables con tiro libre directo cometidas dentro del área penal del equipo defensor; el lugar donde se encuentra el balón no es determinante.</t>
  </si>
  <si>
    <t xml:space="preserve">RJ14-056</t>
  </si>
  <si>
    <t xml:space="preserve">Durante la carrera para lanzar un tiro penal, el ejecutor se detiene por completo, la reanuda y lanza. El árbitro...</t>
  </si>
  <si>
    <t xml:space="preserve">Ordena repetir el lanzamiento y amonesta al ejecutor.</t>
  </si>
  <si>
    <t xml:space="preserve">Regla 14 (pág. 74): se permite fintar durante la carrera. Solo se sanciona (tiro libre indirecto y amonestación) la finta al golpear el balón tras haber finalizado la carrera.</t>
  </si>
  <si>
    <t xml:space="preserve">RJ14-057</t>
  </si>
  <si>
    <t xml:space="preserve">Antes de la ejecución de un tiro penal, ¿puede el guardameta moverse lateralmente sobre la línea de meta?</t>
  </si>
  <si>
    <t xml:space="preserve">Sí, sin adelantarse de la línea.</t>
  </si>
  <si>
    <t xml:space="preserve">No, debe permanecer inmóvil.</t>
  </si>
  <si>
    <t xml:space="preserve">Sí, y también puede adelantarse.</t>
  </si>
  <si>
    <t xml:space="preserve">El guardameta puede moverse lateralmente sobre su línea de meta antes de la ejecución de un tiro penal, siempre que no se adelante de ella.</t>
  </si>
  <si>
    <t xml:space="preserve">RJ14-058</t>
  </si>
  <si>
    <t xml:space="preserve">En un tiro penal, un compañero del ejecutor entra en el área antes del lanzamiento, pero sale antes de que el balón sea golpeado y no influye en la jugada. ¿Es sancionable?</t>
  </si>
  <si>
    <t xml:space="preserve">Sí, se repite el lanzamiento.</t>
  </si>
  <si>
    <t xml:space="preserve">Sí, con un tiro libre indirecto.</t>
  </si>
  <si>
    <t xml:space="preserve">Si el jugador que entra prematuramente se retira antes de que se ejecute el lanzamiento y no llega a influir en la jugada, no procede sanción.</t>
  </si>
  <si>
    <t xml:space="preserve">RJ14-059</t>
  </si>
  <si>
    <t xml:space="preserve">Tras lanzar un tiro penal, el balón rebota en el poste y el propio ejecutor lo remata a gol, de forma voluntaria, sin que nadie más lo haya tocado. El árbitro...</t>
  </si>
  <si>
    <t xml:space="preserve">Concede el gol y reanuda con un saque inicial.</t>
  </si>
  <si>
    <t xml:space="preserve">Ordena repetir el tiro penal sin amonestación.</t>
  </si>
  <si>
    <t xml:space="preserve">Regla 14 (pág. 74): el ejecutor del penal no podrá jugar el balón por segunda vez hasta que lo haya tocado otro jugador; si lo juega voluntariamente, se concede un tiro libre indirecto.</t>
  </si>
  <si>
    <t xml:space="preserve">RJ14-060</t>
  </si>
  <si>
    <t xml:space="preserve">¿Puede el ejecutor de un tiro penal cambiar varias veces de dirección durante la carrera antes de golpear el balón?</t>
  </si>
  <si>
    <t xml:space="preserve">Sí, se permite fintar durante la carrera.</t>
  </si>
  <si>
    <t xml:space="preserve">No, la carrera debe ser en línea recta.</t>
  </si>
  <si>
    <t xml:space="preserve">No, se sanciona como intento de engaño.</t>
  </si>
  <si>
    <t xml:space="preserve">La Regla 14 permite fintar durante la carrera de aproximación; solo es antirreglamentario fintar al golpear el balón una vez finalizada la carrera.</t>
  </si>
  <si>
    <t xml:space="preserve">RJ14-061</t>
  </si>
  <si>
    <t xml:space="preserve">Un tiro penal lo ejecuta un compañero del jugador designado para lanzarlo y el balón entra en la portería. El árbitro...</t>
  </si>
  <si>
    <t xml:space="preserve">Ordena repetir el tiro penal con el ejecutor designado.</t>
  </si>
  <si>
    <t xml:space="preserve">Regla 14 (pág. 74): si el penal es ejecutado por un jugador no designado para ello, se detendrá el juego y se reanudará con un libre indirecto, independientemente de que se haya marcado gol, y el árbitro amonestará al lanzador.</t>
  </si>
  <si>
    <t xml:space="preserve">RJ14-063</t>
  </si>
  <si>
    <t xml:space="preserve">El ejecutor de un tiro penal golpea el balón hacia atrás. El árbitro...</t>
  </si>
  <si>
    <t xml:space="preserve">Deja que el juego continúe y no lo sanciona.</t>
  </si>
  <si>
    <t xml:space="preserve">Regla 14 (pág. 73-74): el ejecutor tocará el balón con el pie hacia delante. Si el penal se ejecuta hacia atrás, se detendrá el juego y se reanudará con un libre indirecto, independientemente de que se haya marcado gol.</t>
  </si>
  <si>
    <t xml:space="preserve">RJ14-064</t>
  </si>
  <si>
    <t xml:space="preserve">En un tiro penal durante el partido, el guardameta detiene el lanzamiento y controla el balón con las manos dentro de su área. ¿Puede un adversario disputárselo?</t>
  </si>
  <si>
    <t xml:space="preserve">Sí, mientras el balón esté en el suelo.</t>
  </si>
  <si>
    <t xml:space="preserve">Mientras el guardameta controle el balón con las manos o los brazos, ningún adversario podrá disputárselo, conforme a las disposiciones generales de la Regla 12.</t>
  </si>
  <si>
    <t xml:space="preserve">RJ14-066</t>
  </si>
  <si>
    <t xml:space="preserve">En un tiro penal, un atacante distinto del ejecutor designado golpea también el balón al mismo tiempo que este. El árbitro...</t>
  </si>
  <si>
    <t xml:space="preserve">Ordena repetir el tiro penal, sin otra consecuencia.</t>
  </si>
  <si>
    <t xml:space="preserve">Concede el gol si el balón entra en la portería.</t>
  </si>
  <si>
    <t xml:space="preserve">La intervención irregular de un segundo jugador del equipo atacante en la ejecución de un tiro penal se sanciona con tiro libre indirecto a favor del equipo defensor.</t>
  </si>
  <si>
    <t xml:space="preserve">RJ14-067</t>
  </si>
  <si>
    <t xml:space="preserve">Un suplente entra sin permiso en su propia área penal y comete una infracción sancionable con tiro libre directo para interceptar el balón. ¿Cómo se reanuda el juego?</t>
  </si>
  <si>
    <t xml:space="preserve">Las infracciones cometidas por suplentes que entran sin permiso al terreno de juego se sancionan según su naturaleza; si son sancionables con libre directo y se producen dentro del área penal correspondiente, procede el tiro penal.</t>
  </si>
  <si>
    <t xml:space="preserve">RJ14-068</t>
  </si>
  <si>
    <t xml:space="preserve">Tras señalar un tiro penal, y antes de que se ejecute, el árbitro asistente le indica al árbitro que la infracción no existió. ¿Puede el árbitro cambiar su decisión?</t>
  </si>
  <si>
    <t xml:space="preserve">Sí, mientras no se haya reanudado el juego.</t>
  </si>
  <si>
    <t xml:space="preserve">No, solo mediante una revisión del VAR.</t>
  </si>
  <si>
    <t xml:space="preserve">No, una vez señalado debe ejecutarse.</t>
  </si>
  <si>
    <t xml:space="preserve">Regla 5 (pág. 41): el árbitro solo no podrá cambiar su decisión si se ha reanudado el juego (o ha señalado el final de un periodo y abandonado el terreno, o ha suspendido el partido). Antes de eso puede cambiarla, también por indicación de otro miembro del equipo arbitral.</t>
  </si>
  <si>
    <t xml:space="preserve">RJ14-069</t>
  </si>
  <si>
    <t xml:space="preserve">¿Puede ejecutarse un tiro penal si, en el momento de concederse, el balón oficial resulta dañado y no hay balón de repuesto disponible de inmediato?</t>
  </si>
  <si>
    <t xml:space="preserve">No, el balón defectuoso debe sustituirse antes de reanudar el juego, con uno reglamentario.</t>
  </si>
  <si>
    <t xml:space="preserve">Sí, el lanzamiento debe ejecutarse igualmente con el balón disponible, dañado o no.</t>
  </si>
  <si>
    <t xml:space="preserve">Sí, si el propio ejecutor acepta expresamente jugar con el balón dañado.</t>
  </si>
  <si>
    <t xml:space="preserve">Un balón defectuoso debe sustituirse antes de que se reanude el juego, incluida la ejecución de un tiro penal.</t>
  </si>
  <si>
    <t xml:space="preserve">RJ14-070</t>
  </si>
  <si>
    <t xml:space="preserve">Durante la ejecución de un tiro penal, ¿puede el guardameta apoyarse en un poste mientras espera el lanzamiento?</t>
  </si>
  <si>
    <t xml:space="preserve">Sí, si mantiene un pie sobre la línea de meta.</t>
  </si>
  <si>
    <t xml:space="preserve">No, no puede tocar los postes, el travesaño ni la red.</t>
  </si>
  <si>
    <t xml:space="preserve">Sí, aunque se separe de la línea de meta.</t>
  </si>
  <si>
    <t xml:space="preserve">Regla 14 (pág. 73): el guardameta no se comportará de manera que distraiga de forma antirreglamentaria al ejecutor, «p. ej. no retrasará la ejecución del penal ni tocará los postes, el travesaño o la red de la portería».</t>
  </si>
  <si>
    <t xml:space="preserve">RJ14-071</t>
  </si>
  <si>
    <t xml:space="preserve">¿Puede ejecutarse un tiro penal golpeando el balón con la cabeza?</t>
  </si>
  <si>
    <t xml:space="preserve">No, el balón debe golpearse con el pie.</t>
  </si>
  <si>
    <t xml:space="preserve">Sí, con cualquier parte del cuerpo.</t>
  </si>
  <si>
    <t xml:space="preserve">Sí, si el árbitro lo autoriza antes.</t>
  </si>
  <si>
    <t xml:space="preserve">La ejecución de un tiro penal se realiza golpeando el balón situado en el punto de penal, lo que en la práctica excluye modalidades de contacto como el remate de cabeza directamente desde esa posición.</t>
  </si>
  <si>
    <t xml:space="preserve">RJ14-072</t>
  </si>
  <si>
    <t xml:space="preserve">Tras fallar un tiro penal, el ejecutor protesta airadamente al árbitro por no haber sancionado una infracción del guardameta. El árbitro...</t>
  </si>
  <si>
    <t xml:space="preserve">Lo amonesta por desaprobación.</t>
  </si>
  <si>
    <t xml:space="preserve">Mostrar desaprobación con palabras o acciones ante una decisión del árbitro se sanciona, con carácter general, con amonestación por conducta antideportiva.</t>
  </si>
  <si>
    <t xml:space="preserve">RJ14-073</t>
  </si>
  <si>
    <t xml:space="preserve">Durante la ejecución de un tiro penal, el ejecutor golpea el balón de manera involuntaria con los dos pies a la vez, o el balón le toca el pie o la pierna de apoyo justo después de ejecutar el tiro, y el balón no entra directamente en la portería (por ejemplo, sale fuera o lo detiene el guardameta). ¿Qué decide el árbitro?</t>
  </si>
  <si>
    <t xml:space="preserve">Ordena repetir el tiro penal, al tratarse de un toque involuntario.</t>
  </si>
  <si>
    <t xml:space="preserve">Registra el lanzamiento como fallado y el juego continúa con un saque de meta.</t>
  </si>
  <si>
    <t xml:space="preserve">Si el lanzador golpea el balón de manera involuntaria con los dos pies simultáneamente, o el balón le toca el pie o la pierna de apoyo justo después del tiro, y el balón no entra directamente en la portería, se concede un tiro libre indirecto (si entra, se repite el penal).</t>
  </si>
  <si>
    <t xml:space="preserve">RJ15-001</t>
  </si>
  <si>
    <t xml:space="preserve">Regla 15</t>
  </si>
  <si>
    <t xml:space="preserve">El entrenador del Equipo A retiene el balón con las manos para evitar un saque de banda rápido de su propio equipo. ¿Qué decisión toma el árbitro?</t>
  </si>
  <si>
    <t xml:space="preserve">Amonesta al entrenador por retrasar la puesta del balón en juego.</t>
  </si>
  <si>
    <t xml:space="preserve">Expulsa al entrenador por retrasar la puesta del balón en juego.</t>
  </si>
  <si>
    <t xml:space="preserve">Realiza únicamente una advertencia verbal al entrenador.</t>
  </si>
  <si>
    <t xml:space="preserve">Impedir deliberadamente la rápida puesta en juego del balón, incluso por parte de un miembro del cuerpo técnico, se sanciona con amonestación por conducta antideportiva / retraso.</t>
  </si>
  <si>
    <t xml:space="preserve">Regla 15 / Regla 12</t>
  </si>
  <si>
    <t xml:space="preserve">RJ15-002</t>
  </si>
  <si>
    <t xml:space="preserve">Un saque de banda se ejecuta incorrectamente. ¿Puede el árbitro aplicar la ventaja?</t>
  </si>
  <si>
    <t xml:space="preserve">Sí, si beneficia al equipo adversario.</t>
  </si>
  <si>
    <t xml:space="preserve">No, salvo ocasión manifiesta de gol del adversario.</t>
  </si>
  <si>
    <t xml:space="preserve">No, el saque de banda pasa al equipo adversario.</t>
  </si>
  <si>
    <t xml:space="preserve">Regla 15 (pág. 77): «Si no se ejecutase correctamente, sacará de banda el equipo adversario».</t>
  </si>
  <si>
    <t xml:space="preserve">RJ15-003</t>
  </si>
  <si>
    <t xml:space="preserve">Un jugador recoge muy lentamente el balón para ejecutar un saque de banda con ánimo de retrasar. ¿Puede el árbitro iniciar la cuenta atrás de cinco segundos aunque el jugador no tenga aún el balón?</t>
  </si>
  <si>
    <t xml:space="preserve">Sí, no tiene que esperar a que el jugador esté en posesión del balón.</t>
  </si>
  <si>
    <t xml:space="preserve">No, solo puede empezar la cuenta cuando el jugador tenga el balón en las manos.</t>
  </si>
  <si>
    <t xml:space="preserve">Solo después de haberle hecho una advertencia con el silbato.</t>
  </si>
  <si>
    <t xml:space="preserve">El árbitro no tiene que esperar a que el jugador tenga el balón para comenzar la cuenta atrás de cinco segundos si éste provoca un retraso deliberado, por ejemplo recogiendo lentamente el balón o ubicándose incorrectamente.</t>
  </si>
  <si>
    <t xml:space="preserve">Protocolo cuenta atrás / Saque de banda</t>
  </si>
  <si>
    <t xml:space="preserve">RJ15-004</t>
  </si>
  <si>
    <t xml:space="preserve">¿A quién se concede el saque de banda cuando el balón atraviesa completamente la línea de banda?</t>
  </si>
  <si>
    <t xml:space="preserve">Al equipo del último jugador que tocó el balón.</t>
  </si>
  <si>
    <t xml:space="preserve">Al equipo del jugador más cercano al lugar por donde salió el balón.</t>
  </si>
  <si>
    <t xml:space="preserve">A los adversarios del último jugador que tocó el balón.</t>
  </si>
  <si>
    <t xml:space="preserve">El saque de banda se concede a los adversarios del último jugador que tocó el balón antes de que este atravesase totalmente la línea de banda.</t>
  </si>
  <si>
    <t xml:space="preserve">Regla 15 / Concesión</t>
  </si>
  <si>
    <t xml:space="preserve">RJ15-005</t>
  </si>
  <si>
    <t xml:space="preserve">Un balón bombeado atraviesa por completo la línea de banda por el aire, sin llegar a tocar el suelo fuera del terreno de juego. El árbitro...</t>
  </si>
  <si>
    <t xml:space="preserve">Concede un saque de banda.</t>
  </si>
  <si>
    <t xml:space="preserve">Deja que el juego continúe si el viento lo devuelve al campo.</t>
  </si>
  <si>
    <t xml:space="preserve">Deja que el juego continúe mientras no toque el suelo fuera.</t>
  </si>
  <si>
    <t xml:space="preserve">El saque de banda se concede cuando el balón atraviesa totalmente la línea de banda por el suelo o por el aire.</t>
  </si>
  <si>
    <t xml:space="preserve">RJ15-006</t>
  </si>
  <si>
    <t xml:space="preserve">El balón entra directamente en la portería adversaria, sin que lo toque nadie más, tras un saque de banda, tras un tiro libre indirecto o tras un balón a tierra (sin haber tocado a dos jugadores como mínimo). ¿Qué decide el árbitro en todos los casos?</t>
  </si>
  <si>
    <t xml:space="preserve">En todos los casos no concede gol y concede saque de meta a favor del equipo defensor.</t>
  </si>
  <si>
    <t xml:space="preserve">Concede gol en todos los casos, al haber entrado el balón en la portería.</t>
  </si>
  <si>
    <t xml:space="preserve">Concede saque de esquina al equipo atacante en todos los casos.</t>
  </si>
  <si>
    <t xml:space="preserve">No puede marcarse gol directamente de un saque de banda, de un tiro libre indirecto ni de un balón a tierra sin que el balón haya tocado como mínimo a dos jugadores; si el balón entra en la portería del adversario, se concede saque de meta.</t>
  </si>
  <si>
    <t xml:space="preserve">RJ15-007</t>
  </si>
  <si>
    <t xml:space="preserve">Un jugador ejecuta un saque inicial, un saque de banda, un saque de meta, un saque de esquina o un tiro libre (directo o indirecto), o interviene en un balón a tierra, y el balón entra directamente en su propia portería sin que lo toque nadie más. ¿Qué decide el árbitro en todos los casos?</t>
  </si>
  <si>
    <t xml:space="preserve">En todos los casos lo mismo: concede un saque de esquina al equipo adversario.</t>
  </si>
  <si>
    <t xml:space="preserve">Concede gol al equipo adversario en todos los casos.</t>
  </si>
  <si>
    <t xml:space="preserve">Ordena repetir la reanudación en todos los casos, al no poder marcarse gol en propia meta.</t>
  </si>
  <si>
    <t xml:space="preserve">Si el balón entra directamente en la propia portería del ejecutor tras un saque inicial, de banda, de meta o de esquina, un tiro libre (directo o indirecto) o un balón a tierra (sin haber tocado a otro jugador), se concede saque de esquina al equipo adversario.</t>
  </si>
  <si>
    <t xml:space="preserve">RJ15-008</t>
  </si>
  <si>
    <t xml:space="preserve">¿Cómo debe lanzar el balón el ejecutor de un saque de banda?</t>
  </si>
  <si>
    <t xml:space="preserve">Con ambas manos, desde atrás y por encima de la cabeza, desde el lugar por donde salió.</t>
  </si>
  <si>
    <t xml:space="preserve">Con una o ambas manos, desde la altura del pecho, desde cualquier punto de la banda.</t>
  </si>
  <si>
    <t xml:space="preserve">Con ambas manos, por encima de la cabeza, desde el punto más cercano al centro del campo.</t>
  </si>
  <si>
    <t xml:space="preserve">El lanzador deberá lanzar el balón con ambas manos desde atrás y por encima de la cabeza desde el lugar en que el balón salió del campo.</t>
  </si>
  <si>
    <t xml:space="preserve">Regla 15.1 / Procedimiento</t>
  </si>
  <si>
    <t xml:space="preserve">RJ15-009</t>
  </si>
  <si>
    <t xml:space="preserve">El árbitro concede el saque de banda al equipo adversario porque el equipo que debía sacar superó la cuenta atrás de cinco segundos. ¿Desde dónde se ejecuta ese saque?</t>
  </si>
  <si>
    <t xml:space="preserve">Desde la misma ubicación que tenía el saque de banda original.</t>
  </si>
  <si>
    <t xml:space="preserve">Desde el punto de la línea de banda más cercano al balón en ese momento.</t>
  </si>
  <si>
    <t xml:space="preserve">Desde el centro de la línea de banda más cercana.</t>
  </si>
  <si>
    <t xml:space="preserve">Si el balón no está en juego cuando concluye la cuenta atrás, se concede el saque de banda al equipo adversario, que lo efectúa desde la misma ubicación del original.</t>
  </si>
  <si>
    <t xml:space="preserve">RJ15-010</t>
  </si>
  <si>
    <t xml:space="preserve">Un jugador ejecuta un saque de banda con los dos pies fuera de la línea de banda, de pie y de cara al terreno de juego. El árbitro...</t>
  </si>
  <si>
    <t xml:space="preserve">Concede el saque al adversario.</t>
  </si>
  <si>
    <t xml:space="preserve">Ordena repetir el saque de banda.</t>
  </si>
  <si>
    <t xml:space="preserve">El lanzador puede pisar la línea de banda con los dos pies o estar situado por fuera de la misma.</t>
  </si>
  <si>
    <t xml:space="preserve">RJ15-012</t>
  </si>
  <si>
    <t xml:space="preserve">¿A qué distancia mínima del lugar de ejecución de un saque de banda deben permanecer los adversarios?</t>
  </si>
  <si>
    <t xml:space="preserve">Todos los adversarios deberán permanecer a una distancia mínima de 2 m del lugar de la línea de banda donde se vaya a ejecutar el saque.</t>
  </si>
  <si>
    <t xml:space="preserve">RJ15-013</t>
  </si>
  <si>
    <t xml:space="preserve">Un jugador ejecuta un saque de banda y el balón toca el suelo antes de entrar en el terreno de juego. ¿Qué decide el árbitro?</t>
  </si>
  <si>
    <t xml:space="preserve">Ordena repetir el saque de banda desde la misma posición.</t>
  </si>
  <si>
    <t xml:space="preserve">Concede el saque de banda al equipo adversario.</t>
  </si>
  <si>
    <t xml:space="preserve">Si el balón toca el suelo antes de entrar en el terreno de juego, se repite el saque de banda desde la misma posición.</t>
  </si>
  <si>
    <t xml:space="preserve">RJ15-014</t>
  </si>
  <si>
    <t xml:space="preserve">En un saque de banda, el balón estará en juego:</t>
  </si>
  <si>
    <t xml:space="preserve">Cuando el ejecutor lo suelte.</t>
  </si>
  <si>
    <t xml:space="preserve">Cuando lo toque otro jugador.</t>
  </si>
  <si>
    <t xml:space="preserve">Cuando entre en el terreno.</t>
  </si>
  <si>
    <t xml:space="preserve">El balón estará en juego tan pronto como haya entrado en el terreno de juego.</t>
  </si>
  <si>
    <t xml:space="preserve">RJ15-015</t>
  </si>
  <si>
    <t xml:space="preserve">Tras un saque de banda o de esquina correcto, el ejecutor lanza voluntariamente el balón contra un adversario para volver a jugarlo, sin imprudencia, temeridad ni fuerza excesiva. ¿Qué decide el árbitro?</t>
  </si>
  <si>
    <t xml:space="preserve">Concede un tiro libre indirecto a favor del equipo adversario, por doble toque del ejecutor.</t>
  </si>
  <si>
    <t xml:space="preserve">Amonesta al ejecutor por conducta antideportiva.</t>
  </si>
  <si>
    <t xml:space="preserve">Si el ejecutor lanza voluntariamente el balón contra un adversario con el fin de jugarlo de nuevo, sin imprudencia, temeridad ni fuerza excesiva, el juego continúa.</t>
  </si>
  <si>
    <t xml:space="preserve">RJ15-016</t>
  </si>
  <si>
    <t xml:space="preserve">Con el balón en juego tras un saque de banda, de meta o de esquina, el ejecutor lo toca de nuevo (con el pie, o con la mano si es el guardameta dentro de su área) antes de que lo toque otro jugador. ¿Qué decide el árbitro en todos los casos?</t>
  </si>
  <si>
    <t xml:space="preserve">En todos los casos lo mismo: concede un tiro libre indirecto a favor del equipo adversario.</t>
  </si>
  <si>
    <t xml:space="preserve">Solo es sancionable si el segundo toque es con la mano; con el pie no hay infracción.</t>
  </si>
  <si>
    <t xml:space="preserve">Solo es sancionable en el saque de banda; en los de meta y esquina no hay restricción.</t>
  </si>
  <si>
    <t xml:space="preserve">El ejecutor de un saque de banda, de meta o de esquina no puede volver a tocar el balón antes de que lo haga otro jugador; se sanciona con tiro libre indirecto a favor del equipo contrario, con independencia del tipo de saque (y del toque con la mano del guardameta dentro de su propia área).</t>
  </si>
  <si>
    <t xml:space="preserve">Regla 15.2 / Infracciones y sanciones</t>
  </si>
  <si>
    <t xml:space="preserve">RJ15-017</t>
  </si>
  <si>
    <t xml:space="preserve">El ejecutor de un saque de banda, de meta, de esquina o de un tiro libre (jugador de campo, no guardameta), una vez el balón en juego, lo toca deliberadamente con la mano dentro de su propia área penal antes de que lo toque otro jugador. ¿Qué decide el árbitro en todos los casos?</t>
  </si>
  <si>
    <t xml:space="preserve">En todos los casos lo mismo: señala tiro penal a favor del equipo adversario.</t>
  </si>
  <si>
    <t xml:space="preserve">Concede un tiro libre indirecto a favor del equipo adversario, por doble toque.</t>
  </si>
  <si>
    <t xml:space="preserve">Concede un tiro libre directo en el borde del área penal a favor del equipo adversario.</t>
  </si>
  <si>
    <t xml:space="preserve">Si el ejecutor, que no es el guardameta, toca deliberadamente el balón con la mano dentro de su propia área penal tras ponerlo en juego, comete una infracción por mano sancionable con tiro libre directo que, al producirse dentro de su área, se castiga con tiro penal.</t>
  </si>
  <si>
    <t xml:space="preserve">RJ15-019</t>
  </si>
  <si>
    <t xml:space="preserve">El ejecutor de un saque inicial, de banda, de meta o de esquina, de un tiro libre o de un penal (jugador de campo, o guardameta fuera de su área) vuelve a tocar deliberadamente el balón con la mano, fuera de su propia área penal, antes de que lo toque otro jugador. ¿Qué decide el árbitro en todos los casos?</t>
  </si>
  <si>
    <t xml:space="preserve">En todos los casos lo mismo: concede un tiro libre directo a favor del equipo adversario.</t>
  </si>
  <si>
    <t xml:space="preserve">Ordena repetir la reanudación, sin sanción alguna para el ejecutor.</t>
  </si>
  <si>
    <t xml:space="preserve">Si el ejecutor vuelve a tocar el balón antes de que lo toque otro jugador y comete una infracción por mano, se concede tiro libre directo (en lugar del indirecto que corresponde a un simple doble toque), con independencia del tipo de reanudación.</t>
  </si>
  <si>
    <t xml:space="preserve">RJ15-020</t>
  </si>
  <si>
    <t xml:space="preserve">Un jugador tarda injustificadamente en ejecutar un saque de banda de su equipo. Según el protocolo de la cuenta atrás, el árbitro...</t>
  </si>
  <si>
    <t xml:space="preserve">Hace sonar el silbato y efectúa con la mano levantada la cuenta atrás de cinco segundos.</t>
  </si>
  <si>
    <t xml:space="preserve">Amonesta al jugador por retrasar la reanudación, sin efectuar la cuenta atrás.</t>
  </si>
  <si>
    <t xml:space="preserve">Concede el saque de banda al equipo adversario, sin efectuar la cuenta atrás.</t>
  </si>
  <si>
    <t xml:space="preserve">Si un jugador tarda injustamente en ejecutar un saque de banda o de meta, el árbitro hace sonar el silbato y señala con la mano levantada la cuenta atrás de cinco segundos.</t>
  </si>
  <si>
    <t xml:space="preserve">RJ15-022</t>
  </si>
  <si>
    <t xml:space="preserve">Tras concederse el saque de banda al adversario por la cuenta atrás, el jugador infractor sigue retrasando de forma excesiva la reanudación. ¿Qué decide el árbitro?</t>
  </si>
  <si>
    <t xml:space="preserve">No adopta medida alguna, al haber perdido ya el saque de banda.</t>
  </si>
  <si>
    <t xml:space="preserve">Expulsa al infractor por retrasar la reanudación.</t>
  </si>
  <si>
    <t xml:space="preserve">Amonesta al infractor por retrasar excesivamente la reanudación.</t>
  </si>
  <si>
    <t xml:space="preserve">Se amonestará al infractor solo si retrasa excesivamente la reanudación después de concederse el saque al adversario.</t>
  </si>
  <si>
    <t xml:space="preserve">RJ15-023</t>
  </si>
  <si>
    <t xml:space="preserve">Un adversario se sitúa a un metro del lanzador antes de que este ejecute el saque de banda, obstaculizándole. ¿Qué decide el árbitro?</t>
  </si>
  <si>
    <t xml:space="preserve">Advierte verbalmente al adversario y repite el saque.</t>
  </si>
  <si>
    <t xml:space="preserve">Amonesta al adversario por conducta antideportiva.</t>
  </si>
  <si>
    <t xml:space="preserve">Concede un tiro libre indirecto a favor del equipo del lanzador.</t>
  </si>
  <si>
    <t xml:space="preserve">El adversario que distraiga u obstaculice de forma antirreglamentaria al ejecutor (incluido estar a menos de 2 m) será amonestado por conducta antideportiva.</t>
  </si>
  <si>
    <t xml:space="preserve">RJ15-024</t>
  </si>
  <si>
    <t xml:space="preserve">Una vez ejecutado el saque de banda, un adversario distrae de forma antirreglamentaria al ejecutor. El árbitro...</t>
  </si>
  <si>
    <t xml:space="preserve">Si ya se ha ejecutado el saque, la distracción u obstaculización del adversario se sanciona con libre indirecto.</t>
  </si>
  <si>
    <t xml:space="preserve">RJ15-026</t>
  </si>
  <si>
    <t xml:space="preserve">Un adversario situado a más de 2 metros agita los brazos y grita para distraer al ejecutor justo antes de un saque de banda. El árbitro...</t>
  </si>
  <si>
    <t xml:space="preserve">No toma medida, porque respeta la distancia de 2 metros.</t>
  </si>
  <si>
    <t xml:space="preserve">Distraer u obstaculizar de forma antirreglamentaria al ejecutor de un saque de banda se sanciona con amonestación, con independencia de si además se incumple la distancia de 2 metros.</t>
  </si>
  <si>
    <t xml:space="preserve">Regla 15.2</t>
  </si>
  <si>
    <t xml:space="preserve">RJ15-027</t>
  </si>
  <si>
    <t xml:space="preserve">Un jugador ejecuta un saque de banda con una sola mano, aunque el balón sale con fuerza y precisión hacia un compañero. ¿Es válido?</t>
  </si>
  <si>
    <t xml:space="preserve">No, el saque de banda debe ejecutarse siempre con ambas manos.</t>
  </si>
  <si>
    <t xml:space="preserve">Sí, si el balón llega correctamente a su compañero.</t>
  </si>
  <si>
    <t xml:space="preserve">Sí, siempre que el jugador esté mirando hacia el terreno de juego durante la ejecución.</t>
  </si>
  <si>
    <t xml:space="preserve">El saque de banda debe ejecutarse con ambas manos desde detrás y por encima de la cabeza; hacerlo con una sola mano es sancionable.</t>
  </si>
  <si>
    <t xml:space="preserve">RJ15-028</t>
  </si>
  <si>
    <t xml:space="preserve">Al ejecutar un saque de banda, el lanzador tiene un pie completamente dentro del terreno de juego y el otro sobre la línea de banda. El árbitro...</t>
  </si>
  <si>
    <t xml:space="preserve">Ordena repetir el saque al mismo equipo.</t>
  </si>
  <si>
    <t xml:space="preserve">Regla 15.1: el lanzador deberá «pisar la línea de banda con los dos pies —aunque sea parcialmente— o estar situado por fuera de la misma». Si el saque no se ejecuta correctamente, lo efectuará un adversario.</t>
  </si>
  <si>
    <t xml:space="preserve">Regla 15.1</t>
  </si>
  <si>
    <t xml:space="preserve">RJ15-029</t>
  </si>
  <si>
    <t xml:space="preserve">Un jugador ejecuta un saque de banda hacia su propio guardameta, que lo controla directamente con las manos dentro de su área. ¿Es sancionable?</t>
  </si>
  <si>
    <t xml:space="preserve">Sí, se concede tiro libre indirecto, por tocar el guardameta con las manos un saque de banda de un compañero.</t>
  </si>
  <si>
    <t xml:space="preserve">No, el guardameta puede tocar con las manos el balón de cualquier saque de banda.</t>
  </si>
  <si>
    <t xml:space="preserve">Sí, se concede un tiro libre directo al equipo contrario por esa infracción del guardameta.</t>
  </si>
  <si>
    <t xml:space="preserve">El guardameta no puede tocar con las manos un balón que recibe directamente de un saque de banda ejecutado por un compañero; se sanciona con tiro libre indirecto.</t>
  </si>
  <si>
    <t xml:space="preserve">RJ15-031</t>
  </si>
  <si>
    <t xml:space="preserve">Al ejecutar un saque de banda, el jugador levanta ligeramente ambos pies del suelo en el momento de lanzar el balón. ¿Es sancionable?</t>
  </si>
  <si>
    <t xml:space="preserve">Sí, se sanciona como saque de banda incorrecto, con tiro de banda a favor del equipo contrario.</t>
  </si>
  <si>
    <t xml:space="preserve">No, no existe ninguna exigencia sobre el contacto de los pies con el suelo durante el lanzamiento.</t>
  </si>
  <si>
    <t xml:space="preserve">Sí, se sanciona con amonestación por conducta antideportiva.</t>
  </si>
  <si>
    <t xml:space="preserve">El ejecutor de un saque de banda debe tener parte de cada pie sobre la línea de banda o fuera de ella, en contacto con el suelo; no cumplirlo se sanciona con saque de banda para el equipo contrario.</t>
  </si>
  <si>
    <t xml:space="preserve">RJ15-032</t>
  </si>
  <si>
    <t xml:space="preserve">Un jugador se dispone a ejecutar un saque de banda desde un punto distinto de aquel por el que salió el balón. El árbitro...</t>
  </si>
  <si>
    <t xml:space="preserve">Le indica que lo ejecute desde el lugar correcto.</t>
  </si>
  <si>
    <t xml:space="preserve">Lo permite si la diferencia de distancia es pequeña.</t>
  </si>
  <si>
    <t xml:space="preserve">Concede un tiro libre indirecto al equipo contrario.</t>
  </si>
  <si>
    <t xml:space="preserve">El saque de banda debe ejecutarse desde el punto donde el balón cruzó la línea de banda.</t>
  </si>
  <si>
    <t xml:space="preserve">RJ15-034</t>
  </si>
  <si>
    <t xml:space="preserve">Tras un saque de banda, un compañero del ejecutor toca deliberadamente el balón con la mano. El árbitro...</t>
  </si>
  <si>
    <t xml:space="preserve">Regla 12 (pág. 63): es infracción tocar el balón de manera voluntaria con la mano o el brazo, y se sanciona con tiro libre directo (o penal si es dentro de su área).</t>
  </si>
  <si>
    <t xml:space="preserve">RJ15-035</t>
  </si>
  <si>
    <t xml:space="preserve">¿Puede ejecutarse un saque de banda de espaldas al terreno de juego?</t>
  </si>
  <si>
    <t xml:space="preserve">No, debe estar de cara al terreno.</t>
  </si>
  <si>
    <t xml:space="preserve">Sí, la orientación del cuerpo es libre.</t>
  </si>
  <si>
    <t xml:space="preserve">Sí, si ambos pies están fuera del campo.</t>
  </si>
  <si>
    <t xml:space="preserve">El ejecutor de un saque de banda debe estar de cara al terreno de juego en el momento de lanzar el balón.</t>
  </si>
  <si>
    <t xml:space="preserve">RJ15-036</t>
  </si>
  <si>
    <t xml:space="preserve">En un saque de banda, un adversario se sitúa deliberadamente muy cerca del ejecutor para distraerlo, sin tocarlo ni interceptar el balón. El árbitro...</t>
  </si>
  <si>
    <t xml:space="preserve">Lo sanciona por conducta antideportiva.</t>
  </si>
  <si>
    <t xml:space="preserve">No interviene si no hay contacto físico.</t>
  </si>
  <si>
    <t xml:space="preserve">Concede un tiro libre indirecto al equipo que saca.</t>
  </si>
  <si>
    <t xml:space="preserve">Interferir deliberadamente en la ejecución de una reanudación, incluido un saque de banda, puede sancionarse como conducta antideportiva.</t>
  </si>
  <si>
    <t xml:space="preserve">RJ15-038</t>
  </si>
  <si>
    <t xml:space="preserve">¿Puede ejecutarse rápidamente un saque de banda sin esperar a que los adversarios se retiren a 2 m?</t>
  </si>
  <si>
    <t xml:space="preserve">Sí; si un adversario a menos de 2 m interfiere, se le amonesta.</t>
  </si>
  <si>
    <t xml:space="preserve">No; el árbitro debe hacer respetar antes los 2 m de distancia.</t>
  </si>
  <si>
    <t xml:space="preserve">Sí; y el adversario a menos de 2 m que interfiere no es sancionado.</t>
  </si>
  <si>
    <t xml:space="preserve">Todos los adversarios deben permanecer a una distancia mínima de 2 m del lugar de ejecución. El saque puede sacarse rápido; si un adversario a menos de 2 m distrae u obstaculiza al ejecutor, será amonestado por conducta antideportiva, y si el saque ya se había ejecutado, se concederá un tiro libre indirecto.</t>
  </si>
  <si>
    <t xml:space="preserve">RJ15-039</t>
  </si>
  <si>
    <t xml:space="preserve">Un saque de banda lo va a ejecutar un compañero distinto del que recogió el balón. ¿Es correcto?</t>
  </si>
  <si>
    <t xml:space="preserve">Sí, puede ejecutarlo cualquier jugador del equipo.</t>
  </si>
  <si>
    <t xml:space="preserve">No, debe ejecutarlo el jugador que recogió el balón.</t>
  </si>
  <si>
    <t xml:space="preserve">No, debe ejecutarlo el capitán o quien él designe.</t>
  </si>
  <si>
    <t xml:space="preserve">No existe restricción sobre qué jugador concreto del equipo debe ejecutar un saque de banda.</t>
  </si>
  <si>
    <t xml:space="preserve">RJ15-040</t>
  </si>
  <si>
    <t xml:space="preserve">Un jugador ejecuta un saque de banda desde un lugar incorrecto, el árbitro no lo advierte y el juego continúa. Poco después se da cuenta del error. El árbitro...</t>
  </si>
  <si>
    <t xml:space="preserve">No puede cambiar la decisión, al haberse reanudado el juego.</t>
  </si>
  <si>
    <t xml:space="preserve">Detiene el juego y concede el saque de banda al adversario.</t>
  </si>
  <si>
    <t xml:space="preserve">Regla 5.2: «Si se ha reanudado el juego […], el árbitro no podrá cambiar la decisión sobre la forma de reanudar el juego tras darse cuenta de que era incorrecta o tras recibir una indicación de otro miembro del equipo arbitral».</t>
  </si>
  <si>
    <t xml:space="preserve">RJ15-041</t>
  </si>
  <si>
    <t xml:space="preserve">En un saque de banda, el balón golpea en un poste de la portería antes de que lo toque ningún jugador y vuelve al terreno de juego. ¿Sigue el balón en juego?</t>
  </si>
  <si>
    <t xml:space="preserve">No, se concede el saque al adversario.</t>
  </si>
  <si>
    <t xml:space="preserve">No, se repite el saque de banda.</t>
  </si>
  <si>
    <t xml:space="preserve">El balón permanece en juego cuando rebota en un poste y continúa en el terreno de juego, con independencia de la reanudación de la que proceda.</t>
  </si>
  <si>
    <t xml:space="preserve">RJ15-042</t>
  </si>
  <si>
    <t xml:space="preserve">¿Puede un jugador ejecutar un saque de banda con los pies apoyados sobre una valla o sobre la grada?</t>
  </si>
  <si>
    <t xml:space="preserve">No, debe apoyarlos en la línea de banda o en el suelo exterior.</t>
  </si>
  <si>
    <t xml:space="preserve">Sí, no hay restricción sobre la superficie en la que se apoya.</t>
  </si>
  <si>
    <t xml:space="preserve">Sí, si el árbitro lo autoriza antes de que se ejecute el saque.</t>
  </si>
  <si>
    <t xml:space="preserve">El ejecutor debe apoyarse sobre la línea de banda o el terreno situado fuera de ella, no sobre gradas, vallas u otras estructuras ajenas al terreno de juego.</t>
  </si>
  <si>
    <t xml:space="preserve">RJ15-043</t>
  </si>
  <si>
    <t xml:space="preserve">Al ejecutar un saque de banda, el balón se le cae al jugador y toca el suelo antes de entrar en el terreno de juego. El árbitro...</t>
  </si>
  <si>
    <t xml:space="preserve">Concede el saque de banda al adversario.</t>
  </si>
  <si>
    <t xml:space="preserve">Si el saque de banda no llega a ejecutarse conforme al procedimiento reglamentario, deberá repetirse correctamente.</t>
  </si>
  <si>
    <t xml:space="preserve">RJ15-044</t>
  </si>
  <si>
    <t xml:space="preserve">Un jugador finge varias veces que va a ejecutar el saque de banda para confundir a los adversarios, sin infringir otra disposición. ¿Es sancionable?</t>
  </si>
  <si>
    <t xml:space="preserve">No, fintar para confundir a los adversarios está permitido.</t>
  </si>
  <si>
    <t xml:space="preserve">Sí, cualquier finta en un saque de banda se sanciona con amonestación.</t>
  </si>
  <si>
    <t xml:space="preserve">Sí, se considera una pérdida deliberada de tiempo y se amonesta.</t>
  </si>
  <si>
    <t xml:space="preserve">Las Reglas de Juego permiten fintar para confundir a los adversarios, siempre que la finta sea reglamentaria y no infrinja otras disposiciones.</t>
  </si>
  <si>
    <t xml:space="preserve">RJ15-045</t>
  </si>
  <si>
    <t xml:space="preserve">En un saque de banda, un adversario situado a menos de 2 m distrae deliberadamente al ejecutor. El árbitro...</t>
  </si>
  <si>
    <t xml:space="preserve">Lo amonesta y, si el saque ya se ha ejecutado, concede un tiro libre indirecto.</t>
  </si>
  <si>
    <t xml:space="preserve">No toma medida, porque en el saque de banda no hay distancia reglamentaria.</t>
  </si>
  <si>
    <t xml:space="preserve">Ordena repetir el saque de banda, sin medida disciplinaria para el adversario.</t>
  </si>
  <si>
    <t xml:space="preserve">Los adversarios deben permanecer a una distancia mínima de 2 m del lugar de ejecución del saque de banda; quien distraiga u obstaculice de forma antirreglamentaria al ejecutor (lo que incluye situarse a menos de 2 m) será amonestado por conducta antideportiva, concediéndose tiro libre indirecto si el saque ya se había ejecutado.</t>
  </si>
  <si>
    <t xml:space="preserve">RJ15-046</t>
  </si>
  <si>
    <t xml:space="preserve">Un jugador recibe el balón directamente de un saque de banda en posición de fuera de juego. El árbitro...</t>
  </si>
  <si>
    <t xml:space="preserve">Lo sanciona solo en campo contrario.</t>
  </si>
  <si>
    <t xml:space="preserve">No existe infracción por fuera de juego cuando un jugador recibe el balón directamente de un saque de banda.</t>
  </si>
  <si>
    <t xml:space="preserve">RJ15-047</t>
  </si>
  <si>
    <t xml:space="preserve">En un saque de banda, el ejecutor tiene un pie fuera del terreno de juego y el otro sobre la línea de banda, ambos en el suelo. ¿Es correcto?</t>
  </si>
  <si>
    <t xml:space="preserve">No, ambos pies deben estar sobre la línea.</t>
  </si>
  <si>
    <t xml:space="preserve">No, un pie debe estar dentro del terreno.</t>
  </si>
  <si>
    <t xml:space="preserve">El ejecutor de un saque de banda debe tener parte de cada pie sobre la línea de banda o sobre el terreno situado fuera de ella; no se exige que ambos pies ocupen exactamente la misma posición.</t>
  </si>
  <si>
    <t xml:space="preserve">RJ15-048</t>
  </si>
  <si>
    <t xml:space="preserve">En un saque de banda, antes de que el balón entre en el terreno, lo desvía un compañero que está fuera recibiendo atención médica, sin intención de interferir. El árbitro...</t>
  </si>
  <si>
    <t xml:space="preserve">Deja que el juego continúe, sin medida disciplinaria.</t>
  </si>
  <si>
    <t xml:space="preserve">Ordena repetir el saque de banda, sin medida disciplinaria.</t>
  </si>
  <si>
    <t xml:space="preserve">Si un jugador temporalmente fuera del terreno de juego toca el balón sin intención de interferir en el desarrollo del juego, se sanciona con tiro libre indirecto a favor del equipo contrario, sin sanción disciplinaria.</t>
  </si>
  <si>
    <t xml:space="preserve">RJ15-051</t>
  </si>
  <si>
    <t xml:space="preserve">Un saque de banda se ejecuta de forma incorrecta: tras la cuenta atrás de 5 segundos sin sacar, desde un lugar distinto de donde salió el balón, de espaldas al terreno de juego, o con un pie levantado del suelo. ¿Qué decide el árbitro en los cuatro casos?</t>
  </si>
  <si>
    <t xml:space="preserve">En los cuatro casos lo mismo: concede el saque de banda al equipo adversario.</t>
  </si>
  <si>
    <t xml:space="preserve">Solo se sanciona el retraso tras la cuenta atrás; los demás defectos de ejecución no se sancionan.</t>
  </si>
  <si>
    <t xml:space="preserve">Se repite el saque con el mismo equipo en los cuatro casos, sin cederlo al adversario.</t>
  </si>
  <si>
    <t xml:space="preserve">Cualquier incumplimiento del procedimiento de ejecución de un saque de banda (retraso tras la cuenta atrás, lugar incorrecto, posición incorrecta del cuerpo, no respetar el apoyo de los pies) se sanciona de la misma forma: se concede el saque de banda al equipo adversario.</t>
  </si>
  <si>
    <t xml:space="preserve">RJ16-001</t>
  </si>
  <si>
    <t xml:space="preserve">Regla 16</t>
  </si>
  <si>
    <t xml:space="preserve">Durante un saque de meta, el guardameta eleva el balón para que un compañero se lo devuelva de cabeza y poder cogerlo con las manos. ¿Qué decisión toma el árbitro?</t>
  </si>
  <si>
    <t xml:space="preserve">Amonesta al guardameta y concede un tiro libre indirecto al equipo adversario.</t>
  </si>
  <si>
    <t xml:space="preserve">Amonesta al compañero que cede el balón y concede un tiro libre indirecto.</t>
  </si>
  <si>
    <t xml:space="preserve">El intento de burlar la prohibición de la cesión intencionada mediante un artificio (elevar el balón para que otro lo remate de cabeza al guardameta) se sanciona amonestando al guardameta y concediendo tiro libre indirecto.</t>
  </si>
  <si>
    <t xml:space="preserve">Regla 16 / Regla 12</t>
  </si>
  <si>
    <t xml:space="preserve">RJ16-002</t>
  </si>
  <si>
    <t xml:space="preserve">Tras un saque de meta correctamente ejecutado, el guardameta golpea mal el balón, que queda cerca del punto penal, y lo desvía con la mano antes de que un adversario próximo lo juegue, evitando un ataque prometedor. Decisión:</t>
  </si>
  <si>
    <t xml:space="preserve">El árbitro concede un tiro libre indirecto y amonesta al guardameta.</t>
  </si>
  <si>
    <t xml:space="preserve">El árbitro manda repetir el saque de meta.</t>
  </si>
  <si>
    <t xml:space="preserve">El árbitro concede un tiro libre indirecto y expulsa al guardameta.</t>
  </si>
  <si>
    <t xml:space="preserve">Tocar el balón con la mano fuera del área tras un saque de meta ya en juego, evitando un ataque prometedor, se sanciona con tiro libre indirecto y amonestación (no expulsión, al no ser ocasión manifiesta de gol sino ataque prometedor).</t>
  </si>
  <si>
    <t xml:space="preserve">RJ16-003</t>
  </si>
  <si>
    <t xml:space="preserve">Un jugador ejecuta correctamente un saque de meta y, antes de que el balón sea tocado por otro jugador, lo golpea intencionadamente con la mano. ¿Qué decisión toma el árbitro?</t>
  </si>
  <si>
    <t xml:space="preserve">Concede tiro libre indirecto, directo o penal según la infracción, con la sanción disciplinaria que corresponda.</t>
  </si>
  <si>
    <t xml:space="preserve">Concede tiro libre indirecto a favor del equipo adversario, con o sin sanción disciplinaria según la infracción.</t>
  </si>
  <si>
    <t xml:space="preserve">Ordena repetir el saque de meta, sin sanción disciplinaria.</t>
  </si>
  <si>
    <t xml:space="preserve">Jugar el balón con la mano tras un saque de meta, antes de que otro jugador lo toque, se sanciona según la gravedad: indirecto, directo o penal, con la sanción disciplinaria correspondiente.</t>
  </si>
  <si>
    <t xml:space="preserve">Regla 12 / Regla 16</t>
  </si>
  <si>
    <t xml:space="preserve">RJ16-004</t>
  </si>
  <si>
    <t xml:space="preserve">En un saque de meta, ¿debe el balón salir del área penal para estar en juego?</t>
  </si>
  <si>
    <t xml:space="preserve">No, está en juego cuando se golpea y se mueve con claridad.</t>
  </si>
  <si>
    <t xml:space="preserve">Sí, está en juego cuando sale del área penal.</t>
  </si>
  <si>
    <t xml:space="preserve">No, pero debe salir del área de meta para estar en juego.</t>
  </si>
  <si>
    <t xml:space="preserve">Según la Regla 16, el balón estará en juego en el momento en que haya sido golpeado con el pie y esté claramente en movimiento; no es necesario que salga del área penal.</t>
  </si>
  <si>
    <t xml:space="preserve">RJ16-005</t>
  </si>
  <si>
    <t xml:space="preserve">En un saque de meta, el árbitro termina la cuenta atrás de cinco segundos justo cuando el guardameta está golpeando el balón. El árbitro...</t>
  </si>
  <si>
    <t xml:space="preserve">Ordena repetir el saque de meta.</t>
  </si>
  <si>
    <t xml:space="preserve">No se sancionará al jugador si, en el momento en que está lanzando o golpeando el balón, el árbitro concluye la cuenta atrás.</t>
  </si>
  <si>
    <t xml:space="preserve">Protocolo cuenta atrás / Saque de meta</t>
  </si>
  <si>
    <t xml:space="preserve">RJ16-006</t>
  </si>
  <si>
    <t xml:space="preserve">Tras un saque inicial, un saque de meta, un saque de esquina o un tiro libre directo, el balón entra directamente en la portería adversaria sin que lo toque nadie más. El árbitro...</t>
  </si>
  <si>
    <t xml:space="preserve">Concede el gol en todos los casos.</t>
  </si>
  <si>
    <t xml:space="preserve">Concede el gol solo en el tiro libre directo.</t>
  </si>
  <si>
    <t xml:space="preserve">No concede el gol en ninguno de los casos.</t>
  </si>
  <si>
    <t xml:space="preserve">Se puede marcar gol directamente de un saque inicial, de un saque de meta, de un saque de esquina o de un tiro libre directo, siempre contra el equipo adversario.</t>
  </si>
  <si>
    <t xml:space="preserve">Regla 16 / Concesión</t>
  </si>
  <si>
    <t xml:space="preserve">RJ16-007</t>
  </si>
  <si>
    <t xml:space="preserve">Un guardameta retrasa un saque de meta y, tras la cuenta atrás de cinco segundos, el árbitro concede un saque de esquina al adversario. ¿Desde qué lado se ejecuta?</t>
  </si>
  <si>
    <t xml:space="preserve">Desde el lado más cercano al lugar del saque de meta.</t>
  </si>
  <si>
    <t xml:space="preserve">Desde el lado que elija el equipo atacante.</t>
  </si>
  <si>
    <t xml:space="preserve">Desde el lado opuesto al lugar del saque de meta.</t>
  </si>
  <si>
    <t xml:space="preserve">Se concede un saque de esquina al equipo adversario desde el lado del campo más cercano a la ubicación en la que se debía efectuar el saque de meta.</t>
  </si>
  <si>
    <t xml:space="preserve">RJ16-009</t>
  </si>
  <si>
    <t xml:space="preserve">Un jugador ejecuta un saque de meta o un saque de esquina con el balón inmóvil y este se mueve con claridad sin salir del área de meta (o del cuadrante de esquina). ¿Qué decide el árbitro?</t>
  </si>
  <si>
    <t xml:space="preserve">Considera el balón en juego y permite que el juego continúe.</t>
  </si>
  <si>
    <t xml:space="preserve">Ordena repetir el saque, al no haber salido el balón del área de meta o del cuadrante de esquina.</t>
  </si>
  <si>
    <t xml:space="preserve">Concede un tiro libre indirecto al equipo adversario por ejecutar incorrectamente el saque.</t>
  </si>
  <si>
    <t xml:space="preserve">El balón estará en juego en el momento en que haya sido golpeado con el pie y esté claramente en movimiento, sin necesidad de que salga del área de meta o del cuadrante de esquina.</t>
  </si>
  <si>
    <t xml:space="preserve">Regla 16.1 / Procedimiento</t>
  </si>
  <si>
    <t xml:space="preserve">RJ16-010</t>
  </si>
  <si>
    <t xml:space="preserve">¿Dónde deben permanecer los adversarios hasta que el balón esté en juego en un saque de meta?</t>
  </si>
  <si>
    <t xml:space="preserve">Fuera del área penal hasta que el balón esté en juego.</t>
  </si>
  <si>
    <t xml:space="preserve">Fuera del área de meta, pudiendo estar en el área penal.</t>
  </si>
  <si>
    <t xml:space="preserve">A 9,15 m del balón, aunque estén en el área penal.</t>
  </si>
  <si>
    <t xml:space="preserve">Los adversarios deberán permanecer fuera del área penal hasta que el balón esté en juego.</t>
  </si>
  <si>
    <t xml:space="preserve">RJ16-011</t>
  </si>
  <si>
    <t xml:space="preserve">El equipo defensor ejecuta un saque de meta y un atacante que no tuvo tiempo de salir del área penal sigue dentro de ella, sin tocar el balón. ¿Qué decide el árbitro?</t>
  </si>
  <si>
    <t xml:space="preserve">Permite que el juego prosiga.</t>
  </si>
  <si>
    <t xml:space="preserve">Si un adversario no ha tenido tiempo de salir del área penal, el árbitro permite que el juego prosiga.</t>
  </si>
  <si>
    <t xml:space="preserve">Regla 16.2 / Infracciones y sanciones</t>
  </si>
  <si>
    <t xml:space="preserve">RJ16-012</t>
  </si>
  <si>
    <t xml:space="preserve">En un saque de meta, un atacante toca el balón dentro del área penal antes de que este esté en juego. ¿Qué decide el árbitro?</t>
  </si>
  <si>
    <t xml:space="preserve">Amonesta al atacante y concede un balón a tierra.</t>
  </si>
  <si>
    <t xml:space="preserve">Si un adversario toca o disputa el balón dentro del área antes de que esté en juego, se repite el saque de meta.</t>
  </si>
  <si>
    <t xml:space="preserve">RJ16-013</t>
  </si>
  <si>
    <t xml:space="preserve">Antes de que el balón esté en juego en un saque de meta, un atacante entra en el área penal y comete una infracción contra un defensor. ¿Qué decide el árbitro?</t>
  </si>
  <si>
    <t xml:space="preserve">Concede un tiro penal a favor del equipo defensor.</t>
  </si>
  <si>
    <t xml:space="preserve">Concede un tiro libre directo a favor del equipo defensor y amonesta al atacante.</t>
  </si>
  <si>
    <t xml:space="preserve">Ordena repetir el saque de meta y podrá amonestar o expulsar al infractor según la gravedad.</t>
  </si>
  <si>
    <t xml:space="preserve">Si un jugador entra en el área penal antes de que el balón esté en juego y comete infracción contra un adversario, se repite el saque y puede sancionarse.</t>
  </si>
  <si>
    <t xml:space="preserve">RJ16-015</t>
  </si>
  <si>
    <t xml:space="preserve">Tras la cuenta atrás de cinco segundos, un equipo no ha ejecutado su saque de meta. ¿Qué decide el árbitro?</t>
  </si>
  <si>
    <t xml:space="preserve">Concede un saque de banda al equipo adversario.</t>
  </si>
  <si>
    <t xml:space="preserve">Concede un saque de esquina al equipo adversario.</t>
  </si>
  <si>
    <t xml:space="preserve">Si el saque de meta no se ha efectuado antes del final de los cinco segundos, se concede saque de esquina al adversario.</t>
  </si>
  <si>
    <t xml:space="preserve">RJ16-016</t>
  </si>
  <si>
    <t xml:space="preserve">Tras concederse el saque de esquina por la cuenta atrás, el guardameta continúa retrasando excesivamente la reanudación. ¿Qué decide el árbitro?</t>
  </si>
  <si>
    <t xml:space="preserve">Amonesta al infractor, por retrasar en exceso la reanudación tras el saque de esquina.</t>
  </si>
  <si>
    <t xml:space="preserve">No adopta medida alguna, al haberse ya sancionado con el saque de esquina.</t>
  </si>
  <si>
    <t xml:space="preserve">Expulsa al guardameta por retrasar la reanudación.</t>
  </si>
  <si>
    <t xml:space="preserve">Se amonestará al infractor solo si retrasa excesivamente la reanudación después de concederse el saque de esquina al adversario.</t>
  </si>
  <si>
    <t xml:space="preserve">RJ16-020</t>
  </si>
  <si>
    <t xml:space="preserve">Un jugador ejecuta un saque de meta o un saque de esquina con el balón aún rodando, sin que exista otra infracción. ¿Qué decide el árbitro?</t>
  </si>
  <si>
    <t xml:space="preserve">Ordena repetir el saque.</t>
  </si>
  <si>
    <t xml:space="preserve">El balón debe estar inmóvil al ejecutar el saque de meta o de esquina; si no lo está, se repite el saque.</t>
  </si>
  <si>
    <t xml:space="preserve">RJ16-021</t>
  </si>
  <si>
    <t xml:space="preserve">Un jugador recibe el balón directamente de un saque de meta en posición adelantada respecto a los defensores. ¿Qué decide el árbitro?</t>
  </si>
  <si>
    <t xml:space="preserve">Concede un tiro libre indirecto por fuera de juego.</t>
  </si>
  <si>
    <t xml:space="preserve">No existirá infracción por fuera de juego cuando un jugador reciba el balón directamente de un saque de meta.</t>
  </si>
  <si>
    <t xml:space="preserve">Regla 16 / Regla 11.3 / Situaciones que no constituyen infracción</t>
  </si>
  <si>
    <t xml:space="preserve">RJ16-022</t>
  </si>
  <si>
    <t xml:space="preserve">Antes de que el balón esté en juego en un saque de meta, un atacante que había entrado en el área penal es objeto de una infracción por parte de un defensor. ¿Qué decide el árbitro?</t>
  </si>
  <si>
    <t xml:space="preserve">Se repite el saque de meta y el defensor infractor podrá ser amonestado o expulsado según la gravedad.</t>
  </si>
  <si>
    <t xml:space="preserve">Concede un tiro libre indirecto a favor del equipo atacante desde el lugar de la infracción.</t>
  </si>
  <si>
    <t xml:space="preserve">Concede un tiro penal a favor del equipo atacante, al producirse la infracción dentro del área.</t>
  </si>
  <si>
    <t xml:space="preserve">Si un jugador entra en el área penal antes de que el balón esté en juego y es objeto de una infracción por parte de un adversario, se repite el saque de meta y el infractor podrá ser amonestado o expulsado según la gravedad de la infracción.</t>
  </si>
  <si>
    <t xml:space="preserve">Regla 16.2</t>
  </si>
  <si>
    <t xml:space="preserve">RJ16-026</t>
  </si>
  <si>
    <t xml:space="preserve">En un saque de meta, un adversario que estaba dentro del área penal toca el balón antes de que esté en juego. El árbitro...</t>
  </si>
  <si>
    <t xml:space="preserve">Si un adversario se encuentra dentro del área penal, entra en ella antes de que el balón esté en juego, o lo toca o disputa antes de que esté en juego, se repetirá el saque de meta. El balón está en juego en cuanto es golpeado y se mueve con claridad, no cuando sale del área.</t>
  </si>
  <si>
    <t xml:space="preserve">RJ16-028</t>
  </si>
  <si>
    <t xml:space="preserve">Durante un saque de meta, el ejecutor golpea el balón y este, tras salir del área penal, regresa hacia él por efecto del viento, tocándolo de nuevo antes de que otro jugador lo haga. ¿Es sancionable?</t>
  </si>
  <si>
    <t xml:space="preserve">Sí, se trata de un doble toque sancionable con tiro libre indirecto a favor del equipo contrario.</t>
  </si>
  <si>
    <t xml:space="preserve">No, al no haber intervenido ningún adversario en la jugada.</t>
  </si>
  <si>
    <t xml:space="preserve">No, el efecto del viento exime de sanción en cualquier doble contacto con el balón.</t>
  </si>
  <si>
    <t xml:space="preserve">El ejecutor de un saque de meta no puede volver a tocar el balón antes de que lo haga otro jugador, sea cual sea la causa del segundo contacto.</t>
  </si>
  <si>
    <t xml:space="preserve">RJ16-030</t>
  </si>
  <si>
    <t xml:space="preserve">En un saque de meta, ¿desde dónde se golpea el balón?</t>
  </si>
  <si>
    <t xml:space="preserve">Desde la línea del área de meta más cercana a donde salió.</t>
  </si>
  <si>
    <t xml:space="preserve">Desde cualquier punto del área penal.</t>
  </si>
  <si>
    <t xml:space="preserve">Regla 16 (pág. 79): «El balón deberá estar inmóvil y un jugador del equipo defensor lo golpeará desde cualquier punto del área de meta».</t>
  </si>
  <si>
    <t xml:space="preserve">RJ16-033</t>
  </si>
  <si>
    <t xml:space="preserve">Un guardameta ejecuta un saque de meta y, tras salir el balón del área, un adversario lo intercepta y remata directamente a puerta, marcando gol. ¿Es válido?</t>
  </si>
  <si>
    <t xml:space="preserve">Sí, una vez que el balón sale del área penal y está en juego, el gol resultante es válido con normalidad.</t>
  </si>
  <si>
    <t xml:space="preserve">No, un saque de meta nunca puede terminar en gol directo del equipo contrario.</t>
  </si>
  <si>
    <t xml:space="preserve">No, el gol solo sería válido si el balón fuera tocado antes por otro jugador del equipo defensor.</t>
  </si>
  <si>
    <t xml:space="preserve">Una vez que el balón de un saque de meta sale del área penal y está en juego, se aplican las reglas generales, por lo que un gol posterior del equipo contrario es válido.</t>
  </si>
  <si>
    <t xml:space="preserve">RJ16-036</t>
  </si>
  <si>
    <t xml:space="preserve">En un saque de meta, antes de que el balón esté en juego, un adversario situado fuera del área grita para distraer al ejecutor. ¿Es sancionable?</t>
  </si>
  <si>
    <t xml:space="preserve">Sí, puede amonestarse por conducta antideportiva si busca distraer al ejecutor.</t>
  </si>
  <si>
    <t xml:space="preserve">No, gritar desde fuera del área penal no es sancionable en un saque de meta.</t>
  </si>
  <si>
    <t xml:space="preserve">Sí, se sanciona con expulsión por interferir en la reanudación del juego.</t>
  </si>
  <si>
    <t xml:space="preserve">Distraer con gritos u otras acciones al ejecutor de una reanudación puede sancionarse como conducta antideportiva, según la valoración del árbitro.</t>
  </si>
  <si>
    <t xml:space="preserve">RJ16-037</t>
  </si>
  <si>
    <t xml:space="preserve">Un saque de meta se concede tras haber salido el balón por la línea de meta procedente de un defensor. Antes de ejecutarlo, el guardameta pide un cambio de balón por estar desinflado. ¿Debe atenderse esta petición?</t>
  </si>
  <si>
    <t xml:space="preserve">Sí, el balón defectuoso debe sustituirse por otro reglamentario antes de reanudar el juego.</t>
  </si>
  <si>
    <t xml:space="preserve">No, el saque debe ejecutarse con el mismo balón que estaba en juego previamente, esté o no defectuoso.</t>
  </si>
  <si>
    <t xml:space="preserve">Solo si el equipo contrario también está de acuerdo con el cambio de balón.</t>
  </si>
  <si>
    <t xml:space="preserve">Un balón defectuoso debe sustituirse antes de que se reanude el juego, incluida la ejecución de un saque de meta.</t>
  </si>
  <si>
    <t xml:space="preserve">RJ16-038</t>
  </si>
  <si>
    <t xml:space="preserve">Para ejecutar un saque de meta, el guardameta lanza con la mano el balón desde el área de meta. El árbitro...</t>
  </si>
  <si>
    <t xml:space="preserve">Concede tiro libre indirecto al equipo adversario.</t>
  </si>
  <si>
    <t xml:space="preserve">Regla 16.1: el balón «estará en juego en el momento en que haya sido golpeado con el pie y esté claramente en movimiento». Al no golpearse con el pie, el balón no ha entrado en juego y, como cualquier otra infracción de esta regla, se repite el saque.</t>
  </si>
  <si>
    <t xml:space="preserve">Regla 16.1</t>
  </si>
  <si>
    <t xml:space="preserve">RJ16-039</t>
  </si>
  <si>
    <t xml:space="preserve">¿Puede un jugador de campo, y no el guardameta, ejecutar el saque de meta de su equipo?</t>
  </si>
  <si>
    <t xml:space="preserve">Sí, cualquier jugador del equipo.</t>
  </si>
  <si>
    <t xml:space="preserve">No, debe ejecutarlo el guardameta.</t>
  </si>
  <si>
    <t xml:space="preserve">Sí, si el guardameta está lesionado.</t>
  </si>
  <si>
    <t xml:space="preserve">Las Reglas de Juego no exigen que el saque de meta lo ejecute necesariamente el guardameta; puede hacerlo cualquier jugador del equipo defensor.</t>
  </si>
  <si>
    <t xml:space="preserve">RJ16-041</t>
  </si>
  <si>
    <t xml:space="preserve">Un adversario entra deliberadamente en el área penal justo antes de la ejecución de un saque de meta, sin llegar a tocar el balón. El árbitro...</t>
  </si>
  <si>
    <t xml:space="preserve">Exige que salga antes de la ejecución y puede amonestarlo si persiste.</t>
  </si>
  <si>
    <t xml:space="preserve">Permite la ejecución, porque el adversario no ha tocado el balón.</t>
  </si>
  <si>
    <t xml:space="preserve">Concede un tiro libre indirecto al equipo que ejecuta el saque.</t>
  </si>
  <si>
    <t xml:space="preserve">Un adversario no debe entrar en el área penal durante un saque de meta antes de que el balón esté en juego; el árbitro debe exigir que respete esta condición, pudiendo amonestar si persiste.</t>
  </si>
  <si>
    <t xml:space="preserve">RJ16-044</t>
  </si>
  <si>
    <t xml:space="preserve">Un saque de meta se concede, pero el árbitro detecta que el guardameta pretende colocar el balón fuera del área de meta, dentro del resto del área penal, para ejecutar el saque. ¿Es esto correcto?</t>
  </si>
  <si>
    <t xml:space="preserve">No, el saque de meta debe ejecutarse desde un punto dentro del área de meta, no de cualquier otro lugar del área penal.</t>
  </si>
  <si>
    <t xml:space="preserve">Sí, el saque de meta puede ejecutarse desde cualquier punto dentro del área penal, incluido fuera del área de meta.</t>
  </si>
  <si>
    <t xml:space="preserve">Sí, si el guardameta considera que esa posición le da una ventaja táctica para la reanudación.</t>
  </si>
  <si>
    <t xml:space="preserve">El saque de meta debe ejecutarse desde un punto dentro del área de meta del equipo que lo ejecuta, no desde cualquier otro lugar del área penal.</t>
  </si>
  <si>
    <t xml:space="preserve">RJ16-045</t>
  </si>
  <si>
    <t xml:space="preserve">Durante un saque de meta, un adversario situado fuera del área grita repetidamente en el momento de la ejecución para desconcentrar al ejecutor. ¿Puede sancionarlo el árbitro?</t>
  </si>
  <si>
    <t xml:space="preserve">Sí, puede amonestarlo por conducta antideportiva si busca distraer al ejecutor.</t>
  </si>
  <si>
    <t xml:space="preserve">No, porque se encuentra fuera del área penal en el momento de la ejecución.</t>
  </si>
  <si>
    <t xml:space="preserve">Sí, concediendo un tiro libre indirecto al equipo que ejecuta el saque.</t>
  </si>
  <si>
    <t xml:space="preserve">Distraer deliberadamente al ejecutor de una reanudación, incluido un saque de meta, mediante gritos u otras acciones, puede sancionarse como conducta antideportiva, a criterio del árbitro.</t>
  </si>
  <si>
    <t xml:space="preserve">RJ17-001</t>
  </si>
  <si>
    <t xml:space="preserve">Regla 17</t>
  </si>
  <si>
    <t xml:space="preserve">En un saque de esquina, el balón golpea en un poste y entra en la portería mientras un atacante está delante del guardameta, por detrás del penúltimo defensor. El árbitro...</t>
  </si>
  <si>
    <t xml:space="preserve">Anula el gol y concede un saque de meta.</t>
  </si>
  <si>
    <t xml:space="preserve">Anula el gol y concede un tiro libre indirecto por fuera de juego.</t>
  </si>
  <si>
    <t xml:space="preserve">Regla 11: no hay infracción por fuera de juego al recibir el balón directamente de un saque de esquina, y en ese momento nadie puede estar más cerca de la línea de meta que el balón, colocado en el cuadrante. El gol es válido.</t>
  </si>
  <si>
    <t xml:space="preserve">Regla 11 / Regla 17</t>
  </si>
  <si>
    <t xml:space="preserve">RJ17-002</t>
  </si>
  <si>
    <t xml:space="preserve">En la ejecución de un saque de esquina, ¿a qué distancia mínima deben situarse los adversarios del balón hasta que esté en juego?</t>
  </si>
  <si>
    <t xml:space="preserve">En los saques de esquina, los adversarios deben permanecer a una distancia mínima de 9,15 metros del balón hasta que esté en juego, igual que en los tiros libres.</t>
  </si>
  <si>
    <t xml:space="preserve">RJ17-004</t>
  </si>
  <si>
    <t xml:space="preserve">Además de cuando el balón sale por la línea de meta tras tocarlo un defensor, ¿qué dos sanciones dan lugar a un saque de esquina?</t>
  </si>
  <si>
    <t xml:space="preserve">Que el guardameta controle el balón más de ocho segundos o que un jugador retrase su saque de meta.</t>
  </si>
  <si>
    <t xml:space="preserve">Que el guardameta reciba una cesión con el pie o que un jugador retrase un tiro libre.</t>
  </si>
  <si>
    <t xml:space="preserve">Que el guardameta suelte el balón y lo vuelva a coger o que un jugador retrase su saque de banda.</t>
  </si>
  <si>
    <t xml:space="preserve">El árbitro concede saque de esquina si sanciona al guardameta por controlar el balón más de ocho segundos o a un jugador por retrasar su saque de meta.</t>
  </si>
  <si>
    <t xml:space="preserve">Regla 17 / Concesión</t>
  </si>
  <si>
    <t xml:space="preserve">RJ17-007</t>
  </si>
  <si>
    <t xml:space="preserve">Un guardameta es sancionado por controlar el balón con las manos más de ocho segundos dentro de su área, en la zona más cercana al banderín derecho. ¿Dónde se coloca el balón?</t>
  </si>
  <si>
    <t xml:space="preserve">En el cuadrante de esquina del lado izquierdo, por ser el contrario.</t>
  </si>
  <si>
    <t xml:space="preserve">En el punto donde el guardameta soltó el balón.</t>
  </si>
  <si>
    <t xml:space="preserve">En el cuadrante de esquina más cercano al lugar que ocupaba el guardameta.</t>
  </si>
  <si>
    <t xml:space="preserve">El balón se coloca en el cuadrante de esquina más cercano al lugar por el que cruzó la línea o al que ocupaba el guardameta cuando se le sancionó.</t>
  </si>
  <si>
    <t xml:space="preserve">Regla 17.1 / Procedimiento</t>
  </si>
  <si>
    <t xml:space="preserve">RJ17-008</t>
  </si>
  <si>
    <t xml:space="preserve">¿Dónde se coloca el balón en un saque de esquina cuando ha cruzado la línea de meta?</t>
  </si>
  <si>
    <t xml:space="preserve">En el cuadrante de esquina del lado en el que se encontraba el guardameta.</t>
  </si>
  <si>
    <t xml:space="preserve">En el cuadrante de esquina más cercano al lugar por el que cruzó la línea de meta.</t>
  </si>
  <si>
    <t xml:space="preserve">En el punto de la línea de meta más cercano a la esquina.</t>
  </si>
  <si>
    <t xml:space="preserve">El balón se colocará en el cuadrante de esquina más cercano al lugar por el que cruzó la línea de meta.</t>
  </si>
  <si>
    <t xml:space="preserve">RJ17-011</t>
  </si>
  <si>
    <t xml:space="preserve">¿Está permitido mover el poste del banderín de esquina para facilitar la ejecución de un saque de esquina?</t>
  </si>
  <si>
    <t xml:space="preserve">No, no se deberá mover el poste del banderín.</t>
  </si>
  <si>
    <t xml:space="preserve">Sí, si lo autoriza el árbitro antes de la ejecución.</t>
  </si>
  <si>
    <t xml:space="preserve">Sí, si se vuelve a colocar tras el saque.</t>
  </si>
  <si>
    <t xml:space="preserve">En la ejecución del saque de esquina no se deberá mover el poste del banderín.</t>
  </si>
  <si>
    <t xml:space="preserve">RJ17-017</t>
  </si>
  <si>
    <t xml:space="preserve">Un jugador retrasa injustamente la ejecución de un saque de meta de su equipo y el árbitro se lo concede finalmente al equipo adversario tras la cuenta atrás. ¿Con qué saque se reanuda el juego?</t>
  </si>
  <si>
    <t xml:space="preserve">Con un saque de esquina a favor del equipo adversario.</t>
  </si>
  <si>
    <t xml:space="preserve">Con un saque de meta a favor del equipo adversario.</t>
  </si>
  <si>
    <t xml:space="preserve">Con un tiro libre indirecto a favor del equipo adversario.</t>
  </si>
  <si>
    <t xml:space="preserve">Sancionar a un jugador por retrasar la ejecución de un saque de meta de su equipo es, junto con el balón que cruza la línea de meta tras tocarlo un defensor, una de las causas por las que se concede un saque de esquina.</t>
  </si>
  <si>
    <t xml:space="preserve">RJ17-019</t>
  </si>
  <si>
    <t xml:space="preserve">Un jugador ejecuta un saque de esquina y el balón, tras rozar levemente el banderín de esquina, continúa su trayectoria hacia el área. ¿Es válido el saque?</t>
  </si>
  <si>
    <t xml:space="preserve">Sí, el contacto leve con el banderín no invalida el saque de esquina.</t>
  </si>
  <si>
    <t xml:space="preserve">No, cualquier contacto con el banderín obliga a repetir el saque.</t>
  </si>
  <si>
    <t xml:space="preserve">No, se concede un saque de meta al equipo defensor por el contacto con el banderín.</t>
  </si>
  <si>
    <t xml:space="preserve">El poste del banderín de esquina no debe moverse durante la ejecución, pero un contacto leve del balón con él no invalida el saque.</t>
  </si>
  <si>
    <t xml:space="preserve">RJ17-020</t>
  </si>
  <si>
    <t xml:space="preserve">Antes de un saque de esquina, un defensor se sitúa deliberadamente a menos de 9,15 m del cuadrante de esquina. El árbitro...</t>
  </si>
  <si>
    <t xml:space="preserve">Le advierte y, si persiste, lo amonesta.</t>
  </si>
  <si>
    <t xml:space="preserve">Lo expulsa por no respetar la distancia.</t>
  </si>
  <si>
    <t xml:space="preserve">No puede actuar hasta que se ejecute el saque.</t>
  </si>
  <si>
    <t xml:space="preserve">Los adversarios deben respetar la distancia mínima de 9,15 m en un saque de esquina; el incumplimiento persistente tras la advertencia del árbitro se sanciona con amonestación.</t>
  </si>
  <si>
    <t xml:space="preserve">RJ17-022</t>
  </si>
  <si>
    <t xml:space="preserve">Un jugador ejecuta un saque de esquina y, antes de que el balón esté en juego, un adversario situado a menos de 9,15 m lo toca deliberadamente. ¿Qué decide el árbitro?</t>
  </si>
  <si>
    <t xml:space="preserve">Ordena repetir el saque y amonesta al adversario.</t>
  </si>
  <si>
    <t xml:space="preserve">Concede tiro libre indirecto al equipo atacante.</t>
  </si>
  <si>
    <t xml:space="preserve">Concede tiro libre directo al equipo atacante.</t>
  </si>
  <si>
    <t xml:space="preserve">Regla 17.2: «Si se cometiera cualquier otra infracción de esta regla, se repetirá el saque». No respetar la distancia reglamentaria en un saque de esquina se sanciona con amonestación (Regla 12.3).</t>
  </si>
  <si>
    <t xml:space="preserve">RJ17-025</t>
  </si>
  <si>
    <t xml:space="preserve">¿Puede ejecutarse rápidamente un saque de esquina antes de que los adversarios se hayan retirado a la distancia reglamentaria?</t>
  </si>
  <si>
    <t xml:space="preserve">Sí, puede ejecutarse rápidamente.</t>
  </si>
  <si>
    <t xml:space="preserve">No, el árbitro debe autorizarlo antes.</t>
  </si>
  <si>
    <t xml:space="preserve">No, debe esperarse a que estén a 9,15 m.</t>
  </si>
  <si>
    <t xml:space="preserve">Un saque de esquina puede ejecutarse de forma rápida; los adversarios deben cumplir la distancia reglamentaria, pero ello no impide la ejecución inmediata si ya se respeta.</t>
  </si>
  <si>
    <t xml:space="preserve">RJ17-026</t>
  </si>
  <si>
    <t xml:space="preserve">El ejecutor de un saque de esquina coloca el balón fuera del cuadrante de esquina y lo pone en juego. El árbitro...</t>
  </si>
  <si>
    <t xml:space="preserve">Ordena repetir el saque de esquina.</t>
  </si>
  <si>
    <t xml:space="preserve">Concede saque de meta al equipo defensor.</t>
  </si>
  <si>
    <t xml:space="preserve">Concede tiro libre indirecto al equipo defensor.</t>
  </si>
  <si>
    <t xml:space="preserve">Regla 17: «El balón se colocará en el cuadrante de esquina más cercano al lugar por el que cruzó la línea de meta». «Si se cometiera cualquier otra infracción de esta regla, se repetirá el saque».</t>
  </si>
  <si>
    <t xml:space="preserve">Regla 17.1</t>
  </si>
  <si>
    <t xml:space="preserve">RJ17-027</t>
  </si>
  <si>
    <t xml:space="preserve">El poste del banderín de esquina se cae accidentalmente antes de un saque de esquina desde ese lado. ¿Puede ejecutarse el saque?</t>
  </si>
  <si>
    <t xml:space="preserve">Sí, si el lugar de ejecución queda claramente determinado.</t>
  </si>
  <si>
    <t xml:space="preserve">No, hasta que el banderín se coloque de nuevo en su sitio.</t>
  </si>
  <si>
    <t xml:space="preserve">No, el partido se detiene hasta que se reponga el banderín.</t>
  </si>
  <si>
    <t xml:space="preserve">El poste del banderín de esquina no debe retirarse durante el partido, pero si se cae accidentalmente el saque puede ejecutarse igualmente si el lugar queda determinado con claridad.</t>
  </si>
  <si>
    <t xml:space="preserve">RJ17-028</t>
  </si>
  <si>
    <t xml:space="preserve">En un saque de esquina, el balón se mueve con claridad tras el golpeo y sale por la línea de banda sin que nadie lo toque. ¿Cómo se reanuda el juego?</t>
  </si>
  <si>
    <t xml:space="preserve">Con un nuevo saque de esquina desde el mismo cuadrante.</t>
  </si>
  <si>
    <t xml:space="preserve">Con un saque de banda a favor del equipo adversario.</t>
  </si>
  <si>
    <t xml:space="preserve">Regla 17 (pág. 81): el balón estará en juego una vez haya sido golpeado con el pie y se mueva con claridad; no es necesario que salga del cuadrante. Si después sale por la línea de banda, corresponde saque de banda al adversario.</t>
  </si>
  <si>
    <t xml:space="preserve">RJ17-029</t>
  </si>
  <si>
    <t xml:space="preserve">En un saque de esquina, ¿puede el ejecutor golpear el balón con el tacón, siempre que se mueva claramente hacia delante?</t>
  </si>
  <si>
    <t xml:space="preserve">Sí, cualquier forma de golpear el balón es válida siempre que se mueva con claridad.</t>
  </si>
  <si>
    <t xml:space="preserve">No, el balón únicamente puede golpearse con la parte interior o exterior del pie.</t>
  </si>
  <si>
    <t xml:space="preserve">No, el saque de esquina exige que el balón sea impulsado exclusivamente con ambas manos.</t>
  </si>
  <si>
    <t xml:space="preserve">No existe una restricción sobre la forma de golpear el balón en un saque de esquina, siempre que se mueva claramente tras el contacto.</t>
  </si>
  <si>
    <t xml:space="preserve">RJ17-030</t>
  </si>
  <si>
    <t xml:space="preserve">Dentro de su propia área, un defensor toca deliberadamente con la mano un balón que procede directamente de un saque de esquina. El árbitro...</t>
  </si>
  <si>
    <t xml:space="preserve">Una infracción por mano deliberada dentro del área propia se sanciona con tiro penal, con independencia de que el balón procediera de un saque de esquina.</t>
  </si>
  <si>
    <t xml:space="preserve">RJ17-031</t>
  </si>
  <si>
    <t xml:space="preserve">En un saque de esquina, el guardameta defensor quiere situarse junto al banderín para dificultar la ejecución. El árbitro...</t>
  </si>
  <si>
    <t xml:space="preserve">No lo permite: debe estar a 9,15 m del cuadrante como mínimo.</t>
  </si>
  <si>
    <t xml:space="preserve">Lo permite, porque el guardameta no tiene una posición fija.</t>
  </si>
  <si>
    <t xml:space="preserve">Lo permite, si no toca el balón antes de que se ejecute el saque.</t>
  </si>
  <si>
    <t xml:space="preserve">Regla 17 (pág. 81): los adversarios, guardameta incluido, deberán permanecer a un mínimo de 9,15 m del cuadrante de esquina hasta que el balón esté en juego.</t>
  </si>
  <si>
    <t xml:space="preserve">RJ17-033</t>
  </si>
  <si>
    <t xml:space="preserve">En un saque de esquina, un adversario se sitúa deliberadamente frente al ejecutor, a menos de 9,15 m, para intentar interceptar el balón. Antes de la ejecución, el árbitro...</t>
  </si>
  <si>
    <t xml:space="preserve">Le advierte que respete la distancia y, si persiste, lo amonesta.</t>
  </si>
  <si>
    <t xml:space="preserve">Lo expulsa por interferir en la ejecución del saque de esquina.</t>
  </si>
  <si>
    <t xml:space="preserve">No puede actuar hasta que el saque se haya ejecutado.</t>
  </si>
  <si>
    <t xml:space="preserve">El árbitro debe hacer respetar la distancia de 9,15 m en los saques de esquina, amonestando a quien persista en no respetarla tras ser advertido.</t>
  </si>
  <si>
    <t xml:space="preserve">RJ17-034</t>
  </si>
  <si>
    <t xml:space="preserve">Un saque de esquina lo ejecuta un jugador distinto del que había indicado el entrenador. ¿Es válido?</t>
  </si>
  <si>
    <t xml:space="preserve">Sí, puede ejecutarlo cualquier jugador.</t>
  </si>
  <si>
    <t xml:space="preserve">No, debe ejecutarlo el jugador designado.</t>
  </si>
  <si>
    <t xml:space="preserve">No, debe ejecutarlo el capitán del equipo.</t>
  </si>
  <si>
    <t xml:space="preserve">Las Reglas de Juego no exigen que un jugador concreto ejecute el saque de esquina; puede hacerlo cualquier jugador del equipo atacante.</t>
  </si>
  <si>
    <t xml:space="preserve">RJ17-035</t>
  </si>
  <si>
    <t xml:space="preserve">El balón, tras un saque de esquina, entra directamente en la portería del equipo defensor y, simultáneamente, un defensor comete una infracción dentro del área que el árbitro no había visto. ¿Qué prevalece?</t>
  </si>
  <si>
    <t xml:space="preserve">El árbitro concederá el gol si este llegó a producirse con normalidad, salvo que la infracción hubiera impedido la jugada.</t>
  </si>
  <si>
    <t xml:space="preserve">Siempre prevalece la infracción del defensor, anulando el gol en cualquier caso.</t>
  </si>
  <si>
    <t xml:space="preserve">El árbitro debe repetir el saque de esquina en todos los casos donde exista una infracción no vista de inicio.</t>
  </si>
  <si>
    <t xml:space="preserve">Si el gol se produce con normalidad, prevalece la concesión del gol, salvo que la infracción hubiera determinado o impedido directamente la jugada.</t>
  </si>
  <si>
    <t xml:space="preserve">RJ17-036</t>
  </si>
  <si>
    <t xml:space="preserve">Un jugador ejecuta un saque de esquina con el balón colocado fuera del cuadrante y el balón entra directamente en la portería. El árbitro...</t>
  </si>
  <si>
    <t xml:space="preserve">Anula el gol y ordena repetir el saque de esquina.</t>
  </si>
  <si>
    <t xml:space="preserve">Anula el gol y concede un tiro libre indirecto.</t>
  </si>
  <si>
    <t xml:space="preserve">Si el saque de esquina se ejecuta desde un lugar incorrecto, el árbitro debe ordenar su repetición desde el lugar correcto, sin que el gol resultante sea válido.</t>
  </si>
  <si>
    <t xml:space="preserve">RJ17-038</t>
  </si>
  <si>
    <t xml:space="preserve">Durante un saque de esquina, un suplente cuya sustitución ya se ha solicitado entra en el terreno de juego sin la señal del árbitro para participar en la jugada. ¿Es sancionable?</t>
  </si>
  <si>
    <t xml:space="preserve">Sí, no puede entrar sin la señal del árbitro.</t>
  </si>
  <si>
    <t xml:space="preserve">No, la sustitución ya estaba solicitada.</t>
  </si>
  <si>
    <t xml:space="preserve">Solo si llega a tocar el balón en la jugada.</t>
  </si>
  <si>
    <t xml:space="preserve">Un suplente solo puede entrar en el terreno de juego tras recibir la señal del árbitro, con independencia de que la sustitución ya estuviera en trámite; entrar antes de esa señal es sancionable conforme a las disposiciones generales sobre sustituciones.</t>
  </si>
  <si>
    <t xml:space="preserve">RJ17-040</t>
  </si>
  <si>
    <t xml:space="preserve">Un adversario, situado dentro del terreno de juego pero a más de 9,15 m del banderín de esquina, se desplaza deliberadamente hacia el punto de ejecución justo cuando el balón ya está en juego, interceptándolo antes de que llegue a otro jugador. ¿Es esto sancionable?</t>
  </si>
  <si>
    <t xml:space="preserve">No, una vez en juego el balón, el adversario puede moverse y disputarlo libremente, salvo otra infracción.</t>
  </si>
  <si>
    <t xml:space="preserve">Sí, cualquier desplazamiento hacia el punto de ejecución tras un saque de esquina es sancionable.</t>
  </si>
  <si>
    <t xml:space="preserve">Sí, se sanciona con amonestación por no haber respetado inicialmente la distancia.</t>
  </si>
  <si>
    <t xml:space="preserve">La exigencia de distancia mínima rige hasta que el balón esté en juego; una vez en juego, los adversarios pueden moverse con normalidad y disputar el balón, salvo que cometan otra infracción distinta.</t>
  </si>
  <si>
    <t xml:space="preserve">RJ17-041</t>
  </si>
  <si>
    <t xml:space="preserve">Antes de ejecutarse un saque de esquina, el árbitro detecta que el balón no cumple las especificaciones de la Regla 2. El árbitro...</t>
  </si>
  <si>
    <t xml:space="preserve">Lo sustituye por otro reglamentario antes de la ejecución.</t>
  </si>
  <si>
    <t xml:space="preserve">Permite la ejecución, porque ningún equipo lo ha reclamado.</t>
  </si>
  <si>
    <t xml:space="preserve">Permite la ejecución y lo sustituye en la siguiente interrupción.</t>
  </si>
  <si>
    <t xml:space="preserve">El balón debe cumplir en todo momento las especificaciones de la Regla 2; el árbitro debe sustituirlo antes de autorizar la ejecución de cualquier reanudación, incluido un saque de esquina.</t>
  </si>
  <si>
    <t xml:space="preserve">GL-001</t>
  </si>
  <si>
    <t xml:space="preserve">Glosario</t>
  </si>
  <si>
    <t xml:space="preserve">Según el Glosario, los dispositivos de detección automática de goles (DAG) informan al árbitro sobre la validez de un gol:</t>
  </si>
  <si>
    <t xml:space="preserve">Inmediatamente.</t>
  </si>
  <si>
    <t xml:space="preserve">En el lapso de un segundo.</t>
  </si>
  <si>
    <t xml:space="preserve">En el lapso de tres segundos.</t>
  </si>
  <si>
    <t xml:space="preserve">Glosario (pág. 108): «Dispositivos electrónicos que informan inmediatamente al árbitro sobre la validez de un gol, es decir, si el balón ha atravesado completamente la línea de meta. Más información en la Regla n.º 1».</t>
  </si>
  <si>
    <t xml:space="preserve">Glosario / Regla 1</t>
  </si>
  <si>
    <t xml:space="preserve">GL-002</t>
  </si>
  <si>
    <t xml:space="preserve">Según el Glosario, el «cuerpo técnico» es el conjunto de miembros oficiales del equipo que, sin contar a los jugadores, figuran en la lista oficial, tales como:</t>
  </si>
  <si>
    <t xml:space="preserve">El entrenador, el fisioterapeuta o el médico.</t>
  </si>
  <si>
    <t xml:space="preserve">Los suplentes, el entrenador o el médico.</t>
  </si>
  <si>
    <t xml:space="preserve">Los directivos que no figuran en la lista.</t>
  </si>
  <si>
    <t xml:space="preserve">Glosario (pág. 108): «Conjunto de miembros oficiales del equipo que, sin contar a los jugadores, figuran en la lista oficial, tales como el entrenador, el fisioterapeuta o el médico».</t>
  </si>
  <si>
    <t xml:space="preserve">GL-004</t>
  </si>
  <si>
    <t xml:space="preserve">Según el Glosario, ¿cuál es la definición de 'agente externo'?</t>
  </si>
  <si>
    <t xml:space="preserve">Toda persona ajena al equipo arbitral o no inscrita en la lista del equipo, incluyendo también animales, objetos o estructuras.</t>
  </si>
  <si>
    <t xml:space="preserve">Toda persona ajena al equipo arbitral o no inscrita en la lista del equipo, sin incluir animales, objetos o estructuras.</t>
  </si>
  <si>
    <t xml:space="preserve">Los espectadores y demás personas que invaden el terreno de juego durante el partido, sin incluir objetos.</t>
  </si>
  <si>
    <t xml:space="preserve">El Glosario define agente externo como cualquier persona ajena al equipo arbitral o no inscrita en la lista del equipo, incluyendo también animales, objetos o estructuras.</t>
  </si>
  <si>
    <t xml:space="preserve">GL-005</t>
  </si>
  <si>
    <t xml:space="preserve">Según el Glosario, ¿cómo se define «infracción»?</t>
  </si>
  <si>
    <t xml:space="preserve">Acción que vulnera las Reglas de Juego, también denominada «falta».</t>
  </si>
  <si>
    <t xml:space="preserve">Acción que vulnera las Reglas de Juego, sancionable con expulsión.</t>
  </si>
  <si>
    <t xml:space="preserve">Acción intencionada que vulnera las Reglas de Juego, distinta de la «falta».</t>
  </si>
  <si>
    <t xml:space="preserve">El Glosario define infracción como la acción que vulnera las Reglas de Juego, también denominada «falta».</t>
  </si>
  <si>
    <t xml:space="preserve">Glosario / Infracción</t>
  </si>
  <si>
    <t xml:space="preserve">GL-006</t>
  </si>
  <si>
    <t xml:space="preserve">Según el Glosario, ¿en qué consiste la regla de los goles marcados fuera de casa?</t>
  </si>
  <si>
    <t xml:space="preserve">Método para decidir el ganador de una eliminatoria a doble partido con el mismo número de goles, contando doble los marcados fuera de casa.</t>
  </si>
  <si>
    <t xml:space="preserve">Método por el que gana el equipo que jugó como visitante en el partido de ida, si el resultado global queda empatado.</t>
  </si>
  <si>
    <t xml:space="preserve">Procedimiento de desempate alternativo a la tanda de penales, que se aplica si ambas competiciones lo acuerdan expresamente.</t>
  </si>
  <si>
    <t xml:space="preserve">La regla de los goles marcados fuera de casa dilucida al ganador de una eliminatoria a doble partido empatada en goles, contando doble los goles marcados fuera de casa.</t>
  </si>
  <si>
    <t xml:space="preserve">Glosario / Goles marcados fuera de casa</t>
  </si>
  <si>
    <t xml:space="preserve">GL-007</t>
  </si>
  <si>
    <t xml:space="preserve">Según el Glosario, ¿cómo se define el lenguaje o las acciones ofensivas, insultantes o humillantes y cuál es su sanción?</t>
  </si>
  <si>
    <t xml:space="preserve">Expresiones verbales o conductas de carácter denigrante, hiriente o irrespetuoso, sancionables con expulsión.</t>
  </si>
  <si>
    <t xml:space="preserve">Expresiones verbales o conductas de carácter denigrante, hiriente o irrespetuoso, sancionables con amonestación.</t>
  </si>
  <si>
    <t xml:space="preserve">Conductas físicas de carácter denigrante, sancionables con expulsión, pero no las expresiones verbales.</t>
  </si>
  <si>
    <t xml:space="preserve">El lenguaje o las acciones ofensivas, insultantes o humillantes son expresiones verbales o conductas denigrantes, hirientes o irrespetuosas, sancionables con expulsión.</t>
  </si>
  <si>
    <t xml:space="preserve">Glosario / Lenguaje o acciones ofensivas, insultantes o humillantes</t>
  </si>
  <si>
    <t xml:space="preserve">GL-008</t>
  </si>
  <si>
    <t xml:space="preserve">Según el Glosario, la tecnología semiautomatizada para la detección del fuera de juego:</t>
  </si>
  <si>
    <t xml:space="preserve">Envía al instante a los VAR información sobre posiciones de fuera de juego y, en su versión avanzada, también a los asistentes.</t>
  </si>
  <si>
    <t xml:space="preserve">Sustituye la decisión del árbitro asistente en cualquier jugada de fuera de juego, sin intervención del VAR ni del árbitro.</t>
  </si>
  <si>
    <t xml:space="preserve">Informa solo al árbitro principal sobre posiciones de fuera de juego, sin comunicación con el resto del equipo arbitral.</t>
  </si>
  <si>
    <t xml:space="preserve">Esta tecnología envía información al instante sobre posiciones de fuera de juego a los VAR y, en versión avanzada, también a los árbitros asistentes.</t>
  </si>
  <si>
    <t xml:space="preserve">Glosario / Tecnología semiautomatizada para la detección del fuera de juego</t>
  </si>
  <si>
    <t xml:space="preserve">GL-009</t>
  </si>
  <si>
    <t xml:space="preserve">Según el Glosario, ¿qué es el sistema electrónico de seguimiento del rendimiento (EPTS)?</t>
  </si>
  <si>
    <t xml:space="preserve">Cualquiera de los diferentes dispositivos o sistemas de registro y análisis sobre el rendimiento físico y fisiológico de un jugador.</t>
  </si>
  <si>
    <t xml:space="preserve">Dispositivo instalado en el balón para verificar si ha atravesado completamente la línea de meta durante el partido.</t>
  </si>
  <si>
    <t xml:space="preserve">Sistema de comunicación entre el árbitro y el VAR durante el proceso de revisión de una jugada dudosa.</t>
  </si>
  <si>
    <t xml:space="preserve">El EPTS agrupa los dispositivos o sistemas de registro y análisis del rendimiento físico y fisiológico de un jugador.</t>
  </si>
  <si>
    <t xml:space="preserve">Glosario / Sistema electrónico de seguimiento del rendimiento (EPTS)</t>
  </si>
  <si>
    <t xml:space="preserve">GL-010</t>
  </si>
  <si>
    <t xml:space="preserve">Según el Glosario, ¿cómo se define el «tiro libre directo»?</t>
  </si>
  <si>
    <t xml:space="preserve">Golpeo del balón para ejecutar un lanzamiento de falta con el que se puede marcar gol directamente en la portería adversaria sin que el balón toque a ningún otro jugador.</t>
  </si>
  <si>
    <t xml:space="preserve">Golpeo del balón para ejecutar un lanzamiento de falta con el que solo se puede marcar gol si otro jugador toca el balón antes de que entre en la portería.</t>
  </si>
  <si>
    <t xml:space="preserve">Golpeo del balón ejecutado dentro del área penal propia por el guardameta, sin restricción sobre el toque de otros jugadores.</t>
  </si>
  <si>
    <t xml:space="preserve">El tiro libre directo permite marcar gol directamente en la portería adversaria sin que el balón toque a ningún otro jugador.</t>
  </si>
  <si>
    <t xml:space="preserve">Glosario / Tiro libre directo</t>
  </si>
  <si>
    <t xml:space="preserve">GL-011</t>
  </si>
  <si>
    <t xml:space="preserve">Según el Glosario, el «tiro libre indirecto» es un lanzamiento de falta con el que:</t>
  </si>
  <si>
    <t xml:space="preserve">Solo se puede marcar gol si otro jugador, de cualquiera de los dos equipos, toca el balón después.</t>
  </si>
  <si>
    <t xml:space="preserve">Se puede marcar gol en la portería adversaria sin que ningún otro jugador toque el balón.</t>
  </si>
  <si>
    <t xml:space="preserve">Solo se puede marcar gol si otro jugador del equipo que lo ejecuta toca el balón después.</t>
  </si>
  <si>
    <t xml:space="preserve">El tiro libre indirecto solo permite marcar gol si otro jugador, de cualquiera de los dos equipos, toca el balón después del lanzamiento.</t>
  </si>
  <si>
    <t xml:space="preserve">Glosario / Tiro libre indirecto</t>
  </si>
  <si>
    <t xml:space="preserve">GL-012</t>
  </si>
  <si>
    <t xml:space="preserve">Según el Glosario, ¿qué conforman los «miembros del equipo arbitral de vídeo»?</t>
  </si>
  <si>
    <t xml:space="preserve">El conjunto de VAR y AVAR que asisten al árbitro de conformidad con las Reglas de Juego y el Protocolo del VAR.</t>
  </si>
  <si>
    <t xml:space="preserve">El conjunto de árbitros asistentes y árbitros asistentes adicionales que ayudan al árbitro principal dentro del terreno de juego.</t>
  </si>
  <si>
    <t xml:space="preserve">El conjunto formado por el técnico de repeticiones y el cuarto árbitro, que asisten al árbitro principal desde la sala de vídeo.</t>
  </si>
  <si>
    <t xml:space="preserve">Los miembros del equipo arbitral de vídeo son el conjunto de VAR y AVAR que asisten al árbitro conforme a las Reglas de Juego y el Protocolo del VAR.</t>
  </si>
  <si>
    <t xml:space="preserve">Glosario / Miembros del equipo arbitral de vídeo</t>
  </si>
  <si>
    <t xml:space="preserve">GL-013</t>
  </si>
  <si>
    <t xml:space="preserve">Según el Glosario, ¿qué es la «advertencia»?</t>
  </si>
  <si>
    <t xml:space="preserve">Sanción disciplinaria comunicada con tarjeta amarilla y de la que se da parte a la autoridad competente.</t>
  </si>
  <si>
    <t xml:space="preserve">Acto por el que el árbitro censura al infractor y lo anota en el acta sin comunicárselo.</t>
  </si>
  <si>
    <t xml:space="preserve">Acto por el que el árbitro apercibe y censura verbalmente al infractor, que no recibe sanción alguna por la infracción.</t>
  </si>
  <si>
    <t xml:space="preserve">El Glosario define la advertencia (o apercibimiento) como censura verbal sin sanción alguna.</t>
  </si>
  <si>
    <t xml:space="preserve">Glosario / Advertencia</t>
  </si>
  <si>
    <t xml:space="preserve">GL-014</t>
  </si>
  <si>
    <t xml:space="preserve">Según el Glosario, ¿cuál es la definición de «amonestación»?</t>
  </si>
  <si>
    <t xml:space="preserve">Sanción disciplinaria comunicada con tarjeta amarilla; dos en un mismo partido a un mismo jugador dan lugar a su expulsión.</t>
  </si>
  <si>
    <t xml:space="preserve">Sanción disciplinaria comunicada con tarjeta roja; dos en un mismo partido dan lugar a la suspensión del jugador.</t>
  </si>
  <si>
    <t xml:space="preserve">Censura verbal sin sanción alguna; dos en un mismo partido a un mismo jugador dan lugar a su expulsión.</t>
  </si>
  <si>
    <t xml:space="preserve">La amonestación es la sanción que se comunica con tarjeta amarilla; dos en el mismo partido conllevan expulsión.</t>
  </si>
  <si>
    <t xml:space="preserve">Glosario / Amonestación</t>
  </si>
  <si>
    <t xml:space="preserve">GL-015</t>
  </si>
  <si>
    <t xml:space="preserve">Según el Glosario, ¿cómo se define un «ataque prometedor»?</t>
  </si>
  <si>
    <t xml:space="preserve">Fase del juego caracterizada por su inminencia potencial de cara a la portería contraria.</t>
  </si>
  <si>
    <t xml:space="preserve">Fase del juego en la que un atacante se encuentra solo ante el guardameta.</t>
  </si>
  <si>
    <t xml:space="preserve">Fase del juego en la que un equipo dispone de superioridad numérica en el área penal.</t>
  </si>
  <si>
    <t xml:space="preserve">Ataque prometedor es la fase del juego caracterizada por su inminencia potencial de cara a la portería contraria.</t>
  </si>
  <si>
    <t xml:space="preserve">Glosario / Ataque prometedor</t>
  </si>
  <si>
    <t xml:space="preserve">GL-016</t>
  </si>
  <si>
    <t xml:space="preserve">Según el Glosario, ¿cuál es la definición de «balón a tierra»?</t>
  </si>
  <si>
    <t xml:space="preserve">Reanudación del juego tras detenerlo el árbitro sin que se haya cometido ninguna infracción, por ejemplo por lesión o balón defectuoso.</t>
  </si>
  <si>
    <t xml:space="preserve">Reanudación del juego tras detenerlo el árbitro por una infracción cometida por un jugador que no merece sanción.</t>
  </si>
  <si>
    <t xml:space="preserve">Reanudación del juego tras detenerlo el árbitro por una lesión o un balón defectuoso, y no por otros motivos.</t>
  </si>
  <si>
    <t xml:space="preserve">El balón a tierra es la reanudación tras detener el árbitro el juego sin infracción, p. ej. por lesión o balón defectuoso.</t>
  </si>
  <si>
    <t xml:space="preserve">Glosario / Balón a tierra</t>
  </si>
  <si>
    <t xml:space="preserve">GL-017</t>
  </si>
  <si>
    <t xml:space="preserve">Según el Glosario, ¿qué se entiende por «brutalidad»?</t>
  </si>
  <si>
    <t xml:space="preserve">Acción realizada sin tener en cuenta el riesgo para el adversario.</t>
  </si>
  <si>
    <t xml:space="preserve">Acción en la que se muestra falta de atención o de consideración hacia el adversario.</t>
  </si>
  <si>
    <t xml:space="preserve">Acción especialmente dura, desmesurada o premeditadamente violenta.</t>
  </si>
  <si>
    <t xml:space="preserve">El Glosario define brutalidad como acción especialmente dura, desmesurada o premeditadamente violenta.</t>
  </si>
  <si>
    <t xml:space="preserve">Glosario / Brutalidad</t>
  </si>
  <si>
    <t xml:space="preserve">GL-018</t>
  </si>
  <si>
    <t xml:space="preserve">Según el Glosario, ¿qué establece sobre las camisetas de los jugadores de un mismo equipo?</t>
  </si>
  <si>
    <t xml:space="preserve">Salvo por la longitud de las mangas, serán iguales, con excepción del guardameta, cuya camiseta debe distinguirlo.</t>
  </si>
  <si>
    <t xml:space="preserve">Serán idénticas en todos los casos, incluida la longitud de las mangas y la camiseta del guardameta.</t>
  </si>
  <si>
    <t xml:space="preserve">Serán iguales, aunque el guardameta podrá usar el mismo color que sus compañeros si el árbitro lo autoriza.</t>
  </si>
  <si>
    <t xml:space="preserve">Las camisetas de un equipo serán iguales salvo la longitud de las mangas y salvo la del guardameta, que debe distinguirlo.</t>
  </si>
  <si>
    <t xml:space="preserve">Glosario / Camiseta</t>
  </si>
  <si>
    <t xml:space="preserve">GL-019</t>
  </si>
  <si>
    <t xml:space="preserve">Según el Glosario, ¿qué es una «carga»?</t>
  </si>
  <si>
    <t xml:space="preserve">Pugna física contra un adversario en la que generalmente se utiliza el hombro y la parte superior del brazo, que se mantiene cerca del cuerpo.</t>
  </si>
  <si>
    <t xml:space="preserve">Pugna física contra un adversario en la que generalmente se utiliza el pie, dirigido al balón a ras del suelo o por el aire.</t>
  </si>
  <si>
    <t xml:space="preserve">Acción con la que un jugador pugna con un adversario por un balón cercano con el fin de arrebatárselo, utilizando cualquier parte del cuerpo.</t>
  </si>
  <si>
    <t xml:space="preserve">La carga es la pugna física con hombro y parte superior del brazo pegado al cuerpo.</t>
  </si>
  <si>
    <t xml:space="preserve">Glosario / Carga</t>
  </si>
  <si>
    <t xml:space="preserve">GL-020</t>
  </si>
  <si>
    <t xml:space="preserve">Según el Glosario, ¿qué es una «entrada»?</t>
  </si>
  <si>
    <t xml:space="preserve">Disputa con el pie por el balón con un adversario, a ras del suelo o por el aire.</t>
  </si>
  <si>
    <t xml:space="preserve">Pugna física contra un adversario en la que se utiliza el hombro y el brazo pegado al cuerpo.</t>
  </si>
  <si>
    <t xml:space="preserve">Acción de detener o desviar un balón dirigido a la portería con cualquier parte del cuerpo.</t>
  </si>
  <si>
    <t xml:space="preserve">El Glosario define la entrada como disputa con el pie por el balón (a ras del suelo o por el aire).</t>
  </si>
  <si>
    <t xml:space="preserve">Glosario / Entrada</t>
  </si>
  <si>
    <t xml:space="preserve">GL-021</t>
  </si>
  <si>
    <t xml:space="preserve">Según el Glosario, ¿qué es una «disputa»?</t>
  </si>
  <si>
    <t xml:space="preserve">Acción con la que un jugador impide que el balón de un adversario llegue al destino pretendido.</t>
  </si>
  <si>
    <t xml:space="preserve">Disputa con el pie por el balón, a ras del suelo o por el aire.</t>
  </si>
  <si>
    <t xml:space="preserve">Acción con la que un jugador pugna con un adversario por un balón cercano con el fin de arrebatárselo.</t>
  </si>
  <si>
    <t xml:space="preserve">Disputa es la acción con la que un jugador pugna con un adversario por un balón cercano para arrebatárselo.</t>
  </si>
  <si>
    <t xml:space="preserve">Glosario / Disputa</t>
  </si>
  <si>
    <t xml:space="preserve">GL-022</t>
  </si>
  <si>
    <t xml:space="preserve">Según el Glosario, ¿qué es el «chequeo»?</t>
  </si>
  <si>
    <t xml:space="preserve">Análisis y valoración por parte del VAR de las imágenes de televisión relativas a goles, penales, tarjetas rojas directas o confusiones de identidad.</t>
  </si>
  <si>
    <t xml:space="preserve">Análisis final por parte del árbitro principal de las imágenes de televisión en el área de revisión situada junto al terreno de juego.</t>
  </si>
  <si>
    <t xml:space="preserve">Análisis del árbitro asistente de vídeo de cualquier decisión tomada por el árbitro durante el partido.</t>
  </si>
  <si>
    <t xml:space="preserve">El chequeo es el análisis del VAR de las imágenes por decisiones sobre goles, penales, rojas directas o confusiones de identidad.</t>
  </si>
  <si>
    <t xml:space="preserve">Glosario / Chequeo</t>
  </si>
  <si>
    <t xml:space="preserve">GL-023</t>
  </si>
  <si>
    <t xml:space="preserve">Según el Glosario, una «revisión» es:</t>
  </si>
  <si>
    <t xml:space="preserve">El análisis por el VAR de las imágenes de televisión de una decisión controvertida, sin que el árbitro acuda al área de revisión.</t>
  </si>
  <si>
    <t xml:space="preserve">El análisis por el árbitro asistente adicional de una decisión de gol o no gol, que comunica después al árbitro principal.</t>
  </si>
  <si>
    <t xml:space="preserve">El análisis final por el árbitro de las imágenes de un posible error claro, obvio y manifiesto o incidente grave inadvertido.</t>
  </si>
  <si>
    <t xml:space="preserve">La revisión es el análisis final del árbitro principal en el área de revisión de un posible error claro o incidente grave inadvertido.</t>
  </si>
  <si>
    <t xml:space="preserve">Glosario / Revisión</t>
  </si>
  <si>
    <t xml:space="preserve">GL-024</t>
  </si>
  <si>
    <t xml:space="preserve">Según el Glosario, la «conducta antideportiva» es una acción o comportamiento:</t>
  </si>
  <si>
    <t xml:space="preserve">Contrario al juego limpio y la deportividad, sancionable con amonestación.</t>
  </si>
  <si>
    <t xml:space="preserve">Contrario al juego limpio y la deportividad, sancionable con expulsión.</t>
  </si>
  <si>
    <t xml:space="preserve">Con fuerza excesiva o brutalidad contra un adversario sin disputar el balón.</t>
  </si>
  <si>
    <t xml:space="preserve">La conducta antideportiva es la contraria al juego limpio y la deportividad, sancionable con amonestación.</t>
  </si>
  <si>
    <t xml:space="preserve">Glosario / Conducta antideportiva</t>
  </si>
  <si>
    <t xml:space="preserve">GL-025</t>
  </si>
  <si>
    <t xml:space="preserve">Según el Glosario, la «conducta violenta» es:</t>
  </si>
  <si>
    <t xml:space="preserve">Una acción sin el balón en disputa con fuerza excesiva o brutalidad contra un adversario, o golpear intencionadamente a alguien en la cabeza o la cara.</t>
  </si>
  <si>
    <t xml:space="preserve">Una acción en la que el jugador se excede en la fuerza y la impetuosidad al disputar el balón a un adversario, haya o no disputa directa del balón.</t>
  </si>
  <si>
    <t xml:space="preserve">Una entrada o disputa del balón que pone en peligro la integridad física de un adversario, con fuerza excesiva o brutalidad, con intención de jugar el balón.</t>
  </si>
  <si>
    <t xml:space="preserve">La conducta violenta es una acción sin el balón en disputa con fuerza excesiva o brutalidad, o golpeando con fuerza en la cabeza o cara.</t>
  </si>
  <si>
    <t xml:space="preserve">Glosario / Conducta violenta</t>
  </si>
  <si>
    <t xml:space="preserve">GL-026</t>
  </si>
  <si>
    <t xml:space="preserve">Según el Glosario, el «juego brusco y grave» es:</t>
  </si>
  <si>
    <t xml:space="preserve">Una entrada o disputa del balón que pone en peligro la integridad física del adversario, sancionable con expulsión.</t>
  </si>
  <si>
    <t xml:space="preserve">Una acción sin el balón en disputa en la que el jugador actúa con fuerza excesiva o brutalidad contra un adversario.</t>
  </si>
  <si>
    <t xml:space="preserve">Una entrada o disputa del balón realizada sin tener en cuenta el riesgo para el adversario, sancionable con amonestación.</t>
  </si>
  <si>
    <t xml:space="preserve">El juego brusco y grave es la entrada o disputa que pone en peligro la integridad del adversario con fuerza excesiva o brutalidad; se sanciona con expulsión.</t>
  </si>
  <si>
    <t xml:space="preserve">Glosario / Juego brusco y grave</t>
  </si>
  <si>
    <t xml:space="preserve">GL-027</t>
  </si>
  <si>
    <t xml:space="preserve">Según el Glosario, ¿qué se entiende por «deliberado»?</t>
  </si>
  <si>
    <t xml:space="preserve">Acción realizada de manera premeditada e intencionada, nunca de forma refleja ni por reacción involuntaria.</t>
  </si>
  <si>
    <t xml:space="preserve">Acción realizada con intención de dañar al adversario, aunque sea de manera refleja.</t>
  </si>
  <si>
    <t xml:space="preserve">Acción realizada de manera consciente, aunque pueda ser refleja si el jugador tiene tiempo de reacción.</t>
  </si>
  <si>
    <t xml:space="preserve">Deliberado es lo premeditado e intencionado, nunca refleja ni fruto de una reacción involuntaria.</t>
  </si>
  <si>
    <t xml:space="preserve">Glosario / Deliberado</t>
  </si>
  <si>
    <t xml:space="preserve">GL-028</t>
  </si>
  <si>
    <t xml:space="preserve">Según el Glosario, ¿qué es la «desaprobación»?</t>
  </si>
  <si>
    <t xml:space="preserve">Protesta o muestra de desacuerdo, verbal o física, con la decisión de un miembro del equipo arbitral; sancionable con amonestación.</t>
  </si>
  <si>
    <t xml:space="preserve">Protesta o muestra de desacuerdo, verbal o física, con la decisión de un miembro del equipo arbitral; sancionable con advertencia.</t>
  </si>
  <si>
    <t xml:space="preserve">Protesta verbal contra un adversario o un miembro del equipo arbitral; sancionable con expulsión.</t>
  </si>
  <si>
    <t xml:space="preserve">La desaprobación es la protesta o desacuerdo, verbal o física, con una decisión arbitral, sancionable con amonestación.</t>
  </si>
  <si>
    <t xml:space="preserve">Glosario / Desaprobación</t>
  </si>
  <si>
    <t xml:space="preserve">GL-029</t>
  </si>
  <si>
    <t xml:space="preserve">Según el Glosario, la «distancia de juego» es el espacio entre el balón y el jugador que permite a este jugarlo:</t>
  </si>
  <si>
    <t xml:space="preserve">Extendiendo el pie o la pierna o saltando; en el guardameta, saltando con los brazos extendidos.</t>
  </si>
  <si>
    <t xml:space="preserve">Dando un solo paso hacia el balón, con independencia de su envergadura y de su posición.</t>
  </si>
  <si>
    <t xml:space="preserve">Con el pie, sin saltar, si el balón está como máximo a un metro de distancia.</t>
  </si>
  <si>
    <t xml:space="preserve">La distancia de juego depende de la envergadura física del jugador y permite jugar el balón extendiendo pie o pierna o saltando.</t>
  </si>
  <si>
    <t xml:space="preserve">Glosario / Distancia de juego</t>
  </si>
  <si>
    <t xml:space="preserve">GL-030</t>
  </si>
  <si>
    <t xml:space="preserve">Según el Glosario, respecto a las espinilleras:</t>
  </si>
  <si>
    <t xml:space="preserve">Los jugadores son responsables de su tamaño y adecuación, y deben quedar cubiertas por las medias.</t>
  </si>
  <si>
    <t xml:space="preserve">El club es responsable de su tamaño y adecuación, y pueden llevarse por encima de las medias.</t>
  </si>
  <si>
    <t xml:space="preserve">Son de uso voluntario, y deben quedar cubiertas por las medias solo si el árbitro lo exige.</t>
  </si>
  <si>
    <t xml:space="preserve">Los jugadores son responsables de llevar espinilleras adecuadas y estas quedarán cubiertas por las medias.</t>
  </si>
  <si>
    <t xml:space="preserve">Glosario / Espinilleras</t>
  </si>
  <si>
    <t xml:space="preserve">GL-031</t>
  </si>
  <si>
    <t xml:space="preserve">Según el Glosario, ¿qué es el «examen a jugadores lesionados»?</t>
  </si>
  <si>
    <t xml:space="preserve">Breve evaluación de una lesión, normalmente por un profesional médico, para determinar si el jugador necesita un tratamiento más completo.</t>
  </si>
  <si>
    <t xml:space="preserve">Tratamiento médico completo que el jugador recibe fuera del terreno de juego tras salir por su lesión, hasta su recuperación.</t>
  </si>
  <si>
    <t xml:space="preserve">Evaluación que realiza el árbitro para decidir si el jugador puede seguir jugando, tras consultar con el cuarto árbitro.</t>
  </si>
  <si>
    <t xml:space="preserve">El examen es una breve evaluación, normalmente médica, para decidir si el jugador necesita más tratamiento.</t>
  </si>
  <si>
    <t xml:space="preserve">Glosario / Examen a jugadores lesionados</t>
  </si>
  <si>
    <t xml:space="preserve">GL-032</t>
  </si>
  <si>
    <t xml:space="preserve">Según el Glosario, la «exclusión temporal» es una suspensión temporal con la que, según el reglamento de la competición, se sancionan:</t>
  </si>
  <si>
    <t xml:space="preserve">Ciertas o todas las infracciones sancionables con amonestación.</t>
  </si>
  <si>
    <t xml:space="preserve">Ciertas o todas las infracciones sancionables con expulsión.</t>
  </si>
  <si>
    <t xml:space="preserve">Solo las infracciones cometidas por los miembros del cuerpo técnico.</t>
  </si>
  <si>
    <t xml:space="preserve">La exclusión temporal, según el reglamento de la competición, sanciona ciertas o todas las infracciones sancionables con amonestación.</t>
  </si>
  <si>
    <t xml:space="preserve">Glosario / Exclusión temporal</t>
  </si>
  <si>
    <t xml:space="preserve">GL-033</t>
  </si>
  <si>
    <t xml:space="preserve">Según el Glosario, ¿qué es la «expulsión»?</t>
  </si>
  <si>
    <t xml:space="preserve">Sanción por la que se obliga al jugador a abandonar el terreno y sus inmediaciones el resto del partido; si este ha comenzado, no se le podrá sustituir.</t>
  </si>
  <si>
    <t xml:space="preserve">Sanción por la que el jugador debe abandonar el terreno de juego y sus inmediaciones, pudiendo volver tras el descanso del partido.</t>
  </si>
  <si>
    <t xml:space="preserve">Sanción por la que el jugador abandona el terreno de juego, pudiendo ser sustituido una vez comenzado el partido por otro jugador.</t>
  </si>
  <si>
    <t xml:space="preserve">La expulsión obliga a abandonar el terreno y sus inmediaciones; si el partido hubiera comenzado, no se podrá sustituir al expulsado.</t>
  </si>
  <si>
    <t xml:space="preserve">Glosario / Expulsión</t>
  </si>
  <si>
    <t xml:space="preserve">GL-034</t>
  </si>
  <si>
    <t xml:space="preserve">Según el Glosario, la «finta» es:</t>
  </si>
  <si>
    <t xml:space="preserve">Una acción para confundir a un adversario; puede ser reglamentaria o antirreglamentaria.</t>
  </si>
  <si>
    <t xml:space="preserve">Una acción para engañar al árbitro y obtener una ventaja, que es antirreglamentaria.</t>
  </si>
  <si>
    <t xml:space="preserve">Una acción para retrasar deliberadamente la reanudación; es sancionable con amonestación.</t>
  </si>
  <si>
    <t xml:space="preserve">La finta es la acción destinada a confundir a un adversario; hay fintas reglamentarias y antirreglamentarias.</t>
  </si>
  <si>
    <t xml:space="preserve">Glosario / Finta</t>
  </si>
  <si>
    <t xml:space="preserve">GL-035</t>
  </si>
  <si>
    <t xml:space="preserve">Según el Glosario, ¿qué significa «golpear»?</t>
  </si>
  <si>
    <t xml:space="preserve">Acto ejecutado por el jugador al entrar en contacto con el balón con el pie (tobillo incluido).</t>
  </si>
  <si>
    <t xml:space="preserve">Acto ejecutado por el jugador al entrar en contacto con el balón con el pie (rodilla incluida).</t>
  </si>
  <si>
    <t xml:space="preserve">Acto ejecutado por el jugador al entrar en contacto con el balón con cualquier parte del cuerpo.</t>
  </si>
  <si>
    <t xml:space="preserve">Golpear es el contacto del jugador con el balón con el pie, tobillo incluido.</t>
  </si>
  <si>
    <t xml:space="preserve">Glosario / Golpear</t>
  </si>
  <si>
    <t xml:space="preserve">GL-036</t>
  </si>
  <si>
    <t xml:space="preserve">Según el Glosario, un terreno de juego «híbrido» es aquel:</t>
  </si>
  <si>
    <t xml:space="preserve">Cuya superficie natural se ha reforzado con fibras sintéticas.</t>
  </si>
  <si>
    <t xml:space="preserve">De césped artificial al que se añade una capa de arena natural.</t>
  </si>
  <si>
    <t xml:space="preserve">Con una mitad de césped natural y la otra de césped artificial.</t>
  </si>
  <si>
    <t xml:space="preserve">Híbrido es el terreno de superficie natural reforzada con fibras sintéticas.</t>
  </si>
  <si>
    <t xml:space="preserve">Glosario / Híbrido</t>
  </si>
  <si>
    <t xml:space="preserve">GL-037</t>
  </si>
  <si>
    <t xml:space="preserve">Según el Glosario, ¿qué es una acción «imprudente»?</t>
  </si>
  <si>
    <t xml:space="preserve">Acción, en general una entrada o disputa del balón, realizada ignorando el riesgo o las consecuencias para el adversario.</t>
  </si>
  <si>
    <t xml:space="preserve">Acción en la que el jugador se excede en la fuerza y la impetuosidad con el adversario.</t>
  </si>
  <si>
    <t xml:space="preserve">Acción, en general una entrada o disputa del balón, en la que el jugador muestra falta de atención o de consideración por el adversario.</t>
  </si>
  <si>
    <t xml:space="preserve">Imprudente es la acción con falta de atención o de consideración por el adversario.</t>
  </si>
  <si>
    <t xml:space="preserve">Glosario / Imprudente</t>
  </si>
  <si>
    <t xml:space="preserve">GL-038</t>
  </si>
  <si>
    <t xml:space="preserve">Según el Glosario, una acción «temeraria» es aquella, en general una entrada o disputa del balón:</t>
  </si>
  <si>
    <t xml:space="preserve">Realizada sin tener en cuenta el riesgo o las consecuencias para el adversario.</t>
  </si>
  <si>
    <t xml:space="preserve">En la que el jugador actúa con brutalidad y pone en peligro la integridad física del adversario.</t>
  </si>
  <si>
    <t xml:space="preserve">En la que el jugador muestra falta de atención o de precaución hacia el adversario.</t>
  </si>
  <si>
    <t xml:space="preserve">Temeraria es la acción realizada ignorando el riesgo o las consecuencias para el adversario.</t>
  </si>
  <si>
    <t xml:space="preserve">Glosario / Temeraria</t>
  </si>
  <si>
    <t xml:space="preserve">GL-039</t>
  </si>
  <si>
    <t xml:space="preserve">Según el Glosario, ¿cómo se define el «informe arbitral» (acta arbitral)?</t>
  </si>
  <si>
    <t xml:space="preserve">Formulario que el árbitro cumplimenta al final del partido con todos los datos e incidentes, que juzgarán después los órganos disciplinarios.</t>
  </si>
  <si>
    <t xml:space="preserve">Documento oficial con los nombres de jugadores, suplentes y miembros del cuerpo técnico, que se entrega al árbitro antes del partido.</t>
  </si>
  <si>
    <t xml:space="preserve">Formulario que el árbitro presenta al descanso con las alineaciones y sustituciones realizadas hasta ese momento.</t>
  </si>
  <si>
    <t xml:space="preserve">El informe arbitral se cumplimenta al finalizar el partido con todos los datos e incidentes y se denomina también acta arbitral.</t>
  </si>
  <si>
    <t xml:space="preserve">Glosario / Informe arbitral</t>
  </si>
  <si>
    <t xml:space="preserve">GL-040</t>
  </si>
  <si>
    <t xml:space="preserve">Según el Glosario, ¿qué es «interceptar»?</t>
  </si>
  <si>
    <t xml:space="preserve">Impedir que el balón de un adversario llegue al destino pretendido cortando el pase.</t>
  </si>
  <si>
    <t xml:space="preserve">Detener o desviar un balón dirigido a la portería con cualquier parte del cuerpo.</t>
  </si>
  <si>
    <t xml:space="preserve">Arrebatar el balón a un adversario mediante una disputa.</t>
  </si>
  <si>
    <t xml:space="preserve">Interceptar es impedir que el balón del adversario llegue al destino pretendido cortando el pase.</t>
  </si>
  <si>
    <t xml:space="preserve">Glosario / Interceptar</t>
  </si>
  <si>
    <t xml:space="preserve">GL-041</t>
  </si>
  <si>
    <t xml:space="preserve">Según el Glosario, ¿qué es la «lista del equipo»?</t>
  </si>
  <si>
    <t xml:space="preserve">Documento oficial con los nombres, por lo general, de jugadores, suplentes y miembros del cuerpo técnico.</t>
  </si>
  <si>
    <t xml:space="preserve">Formulario que rellena el árbitro con las alineaciones y sustituciones al final del partido.</t>
  </si>
  <si>
    <t xml:space="preserve">Documento oficial con los nombres de los jugadores que comienzan el partido.</t>
  </si>
  <si>
    <t xml:space="preserve">La lista del equipo es el documento oficial con los nombres, por lo general, de jugadores, suplentes y miembros del cuerpo técnico.</t>
  </si>
  <si>
    <t xml:space="preserve">Glosario / Lista del equipo</t>
  </si>
  <si>
    <t xml:space="preserve">GL-042</t>
  </si>
  <si>
    <t xml:space="preserve">Según el Glosario, una «salvada» es la acción de un jugador para detener o desviar, o intentarlo, un balón dirigido a la portería o muy cerca de ella:</t>
  </si>
  <si>
    <t xml:space="preserve">Con cualquier parte del cuerpo salvo las manos y los brazos (excepto el guardameta en su área).</t>
  </si>
  <si>
    <t xml:space="preserve">Solo con las manos, cuando se trate del guardameta dentro de su propia área penal.</t>
  </si>
  <si>
    <t xml:space="preserve">Con cualquier parte del cuerpo, incluidas las manos y los brazos, sea o no el guardameta.</t>
  </si>
  <si>
    <t xml:space="preserve">Salvada es la acción de detener o desviar un balón dirigido a la portería o muy cerca de ella con cualquier parte del cuerpo salvo manos y brazos (salvo el guardameta en su área).</t>
  </si>
  <si>
    <t xml:space="preserve">Glosario / Salvada</t>
  </si>
  <si>
    <t xml:space="preserve">GL-043</t>
  </si>
  <si>
    <t xml:space="preserve">Según el Glosario, ¿qué es la «simulación»?</t>
  </si>
  <si>
    <t xml:space="preserve">Acción voluntaria que produce la impresión falsa de que ha sucedido algo que no ha sucedido, para obtener ventaja inmerecida.</t>
  </si>
  <si>
    <t xml:space="preserve">Acción voluntaria de fingir una lesión para retrasar la reanudación del juego y obtener ventaja.</t>
  </si>
  <si>
    <t xml:space="preserve">Acción involuntaria que produce la impresión de haber sufrido una infracción, sin intención de obtener ventaja.</t>
  </si>
  <si>
    <t xml:space="preserve">Simulación es la acción voluntaria que produce la impresión falsa de que ha sucedido algo que no ha sucedido, para obtener ventaja inmerecida.</t>
  </si>
  <si>
    <t xml:space="preserve">Glosario / Simulación</t>
  </si>
  <si>
    <t xml:space="preserve">GL-044</t>
  </si>
  <si>
    <t xml:space="preserve">Según el Glosario, se comete una infracción de «sujetar» cuando el contacto de un jugador con el cuerpo o el uniforme del adversario:</t>
  </si>
  <si>
    <t xml:space="preserve">Dificulta el movimiento del adversario.</t>
  </si>
  <si>
    <t xml:space="preserve">Se produce, aunque no le dificulte moverse.</t>
  </si>
  <si>
    <t xml:space="preserve">Se produce con los brazos y no con el cuerpo.</t>
  </si>
  <si>
    <t xml:space="preserve">Sujetar se comete únicamente si el contacto con el cuerpo o el uniforme del adversario dificulta su movimiento.</t>
  </si>
  <si>
    <t xml:space="preserve">Glosario / Sujetar</t>
  </si>
  <si>
    <t xml:space="preserve">GL-045</t>
  </si>
  <si>
    <t xml:space="preserve">Según el Glosario, ¿qué diferencia hay entre «suspender temporalmente» y «suspender definitivamente» un partido?</t>
  </si>
  <si>
    <t xml:space="preserve">Ambas suponen la conclusión del partido; la temporal es por causas meteorológicas y la definitiva por causas disciplinarias.</t>
  </si>
  <si>
    <t xml:space="preserve">Temporalmente se detiene con intención de reanudarlo más adelante; definitivamente se da por concluido antes de consumirse el tiempo reglamentario.</t>
  </si>
  <si>
    <t xml:space="preserve">Temporalmente se da por concluido el partido; definitivamente se detiene con intención de reanudarlo más adelante.</t>
  </si>
  <si>
    <t xml:space="preserve">Suspender temporalmente es detener con intención de reanudar; definitivamente es dar por concluido el partido antes de tiempo.</t>
  </si>
  <si>
    <t xml:space="preserve">Glosario / Suspender</t>
  </si>
  <si>
    <t xml:space="preserve">GL-046</t>
  </si>
  <si>
    <t xml:space="preserve">Según el Glosario, la «tanda de penales» es un procedimiento para definir un partido empatado en el que:</t>
  </si>
  <si>
    <t xml:space="preserve">Cada equipo lanza un penal por turnos hasta que uno marca un gol más con el mismo número de lanzamientos.</t>
  </si>
  <si>
    <t xml:space="preserve">Los jugadores presentes en el terreno lanzan un penal cada uno, y gana el equipo con más goles al terminar.</t>
  </si>
  <si>
    <t xml:space="preserve">Cada equipo lanza cinco penales seguidos y, si persiste el empate, el partido se da por empatado.</t>
  </si>
  <si>
    <t xml:space="preserve">La tanda es un procedimiento de desempate con lanzamientos alternos hasta que un equipo marca un gol más tras el mismo número de lanzamientos.</t>
  </si>
  <si>
    <t xml:space="preserve">Glosario / Tanda de penales</t>
  </si>
  <si>
    <t xml:space="preserve">GL-047</t>
  </si>
  <si>
    <t xml:space="preserve">Según el Glosario, ¿qué es el «tiempo adicional»?</t>
  </si>
  <si>
    <t xml:space="preserve">Minutos añadidos al final de cada periodo para compensar el tiempo perdido por sustituciones, lesiones, sanciones disciplinarias, celebraciones, etc.</t>
  </si>
  <si>
    <t xml:space="preserve">Dos periodos extra de un máximo de quince minutos cada uno que se juegan al terminar un partido empatado, si el reglamento lo exige.</t>
  </si>
  <si>
    <t xml:space="preserve">Minutos añadidos al final del segundo periodo para compensar las interrupciones ocurridas durante ambas partes del partido.</t>
  </si>
  <si>
    <t xml:space="preserve">El tiempo adicional compensa el tiempo perdido y se añade al final de cada periodo.</t>
  </si>
  <si>
    <t xml:space="preserve">Glosario / Tiempo adicional</t>
  </si>
  <si>
    <t xml:space="preserve">GL-048</t>
  </si>
  <si>
    <t xml:space="preserve">Según el Glosario, ¿qué es el «tiempo suplementario»?</t>
  </si>
  <si>
    <t xml:space="preserve">Procedimiento tras un empate al final del tiempo reglamentario, con dos periodos extra de un máximo de quince minutos cada uno, también llamado «prórroga».</t>
  </si>
  <si>
    <t xml:space="preserve">Minutos añadidos al final de cada periodo del partido para compensar el tiempo perdido durante el mismo por sustituciones y lesiones.</t>
  </si>
  <si>
    <t xml:space="preserve">Procedimiento tras un empate que consiste en un único periodo extra de treinta minutos de duración, también llamado «prórroga».</t>
  </si>
  <si>
    <t xml:space="preserve">El tiempo suplementario es el procedimiento de desempate de dos periodos extra de un máximo de quince minutos (prórroga).</t>
  </si>
  <si>
    <t xml:space="preserve">Glosario / Tiempo suplementario</t>
  </si>
  <si>
    <t xml:space="preserve">GL-049</t>
  </si>
  <si>
    <t xml:space="preserve">Según el Glosario, ¿qué es el «tiro libre rápido»?</t>
  </si>
  <si>
    <t xml:space="preserve">Tiro libre ejecutado, con permiso del árbitro, justo después de detenerse el juego.</t>
  </si>
  <si>
    <t xml:space="preserve">Tiro libre ejecutado tras una cuenta atrás de cinco segundos del árbitro.</t>
  </si>
  <si>
    <t xml:space="preserve">Tiro libre ejecutado sin permiso del árbitro antes de que el balón esté inmóvil.</t>
  </si>
  <si>
    <t xml:space="preserve">Tiro libre rápido es el ejecutado, con permiso del árbitro, justo después de detenerse el juego.</t>
  </si>
  <si>
    <t xml:space="preserve">Glosario / Tiro libre rápido</t>
  </si>
  <si>
    <t xml:space="preserve">GL-050</t>
  </si>
  <si>
    <t xml:space="preserve">Según el Glosario, la «ventaja» es la concesión por la que el árbitro:</t>
  </si>
  <si>
    <t xml:space="preserve">Permite que el juego continúe tras una infracción o una reanudación incorrecta, si beneficia al equipo adversario.</t>
  </si>
  <si>
    <t xml:space="preserve">Permite que el juego continúe tras una infracción o una reanudación incorrecta, sin tener en cuenta a quién beneficia.</t>
  </si>
  <si>
    <t xml:space="preserve">Detiene el juego tras una infracción y permite que el equipo perjudicado reanude rápidamente el juego.</t>
  </si>
  <si>
    <t xml:space="preserve">La ventaja permite continuar tras una infracción o reanudación incorrecta con balón en juego si beneficia al adversario.</t>
  </si>
  <si>
    <t xml:space="preserve">Glosario / Ventaja</t>
  </si>
  <si>
    <t xml:space="preserve">GL-051</t>
  </si>
  <si>
    <t xml:space="preserve">Según el Glosario, el «terreno de juego» es la superficie delimitada por las líneas de banda y de meta y:</t>
  </si>
  <si>
    <t xml:space="preserve">Las redes de las porterías, de utilizarse.</t>
  </si>
  <si>
    <t xml:space="preserve">El área técnica de ambos equipos.</t>
  </si>
  <si>
    <t xml:space="preserve">Nada más; no se incluyen las redes.</t>
  </si>
  <si>
    <t xml:space="preserve">El terreno de juego es la superficie delimitada por las líneas de banda y de meta y, si se usan, las redes de las porterías.</t>
  </si>
  <si>
    <t xml:space="preserve">Glosario / Terreno de juego</t>
  </si>
  <si>
    <t xml:space="preserve">GL-052</t>
  </si>
  <si>
    <t xml:space="preserve">Según el Glosario, ¿cuál es la tarea del «árbitro asistente adicional»?</t>
  </si>
  <si>
    <t xml:space="preserve">Situarse en la línea de meta cerca de la portería para ayudar al árbitro en acciones del área penal y en goles dudosos.</t>
  </si>
  <si>
    <t xml:space="preserve">Sustituir a un árbitro asistente que no pueda continuar y ayudar en la supervisión del área técnica.</t>
  </si>
  <si>
    <t xml:space="preserve">Asistir al VAR en la revisión de imágenes de televisión desde la sala de vídeo.</t>
  </si>
  <si>
    <t xml:space="preserve">El árbitro asistente adicional se sitúa en la línea de meta para ayudar en el área penal y en decisiones de gol/no gol.</t>
  </si>
  <si>
    <t xml:space="preserve">Glosario / Árbitro asistente adicional</t>
  </si>
  <si>
    <t xml:space="preserve">GL-053</t>
  </si>
  <si>
    <t xml:space="preserve">Según el Glosario, ¿qué es el «asistente del árbitro asistente de vídeo (AVAR)»?</t>
  </si>
  <si>
    <t xml:space="preserve">Árbitro o árbitro asistente en activo, o exárbitro, designado para asistir al VAR.</t>
  </si>
  <si>
    <t xml:space="preserve">Miembro del equipo arbitral que asiste al árbitro desde una mitad de la línea de banda con banderín.</t>
  </si>
  <si>
    <t xml:space="preserve">Técnico designado para manejar las repeticiones de televisión.</t>
  </si>
  <si>
    <t xml:space="preserve">El AVAR es un árbitro, árbitro asistente o exárbitro designado para asistir al VAR.</t>
  </si>
  <si>
    <t xml:space="preserve">Glosario / AVAR</t>
  </si>
  <si>
    <t xml:space="preserve">GL-054</t>
  </si>
  <si>
    <t xml:space="preserve">Según el Glosario, ¿qué es la «posición de reanudación»?</t>
  </si>
  <si>
    <t xml:space="preserve">Ubicación de un jugador en la reanudación determinada por la posición de los pies o la parte del cuerpo en contacto con el suelo; en el aire, por la proyección de los pies.</t>
  </si>
  <si>
    <t xml:space="preserve">Ubicación de un jugador en la reanudación determinada por la posición exacta de su cabeza en ese instante, esté en el aire o en el suelo.</t>
  </si>
  <si>
    <t xml:space="preserve">Ubicación del balón en la reanudación determinada por el punto exacto en el que se produjo la infracción, y no por la posición del jugador infractor.</t>
  </si>
  <si>
    <t xml:space="preserve">La posición de reanudación de un jugador se marca por sus pies o la parte del cuerpo en contacto con el suelo, y en el aire por la proyección de los pies.</t>
  </si>
  <si>
    <t xml:space="preserve">Glosario / Posición de reanudación</t>
  </si>
  <si>
    <t xml:space="preserve">GL-056</t>
  </si>
  <si>
    <t xml:space="preserve">Según el Glosario, ¿qué entidad está compuesta por las cuatro federaciones británicas de fútbol y la FIFA?</t>
  </si>
  <si>
    <t xml:space="preserve">La CONMEBOL, responsable del fútbol sudamericano.</t>
  </si>
  <si>
    <t xml:space="preserve">El IFAB, responsable de las Reglas de Juego a escala mundial.</t>
  </si>
  <si>
    <t xml:space="preserve">La UEFA, responsable de las competiciones europeas.</t>
  </si>
  <si>
    <t xml:space="preserve">El IFAB está compuesto por las cuatro federaciones británicas y la FIFA y es responsable de las Reglas de Juego.</t>
  </si>
  <si>
    <t xml:space="preserve">Glosario / Entidades futbolísticas</t>
  </si>
  <si>
    <t xml:space="preserve">GL-060</t>
  </si>
  <si>
    <t xml:space="preserve">Dentro del Programa de calidad de la FIFA para productos, superficies de juego y tecnologías, ¿qué diferencia principal hay entre los sellos «FIFA Basic», «FIFA Quality» y «FIFA Quality Pro»?</t>
  </si>
  <si>
    <t xml:space="preserve">Un nivel de exigencia creciente en seguridad, precisión, durabilidad y rendimiento: Basic fija unos mínimos accesibles, Quality refuerza durabilidad y seguridad, y Quality Pro exige un rendimiento óptimo para el máximo nivel.</t>
  </si>
  <si>
    <t xml:space="preserve">Un nivel de exigencia creciente en seguridad, precisión, durabilidad y rendimiento: Basic exige un rendimiento óptimo para el máximo nivel, Quality refuerza durabilidad y seguridad, y Quality Pro fija unos mínimos accesibles.</t>
  </si>
  <si>
    <t xml:space="preserve">Un nivel de exigencia creciente en seguridad, precisión, durabilidad y rendimiento: Basic refuerza durabilidad y seguridad, Quality fija unos mínimos accesibles, y Quality Pro exige un rendimiento óptimo para el máximo nivel.</t>
  </si>
  <si>
    <t xml:space="preserve">El Programa de calidad de la FIFA establece tres sellos de exigencia creciente: FIFA Basic (criterios básicos y accesibles), FIFA Quality (mayor énfasis en durabilidad y seguridad) y FIFA Quality Pro (seguridad, precisión y rendimiento óptimos para el máximo nivel). FIFA Basic sustituye al antiguo International Match Standard (IMS).</t>
  </si>
  <si>
    <t xml:space="preserve">GL-066</t>
  </si>
  <si>
    <t xml:space="preserve">Según el Glosario, ¿qué diferencia una «infracción» de una «sanción»?</t>
  </si>
  <si>
    <t xml:space="preserve">La infracción es la acción que vulnera las Reglas; la sanción, la consecuencia que se impone por ella.</t>
  </si>
  <si>
    <t xml:space="preserve">Ninguna, ambos términos significan lo mismo y se usan indistintamente en las Reglas de Juego.</t>
  </si>
  <si>
    <t xml:space="preserve">La infracción la cometen los jugadores; la sanción la comete el cuerpo técnico del equipo.</t>
  </si>
  <si>
    <t xml:space="preserve">La infracción es la conducta contraria a las Reglas de Juego, mientras que la sanción es la respuesta prevista para esa infracción, ya sea disciplinaria o de reanudación.</t>
  </si>
  <si>
    <t xml:space="preserve">GL-068</t>
  </si>
  <si>
    <t xml:space="preserve">Según el Glosario, ¿qué es la «evaluación» en el contexto de una lesión?</t>
  </si>
  <si>
    <t xml:space="preserve">Una breve valoración médica para determinar si el jugador necesita tratamiento adicional.</t>
  </si>
  <si>
    <t xml:space="preserve">El tratamiento médico completo administrado fuera del terreno de juego al jugador.</t>
  </si>
  <si>
    <t xml:space="preserve">La decisión final del árbitro sobre si un jugador puede continuar jugando o no.</t>
  </si>
  <si>
    <t xml:space="preserve">La evaluación es la breve valoración inicial de una lesión, generalmente por personal médico, para determinar la necesidad de un tratamiento más completo.</t>
  </si>
  <si>
    <t xml:space="preserve">GL-071</t>
  </si>
  <si>
    <t xml:space="preserve">Según el Glosario, la «posición» de un jugador a efectos del fuera de juego se determina por:</t>
  </si>
  <si>
    <t xml:space="preserve">La parte de su cuerpo en contacto con el suelo o, si está en el aire, la proyección de sus pies.</t>
  </si>
  <si>
    <t xml:space="preserve">La ubicación de su cabeza en el momento en que se valora la jugada, esté o no en el aire.</t>
  </si>
  <si>
    <t xml:space="preserve">La ubicación del balón respecto al jugador en el momento en que se produce el pase.</t>
  </si>
  <si>
    <t xml:space="preserve">La posición de un jugador se determina por la parte de su cuerpo en contacto con el suelo o, si está en el aire, por la proyección de sus pies.</t>
  </si>
  <si>
    <t xml:space="preserve">GL-079</t>
  </si>
  <si>
    <t xml:space="preserve">Según el Glosario, «fintar» es:</t>
  </si>
  <si>
    <t xml:space="preserve">Una acción para confundir a un adversario, reglamentaria o antirreglamentaria.</t>
  </si>
  <si>
    <t xml:space="preserve">Una acción para engañar al árbitro con el fin de obtener una ventaja.</t>
  </si>
  <si>
    <t xml:space="preserve">Un movimiento que solo puede realizarse en la ejecución de un tiro penal.</t>
  </si>
  <si>
    <t xml:space="preserve">Fintar es una acción destinada a confundir a un adversario; las Reglas de Juego distinguen entre fintas reglamentarias y antirreglamentarias.</t>
  </si>
  <si>
    <t xml:space="preserve">GL-081</t>
  </si>
  <si>
    <t xml:space="preserve">Según el Glosario, ¿qué distingue una «advertencia» de una «amonestación»?</t>
  </si>
  <si>
    <t xml:space="preserve">La advertencia se aplica a infracciones menores, sobre todo del cuerpo técnico; su reiteración puede dar lugar a amonestación.</t>
  </si>
  <si>
    <t xml:space="preserve">Ninguna, ambos términos son sinónimos y se aplican por igual a jugadores y a miembros del cuerpo técnico.</t>
  </si>
  <si>
    <t xml:space="preserve">La advertencia se aplica solo a los jugadores y la amonestación solo a los miembros del cuerpo técnico.</t>
  </si>
  <si>
    <t xml:space="preserve">El sistema de advertencia (o apercibimiento) se aplica a un conjunto concreto de infracciones de menor entidad, generalmente del cuerpo técnico, cuya reiteración o carácter improcedente puede derivar en amonestación.</t>
  </si>
  <si>
    <t xml:space="preserve">GL-082</t>
  </si>
  <si>
    <t xml:space="preserve">Según el Glosario, ¿qué diferencia hay entre una acción «imprudente» y una «temeraria»?</t>
  </si>
  <si>
    <t xml:space="preserve">La imprudente es sin precaución; la temeraria ignora el riesgo para el adversario.</t>
  </si>
  <si>
    <t xml:space="preserve">Ninguna, ambos términos son sinónimos y se sancionan de la misma forma.</t>
  </si>
  <si>
    <t xml:space="preserve">La imprudente se aplica dentro del área penal; la temeraria, fuera de ella.</t>
  </si>
  <si>
    <t xml:space="preserve">La imprudencia y la temeridad son niveles distintos de intensidad al valorar una infracción física; la temeridad implica un grado mayor de despreocupación por el riesgo causado al adversario que la imprudencia.</t>
  </si>
  <si>
    <t xml:space="preserve">GL-083</t>
  </si>
  <si>
    <t xml:space="preserve">Según el Glosario, ¿qué distingue una «salvada» de un simple despeje?</t>
  </si>
  <si>
    <t xml:space="preserve">Que el balón se dirige a la portería o muy cerca de ella.</t>
  </si>
  <si>
    <t xml:space="preserve">Nada, ambos términos se refieren a la misma acción.</t>
  </si>
  <si>
    <t xml:space="preserve">Que la salvada solo puede realizarla el guardameta.</t>
  </si>
  <si>
    <t xml:space="preserve">Una salvada se define específicamente como detener o desviar un balón dirigido a la portería o muy cerca de ella, lo que la distingue de un despeje genérico sin esa condición de cercanía o dirección hacia la meta.</t>
  </si>
  <si>
    <t xml:space="preserve">GL-084</t>
  </si>
  <si>
    <t xml:space="preserve">Un jugador interrumpe un ataque prometedor con una infracción sancionable con tiro libre directo, sin evitar una ocasión manifiesta de gol. El árbitro...</t>
  </si>
  <si>
    <t xml:space="preserve">Interrumpir un ataque prometedor mediante una infracción sancionable con tiro libre, sin llegar a evitar una ocasión manifiesta de gol, se sanciona con amonestación por conducta antideportiva, reservándose la expulsión para los casos en que sí se evita una ocasión manifiesta de gol.</t>
  </si>
  <si>
    <t xml:space="preserve">VAR-001</t>
  </si>
  <si>
    <t xml:space="preserve">VAR</t>
  </si>
  <si>
    <t xml:space="preserve">Un jugador marca un gol; un adversario solicita gesticulando la revisión del VAR por una falta previa y, por ello, el árbitro lo amonesta. Instantes después, el VAR anula el gol. ¿Debe el árbitro retirar la amonestación al no subir el gol al marcador?</t>
  </si>
  <si>
    <t xml:space="preserve">No, la amonestación se mantiene aunque el gol se anule.</t>
  </si>
  <si>
    <t xml:space="preserve">Sí, al anularse el gol la tarjeta debe anularse también.</t>
  </si>
  <si>
    <t xml:space="preserve">Depende de si el jugador celebró el gol de forma provocadora o no.</t>
  </si>
  <si>
    <t xml:space="preserve">La amonestación por solicitar de forma inapropiada la revisión del VAR se mantiene con independencia de que el gol acabe siendo anulado.</t>
  </si>
  <si>
    <t xml:space="preserve">Regla 5 / Protocolo VAR</t>
  </si>
  <si>
    <t xml:space="preserve">VAR-002</t>
  </si>
  <si>
    <t xml:space="preserve">Según las Reglas de Juego 2026/27, el VAR puede asistir al árbitro ante un error claro, obvio y manifiesto o un incidente grave inadvertido en relación con:</t>
  </si>
  <si>
    <t xml:space="preserve">Gol/no gol, penal/no penal, tarjeta roja (incluida una segunda amonestación claramente incorrecta) y confusión de identidad.</t>
  </si>
  <si>
    <t xml:space="preserve">Cualquier decisión dudosa, incluidas las amonestaciones, aunque no exista un error claro, obvio y manifiesto.</t>
  </si>
  <si>
    <t xml:space="preserve">Gol/no gol y fuera de juego, aunque no exista un error claro, obvio y manifiesto.</t>
  </si>
  <si>
    <t xml:space="preserve">Regla 5.4: gol/no gol; penal/no penal; «tarjeta roja (incluida una segunda amonestación claramente incorrecta)»; confusión de identidad; y, si la competición lo prevé, un saque de esquina concedido de forma claramente errónea.</t>
  </si>
  <si>
    <t xml:space="preserve">Regla 5.4 / Protocolo del VAR</t>
  </si>
  <si>
    <t xml:space="preserve">VAR-003</t>
  </si>
  <si>
    <t xml:space="preserve">Según el Protocolo del VAR, ¿puede el árbitro no tomar una decisión para que la tome después el VAR?</t>
  </si>
  <si>
    <t xml:space="preserve">No, debe tomar siempre una decisión inicial.</t>
  </si>
  <si>
    <t xml:space="preserve">Sí, en las jugadas de fuera de juego.</t>
  </si>
  <si>
    <t xml:space="preserve">Sí, si la jugada es muy compleja.</t>
  </si>
  <si>
    <t xml:space="preserve">El árbitro no puede omitir una decisión y recurrir después al VAR; debe tomar siempre una decisión inicial.</t>
  </si>
  <si>
    <t xml:space="preserve">Protocolo del VAR / Principios</t>
  </si>
  <si>
    <t xml:space="preserve">VAR-004</t>
  </si>
  <si>
    <t xml:space="preserve">¿Cuándo se modifica la decisión inicial del árbitro tras un chequeo del VAR?</t>
  </si>
  <si>
    <t xml:space="preserve">Si la revisión demuestra claramente que constituyó un error claro, obvio y manifiesto.</t>
  </si>
  <si>
    <t xml:space="preserve">Si el VAR lo recomienda y el árbitro está de acuerdo, aunque el error no sea claro.</t>
  </si>
  <si>
    <t xml:space="preserve">Si las imágenes muestran una decisión distinta a la que tomó el árbitro.</t>
  </si>
  <si>
    <t xml:space="preserve">La decisión inicial no se modifica salvo que la revisión demuestre un error claro, obvio y manifiesto.</t>
  </si>
  <si>
    <t xml:space="preserve">VAR-005</t>
  </si>
  <si>
    <t xml:space="preserve">¿Quién puede iniciar una revisión según el Protocolo del VAR?</t>
  </si>
  <si>
    <t xml:space="preserve">El árbitro; el VAR y el resto del equipo arbitral pueden recomendarla.</t>
  </si>
  <si>
    <t xml:space="preserve">El VAR, que puede imponerla al árbitro cuando detecta un error.</t>
  </si>
  <si>
    <t xml:space="preserve">El capitán de cualquiera de los dos equipos, una vez por parte.</t>
  </si>
  <si>
    <t xml:space="preserve">Solo el árbitro puede iniciar una revisión; el VAR y los demás miembros del equipo arbitral pueden recomendarla.</t>
  </si>
  <si>
    <t xml:space="preserve">VAR-007</t>
  </si>
  <si>
    <t xml:space="preserve">¿Existe un tiempo máximo para el proceso de revisión?</t>
  </si>
  <si>
    <t xml:space="preserve">No, porque la precisión es más importante que la rapidez.</t>
  </si>
  <si>
    <t xml:space="preserve">Sí, un máximo de dos minutos por revisión.</t>
  </si>
  <si>
    <t xml:space="preserve">Sí, un máximo de un minuto si es revisión basada en el VAR.</t>
  </si>
  <si>
    <t xml:space="preserve">No hay límite de tiempo para la revisión, ya que la precisión es más importante que la rapidez.</t>
  </si>
  <si>
    <t xml:space="preserve">VAR-008</t>
  </si>
  <si>
    <t xml:space="preserve">Mientras el árbitro realiza una revisión, varios jugadores del equipo perjudicado le rodean para protestar. Según el Protocolo del VAR:</t>
  </si>
  <si>
    <t xml:space="preserve">Los jugadores no deben rodear al árbitro ni intentar influir en la revisión.</t>
  </si>
  <si>
    <t xml:space="preserve">Los jugadores pueden rodear al árbitro si no llegan a hablar con él.</t>
  </si>
  <si>
    <t xml:space="preserve">Solo el capitán puede acompañar al árbitro durante la revisión.</t>
  </si>
  <si>
    <t xml:space="preserve">Los jugadores y el cuerpo técnico no deberán rodear al árbitro ni intentarán influir en su decisión ni en el proceso de revisión.</t>
  </si>
  <si>
    <t xml:space="preserve">VAR-009</t>
  </si>
  <si>
    <t xml:space="preserve">Durante el proceso de revisión, ¿dónde deben permanecer los jugadores y dónde los suplentes y el cuerpo técnico?</t>
  </si>
  <si>
    <t xml:space="preserve">Los jugadores en sus áreas de penal; los suplentes y el cuerpo técnico, en el área técnica.</t>
  </si>
  <si>
    <t xml:space="preserve">Los jugadores en el terreno de juego; los suplentes y el cuerpo técnico, fuera de él.</t>
  </si>
  <si>
    <t xml:space="preserve">Todos en el terreno de juego, hasta que el árbitro adopte la decisión final.</t>
  </si>
  <si>
    <t xml:space="preserve">Durante la revisión, los jugadores deben permanecer en el terreno y los suplentes y cuerpo técnico fuera del mismo.</t>
  </si>
  <si>
    <t xml:space="preserve">Protocolo del VAR / Jugadores, suplentes y cuerpo técnico</t>
  </si>
  <si>
    <t xml:space="preserve">VAR-010</t>
  </si>
  <si>
    <t xml:space="preserve">¿Debe el árbitro permanecer visible durante el proceso de revisión?</t>
  </si>
  <si>
    <t xml:space="preserve">Sí, debe permanecer visible durante el proceso, para garantizar la transparencia.</t>
  </si>
  <si>
    <t xml:space="preserve">Sí, debe permanecer visible, aunque solo si la revisión es en el terreno de juego.</t>
  </si>
  <si>
    <t xml:space="preserve">No, puede retirarse al vestuario mientras se revisa la jugada.</t>
  </si>
  <si>
    <t xml:space="preserve">El árbitro debe permanecer visible durante la revisión para garantizar la transparencia.</t>
  </si>
  <si>
    <t xml:space="preserve">VAR-011</t>
  </si>
  <si>
    <t xml:space="preserve">Si el juego prosigue tras un incidente que se revisa después, ¿se cancela la medida disciplinaria tomada tras ese incidente aunque se modifique la decisión inicial?</t>
  </si>
  <si>
    <t xml:space="preserve">No, salvo la amonestación o expulsión por detener un ataque prometedor o evitar una ocasión manifiesta de gol.</t>
  </si>
  <si>
    <t xml:space="preserve">Sí, en todos los casos, al modificarse la decisión inicial del árbitro.</t>
  </si>
  <si>
    <t xml:space="preserve">No, aunque la sanción fuera por evitar una ocasión manifiesta de gol o detener un ataque prometedor.</t>
  </si>
  <si>
    <t xml:space="preserve">Si el juego prosigue tras el incidente, no se cancela la medida disciplinaria, salvo la amonestación o expulsión por detener un ataque prometedor o evitar una ocasión manifiesta de gol.</t>
  </si>
  <si>
    <t xml:space="preserve">VAR-012</t>
  </si>
  <si>
    <t xml:space="preserve">Una vez reanudado el juego, ¿en qué casos puede el árbitro llevar a cabo una revisión?</t>
  </si>
  <si>
    <t xml:space="preserve">En confusión de identidad o posible expulsión por conducta violenta, escupir, morder o actuar de forma extremadamente ofensiva.</t>
  </si>
  <si>
    <t xml:space="preserve">En cualquier penal no señalado o gol anulado, sea cual sea el tiempo transcurrido desde la reanudación del juego.</t>
  </si>
  <si>
    <t xml:space="preserve">En cualquier tarjeta roja, amarilla o confusión de identidad, aunque el juego ya se haya reanudado tras la decisión.</t>
  </si>
  <si>
    <t xml:space="preserve">Reanudado el juego, solo se revisa por confusión de identidad o infracción de expulsión por conducta violenta, escupir, morder o actuar de forma extremadamente ofensiva.</t>
  </si>
  <si>
    <t xml:space="preserve">VAR-013</t>
  </si>
  <si>
    <t xml:space="preserve">¿Es necesario que los entrenadores o jugadores soliciten una revisión al VAR?</t>
  </si>
  <si>
    <t xml:space="preserve">No, porque los VAR chequean automáticamente todas las situaciones o decisiones.</t>
  </si>
  <si>
    <t xml:space="preserve">Sí, mediante la señal de la televisión de un jugador o entrenador al árbitro.</t>
  </si>
  <si>
    <t xml:space="preserve">Sí, mediante una solicitud del capitán de cada equipo al árbitro.</t>
  </si>
  <si>
    <t xml:space="preserve">No es necesario solicitar la revisión, pues el VAR chequea automáticamente las situaciones.</t>
  </si>
  <si>
    <t xml:space="preserve">VAR-014</t>
  </si>
  <si>
    <t xml:space="preserve">Según el Protocolo, ¿qué decisiones o incidentes puede revisar el VAR?</t>
  </si>
  <si>
    <t xml:space="preserve">Gol/no gol, penal/no penal, tarjeta roja (incluida una segunda amarilla claramente incorrecta), confusión de identidad y, opcionalmente, un saque de esquina.</t>
  </si>
  <si>
    <t xml:space="preserve">Gol/no gol, penal/no penal y tarjeta roja directa, pero no la confusión de identidad ni ningún saque de esquina, aunque sean claramente erróneos.</t>
  </si>
  <si>
    <t xml:space="preserve">Gol/no gol, penal/no penal, cualquier tarjeta amarilla, cualquier fuera de juego y cualquier saque de esquina o de meta, sean o no claros.</t>
  </si>
  <si>
    <t xml:space="preserve">El VAR solo puede asistir al árbitro ante un error claro, obvio y manifiesto o un incidente grave inadvertido en: gol/no gol, penal/no penal, tarjeta roja (incluida una segunda amonestación claramente incorrecta), confusión de identidad y, si la competición lo prevé, un saque de esquina concedido de forma claramente errónea.</t>
  </si>
  <si>
    <t xml:space="preserve">Protocolo del VAR / Decisiones revisables</t>
  </si>
  <si>
    <t xml:space="preserve">VAR-015</t>
  </si>
  <si>
    <t xml:space="preserve">El árbitro muestra la segunda tarjeta amarilla a un jugador tras una acción que claramente no era infracción. ¿Puede intervenir el VAR?</t>
  </si>
  <si>
    <t xml:space="preserve">Sí, una tarjeta roja derivada de una segunda amonestación claramente incorrecta es revisable.</t>
  </si>
  <si>
    <t xml:space="preserve">No, las amonestaciones no son revisables por el VAR, ni siquiera si derivan en expulsión.</t>
  </si>
  <si>
    <t xml:space="preserve">Sí, si el jugador solicita la revisión al árbitro a través de su capitán.</t>
  </si>
  <si>
    <t xml:space="preserve">El VAR puede revisar una tarjeta roja que resulte de una segunda amonestación claramente incorrecta.</t>
  </si>
  <si>
    <t xml:space="preserve">VAR-016</t>
  </si>
  <si>
    <t xml:space="preserve">El árbitro amonesta a un jugador que no cometió la infracción, confundiéndolo claramente con otro de los dos equipos que sí la cometió. ¿Qué puede revisarse?</t>
  </si>
  <si>
    <t xml:space="preserve">Solo la identidad del infractor.</t>
  </si>
  <si>
    <t xml:space="preserve">Nada, porque la amonestación no es revisable.</t>
  </si>
  <si>
    <t xml:space="preserve">La infracción completa y la identidad del infractor.</t>
  </si>
  <si>
    <t xml:space="preserve">Protocolo del VAR, confusión de identidad: «Si el árbitro sanciona una infracción, pero ha confundido claramente la identidad del jugador que la ha cometido, solo podrá revisarse la identidad del infractor».</t>
  </si>
  <si>
    <t xml:space="preserve">VAR-017</t>
  </si>
  <si>
    <t xml:space="preserve">Respecto al saque de esquina concedido de forma claramente errónea, ¿cuándo puede corregirse mediante VAR?</t>
  </si>
  <si>
    <t xml:space="preserve">Si la competición lo permite y la decisión se puede modificar inmediatamente y sin retrasar la reanudación.</t>
  </si>
  <si>
    <t xml:space="preserve">Si el saque de esquina no ha sido concedido por retrasar un saque de meta, y se puede modificar inmediatamente.</t>
  </si>
  <si>
    <t xml:space="preserve">Cuando el VAR lo detecte, aunque el saque ya se haya ejecutado y se haya reanudado el juego.</t>
  </si>
  <si>
    <t xml:space="preserve">Es una opción para las competiciones y solo si se puede modificar inmediatamente sin retrasar la reanudación.</t>
  </si>
  <si>
    <t xml:space="preserve">VAR-018</t>
  </si>
  <si>
    <t xml:space="preserve">Un saque de esquina claramente mal concedido se ejecuta rápidamente antes de que el VAR pueda advertirlo al árbitro. ¿Qué ocurre?</t>
  </si>
  <si>
    <t xml:space="preserve">No se puede cambiar la decisión, porque el saque ya se ha ejecutado rápidamente.</t>
  </si>
  <si>
    <t xml:space="preserve">Se anula el saque y se reanuda con el saque de meta que correspondía, tras revisar la jugada.</t>
  </si>
  <si>
    <t xml:space="preserve">Se revisa igualmente la jugada y se repite el saque de esquina desde el mismo lugar.</t>
  </si>
  <si>
    <t xml:space="preserve">Si el saque de esquina se ejecuta rápidamente, la decisión no se puede cambiar.</t>
  </si>
  <si>
    <t xml:space="preserve">VAR-019</t>
  </si>
  <si>
    <t xml:space="preserve">¿Cómo indica el árbitro que necesita retrasar la reanudación para un chequeo del VAR?</t>
  </si>
  <si>
    <t xml:space="preserve">Señalando claramente al auricular con un dedo y extendiendo la otra mano o el otro brazo, hasta completar el chequeo.</t>
  </si>
  <si>
    <t xml:space="preserve">Levantando un brazo con la palma abierta y señalando al reloj, hasta que el VAR le informe.</t>
  </si>
  <si>
    <t xml:space="preserve">Dibujando con las manos un rectángulo en el aire y señalando al auricular, hasta completar el chequeo.</t>
  </si>
  <si>
    <t xml:space="preserve">El árbitro señala al auricular con un dedo y extiende la otra mano o brazo, y lo mantiene hasta completar el chequeo.</t>
  </si>
  <si>
    <t xml:space="preserve">Protocolo del VAR / Procedimientos</t>
  </si>
  <si>
    <t xml:space="preserve">VAR-020</t>
  </si>
  <si>
    <t xml:space="preserve">¿Qué es un «chequeo silencioso»?</t>
  </si>
  <si>
    <t xml:space="preserve">Un chequeo en el que el VAR no detecta error claro, obvio y manifiesto, por lo que no suele comunicarse con el árbitro.</t>
  </si>
  <si>
    <t xml:space="preserve">Un chequeo en el que el VAR se comunica con el árbitro mediante gestos, sin utilizar el sistema de audio.</t>
  </si>
  <si>
    <t xml:space="preserve">Una revisión que el árbitro realiza sin detener el desarrollo normal del juego.</t>
  </si>
  <si>
    <t xml:space="preserve">Si el chequeo no indica un error claro ni un incidente grave inadvertido, normalmente no hay comunicación: chequeo silencioso.</t>
  </si>
  <si>
    <t xml:space="preserve">VAR-021</t>
  </si>
  <si>
    <t xml:space="preserve">¿Cuándo hace el árbitro la «señal de la televisión» en un proceso de revisión?</t>
  </si>
  <si>
    <t xml:space="preserve">Al detener el juego para revisar y al terminar, antes de comunicar la decisión.</t>
  </si>
  <si>
    <t xml:space="preserve">Solo cuando revisa en el área de revisión, no en las revisiones solo del VAR.</t>
  </si>
  <si>
    <t xml:space="preserve">Solo al terminar el proceso de revisión, antes de comunicar la decisión final.</t>
  </si>
  <si>
    <t xml:space="preserve">El árbitro hace la señal de la televisión al detener el juego para revisar y al término de la revisión, antes de comunicar la decisión final.</t>
  </si>
  <si>
    <t xml:space="preserve">VAR-022</t>
  </si>
  <si>
    <t xml:space="preserve">¿Qué tipo de revisión es apropiada, en general, para decisiones subjetivas como la intensidad de una falta o una mano?</t>
  </si>
  <si>
    <t xml:space="preserve">La revisión en el terreno de juego.</t>
  </si>
  <si>
    <t xml:space="preserve">La revisión basada en el VAR.</t>
  </si>
  <si>
    <t xml:space="preserve">Ninguna, no se pueden revisar decisiones subjetivas.</t>
  </si>
  <si>
    <t xml:space="preserve">Para las decisiones subjetivas es apropiado realizar una revisión en el terreno de juego.</t>
  </si>
  <si>
    <t xml:space="preserve">VAR-023</t>
  </si>
  <si>
    <t xml:space="preserve">¿Qué tipo de revisión suele ser apropiada para decisiones objetivas, como la posición de un jugador en fuera de juego o el lugar de una infracción?</t>
  </si>
  <si>
    <t xml:space="preserve">La revisión basada únicamente en el VAR, al tratarse de datos objetivos.</t>
  </si>
  <si>
    <t xml:space="preserve">La revisión en el terreno de juego, en todos los casos, aunque sean datos objetivos.</t>
  </si>
  <si>
    <t xml:space="preserve">Ninguna revisión, pues son decisiones del árbitro asistente y no son revisables.</t>
  </si>
  <si>
    <t xml:space="preserve">La revisión basada únicamente en el VAR suele ser apropiada para decisiones objetivas.</t>
  </si>
  <si>
    <t xml:space="preserve">VAR-024</t>
  </si>
  <si>
    <t xml:space="preserve">¿Se pueden modificar las decisiones de reanudación (saques de banda, saques de esquina, etc.) una vez que el juego se ha reanudado?</t>
  </si>
  <si>
    <t xml:space="preserve">Sí, si el VAR advierte de un error claro, obvio y manifiesto.</t>
  </si>
  <si>
    <t xml:space="preserve">No, por lo que no se pueden revisar.</t>
  </si>
  <si>
    <t xml:space="preserve">Sí, dentro de los cinco segundos siguientes.</t>
  </si>
  <si>
    <t xml:space="preserve">Las Reglas de Juego no permiten modificar decisiones de reanudación una vez reanudado el juego, por lo que no se pueden revisar.</t>
  </si>
  <si>
    <t xml:space="preserve">VAR-025</t>
  </si>
  <si>
    <t xml:space="preserve">Un jugador hace de forma exagerada la señal de la televisión ante el árbitro durante un partido con VAR. ¿Qué sanción corresponde?</t>
  </si>
  <si>
    <t xml:space="preserve">Amonestación, por hacer de forma exagerada el gesto de la señal de televisión.</t>
  </si>
  <si>
    <t xml:space="preserve">Advertencia verbal, sin que este gesto llegue a considerarse sancionable con tarjeta.</t>
  </si>
  <si>
    <t xml:space="preserve">Expulsión, al considerar el gesto exagerado ante el árbitro como una falta de respeto grave.</t>
  </si>
  <si>
    <t xml:space="preserve">Se amonesta a quien haga la señal de la televisión de manera exagerada o acceda al área de revisión.</t>
  </si>
  <si>
    <t xml:space="preserve">VAR-026</t>
  </si>
  <si>
    <t xml:space="preserve">Un miembro del cuerpo técnico entra en la sala de vídeo durante el partido. El árbitro...</t>
  </si>
  <si>
    <t xml:space="preserve">Se expulsa a quien acceda a la sala de vídeo.</t>
  </si>
  <si>
    <t xml:space="preserve">VAR-027</t>
  </si>
  <si>
    <t xml:space="preserve">Como norma general, ¿se invalida un partido por errores en el funcionamiento de la tecnología del VAR?</t>
  </si>
  <si>
    <t xml:space="preserve">Sí, si se informa a la competición.</t>
  </si>
  <si>
    <t xml:space="preserve">Sí, si afecta al resultado.</t>
  </si>
  <si>
    <t xml:space="preserve">Como norma general no se invalida un partido por errores en el funcionamiento de la tecnología de VAR.</t>
  </si>
  <si>
    <t xml:space="preserve">Protocolo del VAR / Validez del partido</t>
  </si>
  <si>
    <t xml:space="preserve">VAR-028</t>
  </si>
  <si>
    <t xml:space="preserve">Según los aspectos prácticos del Protocolo, el VAR habla con el árbitro:</t>
  </si>
  <si>
    <t xml:space="preserve">Apretando antes un botón, para no distraerle con las conversaciones de la sala.</t>
  </si>
  <si>
    <t xml:space="preserve">De forma continua, para que esté informado de cualquier incidencia que detecte.</t>
  </si>
  <si>
    <t xml:space="preserve">A través del cuarto árbitro, que le transmite lo que le comunican desde la sala.</t>
  </si>
  <si>
    <t xml:space="preserve">El VAR debe apretar un botón antes de hablar con el árbitro para no distraerlo.</t>
  </si>
  <si>
    <t xml:space="preserve">Protocolo del VAR / Aspectos prácticos</t>
  </si>
  <si>
    <t xml:space="preserve">VAR-029</t>
  </si>
  <si>
    <t xml:space="preserve">¿Quién puede entrar en la sala de vídeo o comunicarse con el VAR durante el partido?</t>
  </si>
  <si>
    <t xml:space="preserve">Las personas autorizadas para ello, con exclusión de las demás.</t>
  </si>
  <si>
    <t xml:space="preserve">Los delegados de ambos equipos, sin restricción alguna.</t>
  </si>
  <si>
    <t xml:space="preserve">Cualquier miembro del equipo arbitral, sin restricción alguna.</t>
  </si>
  <si>
    <t xml:space="preserve">Durante el partido, solo las personas autorizadas pueden entrar en la sala de vídeo o comunicarse con el VAR, el AVAR o el técnico de repeticiones.</t>
  </si>
  <si>
    <t xml:space="preserve">VAR-030</t>
  </si>
  <si>
    <t xml:space="preserve">¿Cuándo puede utilizarse el VAR en un partido?</t>
  </si>
  <si>
    <t xml:space="preserve">Cuando se cumplen los requisitos del Manual del VAR y se cuenta con el permiso escrito de la FIFA.</t>
  </si>
  <si>
    <t xml:space="preserve">Cuando ambos equipos lo aceptan antes del partido, aunque no se cumplan los requisitos técnicos.</t>
  </si>
  <si>
    <t xml:space="preserve">Cuando la federación nacional lo autoriza de palabra, sin necesidad de un permiso por escrito.</t>
  </si>
  <si>
    <t xml:space="preserve">La actuación de los VAR exige cumplir los requisitos del Manual del VAR y contar con el permiso escrito de la FIFA.</t>
  </si>
  <si>
    <t xml:space="preserve">Protocolo del VAR / Introducción</t>
  </si>
  <si>
    <t xml:space="preserve">VAR-031</t>
  </si>
  <si>
    <t xml:space="preserve">Un asistente no levanta el banderín para retrasar la señalización de una infracción en un ataque claro. El equipo atacante marca gol. ¿Qué debe hacer?</t>
  </si>
  <si>
    <t xml:space="preserve">Levantar el banderín posteriormente, porque el equipo atacante marcó gol.</t>
  </si>
  <si>
    <t xml:space="preserve">Levantarlo solo si el árbitro se lo pide después del gol.</t>
  </si>
  <si>
    <t xml:space="preserve">No levantar el banderín, al haber dejado continuar el ataque hasta el gol.</t>
  </si>
  <si>
    <t xml:space="preserve">Si el asistente retrasó el banderín, deberá levantarlo después si el equipo atacante marca gol, o se le concede penal, libre, esquina o banda, o mantiene la posesión.</t>
  </si>
  <si>
    <t xml:space="preserve">VAR-032</t>
  </si>
  <si>
    <t xml:space="preserve">Protocolo del VAR</t>
  </si>
  <si>
    <t xml:space="preserve">¿Qué principio debe figurar en el reglamento de la competición respecto a quién puede sustituir a un VAR, un AVAR o un técnico de repeticiones que no pueda comenzar o continuar su labor?</t>
  </si>
  <si>
    <t xml:space="preserve">Que las personas con la cualificación necesaria podrán sustituirlos.</t>
  </si>
  <si>
    <t xml:space="preserve">Que cualquier árbitro presente en el estadio podrá sustituirlos sin formación específica.</t>
  </si>
  <si>
    <t xml:space="preserve">Que el delegado de la competición decidirá quién los sustituye.</t>
  </si>
  <si>
    <t xml:space="preserve">Solo aquellas personas con la cualificación necesaria podrán sustituir a un VAR, AVAR o técnico de repeticiones que no pueda comenzar o continuar su labor.</t>
  </si>
  <si>
    <t xml:space="preserve">VAR-033</t>
  </si>
  <si>
    <t xml:space="preserve">No se dispone de un sustituto cualificado para el VAR o para el técnico de repeticiones. ¿Qué debe hacerse?</t>
  </si>
  <si>
    <t xml:space="preserve">Disputar o continuar el partido sin VAR.</t>
  </si>
  <si>
    <t xml:space="preserve">Suspender el partido hasta disponer de uno.</t>
  </si>
  <si>
    <t xml:space="preserve">Continuar con VAR con el sustituto disponible.</t>
  </si>
  <si>
    <t xml:space="preserve">Si no se dispusiera de un sustituto cualificado para el VAR o el técnico de repeticiones, se deberá disputar o continuar el encuentro sin usar el sistema VAR.</t>
  </si>
  <si>
    <t xml:space="preserve">VAR-034</t>
  </si>
  <si>
    <t xml:space="preserve">Si no se pudiera disponer de un sustituto cualificado para el AVAR, según el Protocolo del VAR:</t>
  </si>
  <si>
    <t xml:space="preserve">El partido se disputará o continuará sin VAR, salvo que ambos equipos acuerden por escrito continuar solo con el VAR y el técnico de repeticiones.</t>
  </si>
  <si>
    <t xml:space="preserve">El partido se disputará o continuará con el VAR y el técnico de repeticiones, sin que sea necesario ningún acuerdo entre los equipos.</t>
  </si>
  <si>
    <t xml:space="preserve">El partido se suspenderá definitivamente, salvo que ambos equipos acuerden por escrito disputarlo o continuarlo sin el sistema VAR.</t>
  </si>
  <si>
    <t xml:space="preserve">Sin sustituto cualificado para el AVAR, se jugará sin VAR, salvo que en circunstancias excepcionales ambos equipos acuerden por escrito continuar solo con el VAR y el técnico de repeticiones.</t>
  </si>
  <si>
    <t xml:space="preserve">VAR-035</t>
  </si>
  <si>
    <t xml:space="preserve">Además de los errores tecnológicos, ¿qué otro motivo no invalida, como norma general, un partido en el que se ha utilizado el VAR?</t>
  </si>
  <si>
    <t xml:space="preserve">Una decisión errónea en la que haya participado el VAR.</t>
  </si>
  <si>
    <t xml:space="preserve">Una decisión errónea, salvo que el club la reclame.</t>
  </si>
  <si>
    <t xml:space="preserve">Una decisión errónea, salvo que afecte al resultado.</t>
  </si>
  <si>
    <t xml:space="preserve">Como norma general no se invalidará el partido por decisiones erróneas en las que haya participado el VAR, puesto que este forma parte del equipo arbitral.</t>
  </si>
  <si>
    <t xml:space="preserve">VAR-036</t>
  </si>
  <si>
    <t xml:space="preserve">¿Se invalidará el partido, como norma general, si el equipo arbitral decide no revisar un incidente?</t>
  </si>
  <si>
    <t xml:space="preserve">No, la decisión de no revisar un incidente no invalida, como norma general, el partido.</t>
  </si>
  <si>
    <t xml:space="preserve">Sí, si posteriormente se demuestra que el incidente merecía revisión.</t>
  </si>
  <si>
    <t xml:space="preserve">Sí, salvo que el árbitro principal asuma personalmente la responsabilidad del error.</t>
  </si>
  <si>
    <t xml:space="preserve">Como norma general, el partido no se invalidará por decisiones de no revisar un incidente.</t>
  </si>
  <si>
    <t xml:space="preserve">VAR-037</t>
  </si>
  <si>
    <t xml:space="preserve">Durante una revisión en el área de revisión, ¿quién selecciona el ángulo y la velocidad de las imágenes?</t>
  </si>
  <si>
    <t xml:space="preserve">El VAR, aunque el árbitro puede pedir otros ángulos o velocidades.</t>
  </si>
  <si>
    <t xml:space="preserve">El árbitro, sin intervención del VAR ni del técnico de repeticiones.</t>
  </si>
  <si>
    <t xml:space="preserve">El técnico de repeticiones, sin que el árbitro pueda pedir cambios.</t>
  </si>
  <si>
    <t xml:space="preserve">El VAR seleccionará el ángulo y la velocidad más apropiados; el árbitro podrá solicitar otro ángulo o velocidad alternativos o adicionales.</t>
  </si>
  <si>
    <t xml:space="preserve">VAR-038</t>
  </si>
  <si>
    <t xml:space="preserve">Según el Protocolo del VAR, el árbitro asistente puede retrasar la señalización de una infracción:</t>
  </si>
  <si>
    <t xml:space="preserve">En situaciones de ataque muy claras, con un jugador a punto de marcar o con camino despejado hacia el área.</t>
  </si>
  <si>
    <t xml:space="preserve">En cualquier situación de ataque, con independencia de su claridad o de la cercanía a la portería contraria.</t>
  </si>
  <si>
    <t xml:space="preserve">Solo cuando el árbitro se lo haya solicitado antes de la jugada, y no por iniciativa propia del asistente.</t>
  </si>
  <si>
    <t xml:space="preserve">Solo estará permitido retrasar la señalización de una infracción en situaciones de ataque muy claras, en las que un jugador esté a punto de marcar un gol o tenga un camino despejado hacia el área penal contraria.</t>
  </si>
  <si>
    <t xml:space="preserve">VAR-039</t>
  </si>
  <si>
    <t xml:space="preserve">Dentro de la categoría de decisiones sobre gol/no gol revisables por el VAR, ¿qué aspecto adicional, distinto de la infracción del equipo atacante, puede comprobarse?</t>
  </si>
  <si>
    <t xml:space="preserve">Si el balón estaba o no en juego antes de marcarse el gol.</t>
  </si>
  <si>
    <t xml:space="preserve">La valoración táctica de la jugada que originó el ataque.</t>
  </si>
  <si>
    <t xml:space="preserve">El estado físico del jugador que anotó el gol.</t>
  </si>
  <si>
    <t xml:space="preserve">Entre los aspectos revisables en la categoría de gol/no gol se incluye si el balón estaba en juego antes de marcarse el gol.</t>
  </si>
  <si>
    <t xml:space="preserve">VAR-040</t>
  </si>
  <si>
    <t xml:space="preserve">Dentro de la categoría de decisiones sobre penal/no penal revisables por el VAR, ¿qué situación puede revisarse además de la concesión errónea de un penal?</t>
  </si>
  <si>
    <t xml:space="preserve">Una infracción sancionable con penal que no haya sido sancionada.</t>
  </si>
  <si>
    <t xml:space="preserve">La velocidad a la que se desplazaba el balón antes de la infracción.</t>
  </si>
  <si>
    <t xml:space="preserve">El número de jugadores presentes dentro del área penal en el momento de la infracción.</t>
  </si>
  <si>
    <t xml:space="preserve">También es revisable una infracción sancionable con penal que no haya sido sancionada por el árbitro.</t>
  </si>
  <si>
    <t xml:space="preserve">VAR-041</t>
  </si>
  <si>
    <t xml:space="preserve">Al revisar una posible infracción, ¿a qué velocidad de reproducción debe recurrirse, con carácter general, para comprobar la intensidad de una infracción o decidir si se ha cometido mano?</t>
  </si>
  <si>
    <t xml:space="preserve">A velocidad normal, con carácter general.</t>
  </si>
  <si>
    <t xml:space="preserve">A cámara lenta, para apreciar mejor el contacto y su intensidad.</t>
  </si>
  <si>
    <t xml:space="preserve">A velocidad acelerada, para valorar la trayectoria completa de la jugada.</t>
  </si>
  <si>
    <t xml:space="preserve">Se utilizará la velocidad normal para comprobar la intensidad de una infracción o decidir si se ha cometido una infracción por mano.</t>
  </si>
  <si>
    <t xml:space="preserve">VAR-042</t>
  </si>
  <si>
    <t xml:space="preserve">¿Pueden las competiciones implantar un sistema en el que el árbitro explique y anuncie públicamente sus decisiones tras una revisión o una comprobación prolongada del VAR?</t>
  </si>
  <si>
    <t xml:space="preserve">Sí, como se especifica en las directrices de la FIFA y en el Manual del VAR.</t>
  </si>
  <si>
    <t xml:space="preserve">No, el árbitro no puede comunicar públicamente el resultado de una revisión.</t>
  </si>
  <si>
    <t xml:space="preserve">Sí, si lo solicita expresamente el equipo perjudicado por la decisión inicial.</t>
  </si>
  <si>
    <t xml:space="preserve">Las competiciones pueden implantar un sistema en el que el árbitro explique y anuncie las decisiones públicamente tras una revisión o comprobación prolongada, según las directrices de la FIFA y el Manual del VAR.</t>
  </si>
  <si>
    <t xml:space="preserve">VAR-043</t>
  </si>
  <si>
    <t xml:space="preserve">La Regla 6 establece que el reglamento de la competición debe estipular quién sustituirá a un miembro del equipo arbitral que no pueda continuar su labor. ¿A quién más se aplica esta previsión en los partidos con VAR?</t>
  </si>
  <si>
    <t xml:space="preserve">También a los técnicos de repeticiones, además de a los miembros del equipo arbitral.</t>
  </si>
  <si>
    <t xml:space="preserve">Al árbitro principal, no al resto del equipo arbitral de vídeo.</t>
  </si>
  <si>
    <t xml:space="preserve">A ningún otro miembro del equipo arbitral de vídeo, que carece de previsión de sustitución.</t>
  </si>
  <si>
    <t xml:space="preserve">En los partidos con VAR, la previsión de la Regla 6 sobre sustitución de un miembro del equipo arbitral se aplica también a los técnicos de repeticiones.</t>
  </si>
  <si>
    <t xml:space="preserve">VAR-044</t>
  </si>
  <si>
    <t xml:space="preserve">¿Cuándo puede el VAR recomendar al árbitro que revise una decisión de fuera de juego?</t>
  </si>
  <si>
    <t xml:space="preserve">Cuando esté relacionada con un gol, un penal, una tarjeta roja o confusión de identidad.</t>
  </si>
  <si>
    <t xml:space="preserve">En cualquier decisión de fuera de juego, sean cuales sean sus consecuencias en el juego.</t>
  </si>
  <si>
    <t xml:space="preserve">No puede, porque las decisiones de fuera de juego no son revisables por el VAR.</t>
  </si>
  <si>
    <t xml:space="preserve">El fuera de juego es revisable por el VAR cuando está directamente relacionado con las materias revisables: gol/no gol, penal/no penal, tarjeta roja directa y confusión de identidad.</t>
  </si>
  <si>
    <t xml:space="preserve">VAR-045</t>
  </si>
  <si>
    <t xml:space="preserve">Durante una revisión, el árbitro advierte otro error claro en la misma jugada, dentro de las materias revisables. ¿Puede tenerlo en cuenta?</t>
  </si>
  <si>
    <t xml:space="preserve">Sí, si está relacionado con la misma jugada.</t>
  </si>
  <si>
    <t xml:space="preserve">No, solo puede revisar lo que motivó la revisión.</t>
  </si>
  <si>
    <t xml:space="preserve">Sí, aunque no esté relacionado con esa jugada.</t>
  </si>
  <si>
    <t xml:space="preserve">Durante una revisión, el árbitro puede tener en cuenta cualquier otro incidente relacionado con la misma jugada dentro de las materias revisables por el VAR.</t>
  </si>
  <si>
    <t xml:space="preserve">VAR-046</t>
  </si>
  <si>
    <t xml:space="preserve">Durante el partido falla el sistema de comunicación entre el árbitro y el VAR. ¿Qué ocurre?</t>
  </si>
  <si>
    <t xml:space="preserve">El partido continúa sin VAR, salvo que pueda restablecerse con rapidez.</t>
  </si>
  <si>
    <t xml:space="preserve">El partido se suspende hasta que se repare el sistema de comunicación.</t>
  </si>
  <si>
    <t xml:space="preserve">El árbitro debe acudir a la sala de vídeo tras cada jugada dudosa.</t>
  </si>
  <si>
    <t xml:space="preserve">Si el sistema de comunicación falla, el partido continuará sin el VAR mientras no pueda restablecerse la comunicación con celeridad.</t>
  </si>
  <si>
    <t xml:space="preserve">VAR-047</t>
  </si>
  <si>
    <t xml:space="preserve">¿Puede el árbitro tomar la decisión final basándose solo en la información del VAR, sin acudir al área de revisión?</t>
  </si>
  <si>
    <t xml:space="preserve">Sí, en determinadas circunstancias.</t>
  </si>
  <si>
    <t xml:space="preserve">No, debe acudir al área de revisión.</t>
  </si>
  <si>
    <t xml:space="preserve">No, la información del VAR no basta.</t>
  </si>
  <si>
    <t xml:space="preserve">El árbitro puede basar su decisión final en la información facilitada por el VAR sin necesidad de acudir siempre al área de revisión, según el tipo de revisión.</t>
  </si>
  <si>
    <t xml:space="preserve">VAR-048</t>
  </si>
  <si>
    <t xml:space="preserve">¿Puede el VAR intervenir ante una tarjeta roja derivada de una segunda amonestación claramente incorrecta?</t>
  </si>
  <si>
    <t xml:space="preserve">Sí, es una de las situaciones revisables.</t>
  </si>
  <si>
    <t xml:space="preserve">No, las amonestaciones no son revisables.</t>
  </si>
  <si>
    <t xml:space="preserve">Solo si lo solicita el equipo perjudicado.</t>
  </si>
  <si>
    <t xml:space="preserve">Entre las decisiones revisables por el VAR se encuentra la tarjeta roja derivada de una segunda amonestación claramente incorrecta.</t>
  </si>
  <si>
    <t xml:space="preserve">VAR-049</t>
  </si>
  <si>
    <t xml:space="preserve">Durante una revisión, ¿deben los capitanes acompañar al árbitro al área de revisión?</t>
  </si>
  <si>
    <t xml:space="preserve">No, la revisión corresponde al árbitro.</t>
  </si>
  <si>
    <t xml:space="preserve">Sí, deben acompañarle ambos capitanes.</t>
  </si>
  <si>
    <t xml:space="preserve">Sí, solo el capitán del equipo perjudicado.</t>
  </si>
  <si>
    <t xml:space="preserve">La revisión en el área correspondiente es un proceso que corresponde al árbitro, sin que sea preceptivo que los capitanes le acompañen.</t>
  </si>
  <si>
    <t xml:space="preserve">VAR-050</t>
  </si>
  <si>
    <t xml:space="preserve">¿Puede el VAR recomendar la revisión de un fuera de juego que no guarda relación con un gol, un penal o una expulsión?</t>
  </si>
  <si>
    <t xml:space="preserve">Sí, en cualquier momento.</t>
  </si>
  <si>
    <t xml:space="preserve">Sí, si el equipo perjudicado protesta.</t>
  </si>
  <si>
    <t xml:space="preserve">El fuera de juego solo es revisable por el VAR cuando está directamente vinculado con una de las materias revisables, como un gol o un penal.</t>
  </si>
  <si>
    <t xml:space="preserve">VAR-051</t>
  </si>
  <si>
    <t xml:space="preserve">Los jugadores de un equipo insisten reiteradamente al árbitro para que consulte al VAR una jugada. El árbitro...</t>
  </si>
  <si>
    <t xml:space="preserve">Puede amonestar a quien persista.</t>
  </si>
  <si>
    <t xml:space="preserve">Debe consultar de nuevo al VAR.</t>
  </si>
  <si>
    <t xml:space="preserve">No puede tomar ninguna medida.</t>
  </si>
  <si>
    <t xml:space="preserve">Rodear o presionar reiteradamente al árbitro para influir en su decisión de revisar una jugada puede sancionarse conforme a las disposiciones sobre conducta antideportiva.</t>
  </si>
  <si>
    <t xml:space="preserve">VAR-052</t>
  </si>
  <si>
    <t xml:space="preserve">¿Puede el árbitro decidir no revisar una jugada aunque el VAR se lo recomiende expresamente?</t>
  </si>
  <si>
    <t xml:space="preserve">Sí, la decisión final sobre si revisar y qué decisión adoptar corresponde siempre al árbitro principal.</t>
  </si>
  <si>
    <t xml:space="preserve">No, si el VAR recomienda una revisión, el árbitro está obligado a modificar automáticamente su decisión.</t>
  </si>
  <si>
    <t xml:space="preserve">No, la recomendación del VAR es siempre vinculante para el árbitro sin posibilidad de discrepar.</t>
  </si>
  <si>
    <t xml:space="preserve">La decisión final, incluida la de revisar o no una jugada tras la recomendación del VAR, corresponde siempre al árbitro principal.</t>
  </si>
  <si>
    <t xml:space="preserve">VAR-053</t>
  </si>
  <si>
    <t xml:space="preserve">Durante una revisión, ¿puede el VAR comunicar su decisión directamente a los jugadores?</t>
  </si>
  <si>
    <t xml:space="preserve">No, la comunica el árbitro.</t>
  </si>
  <si>
    <t xml:space="preserve">Sí, a los jugadores implicados.</t>
  </si>
  <si>
    <t xml:space="preserve">Sí, a los capitanes de ambos equipos.</t>
  </si>
  <si>
    <t xml:space="preserve">El VAR se comunica con el árbitro; es este quien, tras la revisión, comunica la decisión final a los jugadores y al resto de personas presentes.</t>
  </si>
  <si>
    <t xml:space="preserve">VAR-054</t>
  </si>
  <si>
    <t xml:space="preserve">Durante una revisión, ¿puede el árbitro valorar distintas opciones antes de comunicar su decisión final?</t>
  </si>
  <si>
    <t xml:space="preserve">Sí, la decisión vinculante es la final.</t>
  </si>
  <si>
    <t xml:space="preserve">No, vale su primera impresión al ver las imágenes.</t>
  </si>
  <si>
    <t xml:space="preserve">No, no puede modificar su valoración inicial.</t>
  </si>
  <si>
    <t xml:space="preserve">Durante el proceso de revisión, el árbitro puede valorar la información disponible antes de comunicar su decisión final, que es la que resulta vinculante.</t>
  </si>
  <si>
    <t xml:space="preserve">VAR-055</t>
  </si>
  <si>
    <t xml:space="preserve">¿Puede utilizarse el VAR si solo se dispone de un AVAR, sin un VAR?</t>
  </si>
  <si>
    <t xml:space="preserve">No, debe haber un VAR, que puede contar con uno o más AVAR.</t>
  </si>
  <si>
    <t xml:space="preserve">Sí, el AVAR puede asumir las funciones propias de un VAR.</t>
  </si>
  <si>
    <t xml:space="preserve">Sí, si el árbitro asume también las funciones propias del VAR.</t>
  </si>
  <si>
    <t xml:space="preserve">El sistema VAR requiere la presencia de un VAR, que puede contar con la asistencia de uno o más AVAR según la implementación de cada competición.</t>
  </si>
  <si>
    <t xml:space="preserve">VAR-056</t>
  </si>
  <si>
    <t xml:space="preserve">¿Puede el VAR recomendar la revisión de un saque de esquina concedido por error en lugar de un saque de meta?</t>
  </si>
  <si>
    <t xml:space="preserve">Sí, si la competición lo prevé.</t>
  </si>
  <si>
    <t xml:space="preserve">No, los saques no son revisables.</t>
  </si>
  <si>
    <t xml:space="preserve">Solo si en esa jugada se marca gol.</t>
  </si>
  <si>
    <t xml:space="preserve">Determinadas competiciones pueden prever la revisión de errores claros en la concesión de saques, como el de esquina en lugar del de meta, dentro de las condiciones establecidas.</t>
  </si>
  <si>
    <t xml:space="preserve">VAR-057</t>
  </si>
  <si>
    <t xml:space="preserve">El árbitro concede un gol, pero el balón no había cruzado la línea de meta. ¿Puede intervenir el VAR?</t>
  </si>
  <si>
    <t xml:space="preserve">Sí, el gol/no gol es una materia revisable.</t>
  </si>
  <si>
    <t xml:space="preserve">No, solo puede revisarse con la tecnología DAG.</t>
  </si>
  <si>
    <t xml:space="preserve">Solo si el equipo perjudicado lo reclama después.</t>
  </si>
  <si>
    <t xml:space="preserve">La decisión de gol o no gol es una de las materias revisables por el VAR ante un error claro, obvio y manifiesto.</t>
  </si>
  <si>
    <t xml:space="preserve">VAR-058</t>
  </si>
  <si>
    <t xml:space="preserve">¿Puede modificarse, durante el propio partido, la decisión de utilizar o no el sistema VAR ya anunciada antes de su inicio?</t>
  </si>
  <si>
    <t xml:space="preserve">No, se determina antes del partido conforme a los requisitos exigidos, salvo avería del sistema.</t>
  </si>
  <si>
    <t xml:space="preserve">Sí, cualquiera de los dos equipos puede pedir activar o desactivar el VAR durante el partido.</t>
  </si>
  <si>
    <t xml:space="preserve">Sí, el árbitro puede decidir libremente activar el VAR en el segundo tiempo.</t>
  </si>
  <si>
    <t xml:space="preserve">La implementación del VAR se decide antes del inicio del partido conforme a los requisitos técnicos exigidos, sin que pueda modificarse a mitad de encuentro salvo por causas técnicas como una avería.</t>
  </si>
  <si>
    <t xml:space="preserve">Regla / Tema</t>
  </si>
  <si>
    <t xml:space="preserve">Nº preguntas</t>
  </si>
  <si>
    <t xml:space="preserve">Normativa (Reglamento y Bases)</t>
  </si>
  <si>
    <t xml:space="preserve">TOTAL</t>
  </si>
  <si>
    <t xml:space="preserve">Tipo</t>
  </si>
  <si>
    <t xml:space="preserve">situacion</t>
  </si>
  <si>
    <t xml:space="preserve">directa</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</si>
</sst>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color rgb="FFFFFFFF"/>
      <name val="Cambria"/>
      <family val="0"/>
      <charset val="1"/>
    </font>
  </fonts>
  <fills count="3">
    <fill>
      <patternFill patternType="none"/>
    </fill>
    <fill>
      <patternFill patternType="gray125"/>
    </fill>
    <fill>
      <patternFill patternType="solid">
        <fgColor rgb="FF0D3B66"/>
        <bgColor rgb="FF33339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0D3B66"/>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D3B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39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9765625" defaultRowHeight="15" customHeight="false"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16"/>
    <col collapsed="false" customWidth="true" hidden="false" outlineLevel="0" max="4" min="4" style="0" width="45"/>
    <col collapsed="false" customWidth="true" hidden="false" outlineLevel="0" max="7" min="5" style="0" width="30"/>
    <col collapsed="false" customWidth="true" hidden="false" outlineLevel="0" max="8" min="8" style="0" width="9"/>
    <col collapsed="false" customWidth="true" hidden="false" outlineLevel="0" max="9" min="9" style="0" width="45"/>
    <col collapsed="false" customWidth="true" hidden="false" outlineLevel="0" max="10" min="10" style="0" width="14"/>
    <col collapsed="false" customWidth="true" hidden="false" outlineLevel="0" max="11" min="11" style="0" width="30"/>
    <col collapsed="false" customWidth="true" hidden="false" outlineLevel="0" max="12" min="12" style="0" width="10"/>
    <col collapsed="false" customWidth="true" hidden="false" outlineLevel="0" max="13" min="13" style="0" width="8"/>
  </cols>
  <sheetData>
    <row r="1" customFormat="false" ht="31.3"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row>
    <row r="2" customFormat="false" ht="46.25" hidden="false" customHeight="false" outlineLevel="0" collapsed="false">
      <c r="A2" s="2" t="s">
        <v>13</v>
      </c>
      <c r="B2" s="2" t="s">
        <v>14</v>
      </c>
      <c r="C2" s="2" t="s">
        <v>15</v>
      </c>
      <c r="D2" s="2" t="s">
        <v>16</v>
      </c>
      <c r="E2" s="2" t="s">
        <v>17</v>
      </c>
      <c r="F2" s="2" t="s">
        <v>18</v>
      </c>
      <c r="G2" s="2" t="s">
        <v>19</v>
      </c>
      <c r="H2" s="2" t="s">
        <v>20</v>
      </c>
      <c r="I2" s="2" t="s">
        <v>21</v>
      </c>
      <c r="J2" s="2" t="s">
        <v>15</v>
      </c>
      <c r="K2" s="2" t="s">
        <v>22</v>
      </c>
      <c r="L2" s="2" t="n">
        <v>4</v>
      </c>
      <c r="M2" s="2"/>
    </row>
    <row r="3" customFormat="false" ht="46.25" hidden="false" customHeight="false" outlineLevel="0" collapsed="false">
      <c r="A3" s="2" t="s">
        <v>23</v>
      </c>
      <c r="B3" s="2" t="s">
        <v>14</v>
      </c>
      <c r="C3" s="2" t="s">
        <v>15</v>
      </c>
      <c r="D3" s="2" t="s">
        <v>24</v>
      </c>
      <c r="E3" s="2" t="s">
        <v>25</v>
      </c>
      <c r="F3" s="2" t="s">
        <v>26</v>
      </c>
      <c r="G3" s="2" t="s">
        <v>27</v>
      </c>
      <c r="H3" s="2" t="s">
        <v>28</v>
      </c>
      <c r="I3" s="2" t="s">
        <v>29</v>
      </c>
      <c r="J3" s="2" t="s">
        <v>15</v>
      </c>
      <c r="K3" s="2" t="s">
        <v>22</v>
      </c>
      <c r="L3" s="2" t="n">
        <v>1</v>
      </c>
      <c r="M3" s="2"/>
    </row>
    <row r="4" customFormat="false" ht="61.15" hidden="false" customHeight="false" outlineLevel="0" collapsed="false">
      <c r="A4" s="2" t="s">
        <v>30</v>
      </c>
      <c r="B4" s="2" t="s">
        <v>14</v>
      </c>
      <c r="C4" s="2" t="s">
        <v>31</v>
      </c>
      <c r="D4" s="2" t="s">
        <v>32</v>
      </c>
      <c r="E4" s="2" t="s">
        <v>33</v>
      </c>
      <c r="F4" s="2" t="s">
        <v>34</v>
      </c>
      <c r="G4" s="2" t="s">
        <v>35</v>
      </c>
      <c r="H4" s="2" t="s">
        <v>20</v>
      </c>
      <c r="I4" s="2" t="s">
        <v>36</v>
      </c>
      <c r="J4" s="2" t="s">
        <v>31</v>
      </c>
      <c r="K4" s="2" t="s">
        <v>22</v>
      </c>
      <c r="L4" s="2" t="n">
        <v>2</v>
      </c>
      <c r="M4" s="2"/>
    </row>
    <row r="5" customFormat="false" ht="61.15" hidden="false" customHeight="false" outlineLevel="0" collapsed="false">
      <c r="A5" s="2" t="s">
        <v>37</v>
      </c>
      <c r="B5" s="2" t="s">
        <v>14</v>
      </c>
      <c r="C5" s="2" t="s">
        <v>31</v>
      </c>
      <c r="D5" s="2" t="s">
        <v>38</v>
      </c>
      <c r="E5" s="2" t="s">
        <v>39</v>
      </c>
      <c r="F5" s="2" t="s">
        <v>40</v>
      </c>
      <c r="G5" s="2" t="s">
        <v>41</v>
      </c>
      <c r="H5" s="2" t="s">
        <v>28</v>
      </c>
      <c r="I5" s="2" t="s">
        <v>42</v>
      </c>
      <c r="J5" s="2" t="s">
        <v>31</v>
      </c>
      <c r="K5" s="2" t="s">
        <v>22</v>
      </c>
      <c r="L5" s="2" t="n">
        <v>4</v>
      </c>
      <c r="M5" s="2"/>
    </row>
    <row r="6" customFormat="false" ht="61.15" hidden="false" customHeight="false" outlineLevel="0" collapsed="false">
      <c r="A6" s="2" t="s">
        <v>43</v>
      </c>
      <c r="B6" s="2" t="s">
        <v>14</v>
      </c>
      <c r="C6" s="2" t="s">
        <v>31</v>
      </c>
      <c r="D6" s="2" t="s">
        <v>44</v>
      </c>
      <c r="E6" s="2" t="s">
        <v>45</v>
      </c>
      <c r="F6" s="2" t="s">
        <v>46</v>
      </c>
      <c r="G6" s="2" t="s">
        <v>47</v>
      </c>
      <c r="H6" s="2" t="s">
        <v>28</v>
      </c>
      <c r="I6" s="2" t="s">
        <v>48</v>
      </c>
      <c r="J6" s="2" t="s">
        <v>31</v>
      </c>
      <c r="K6" s="2" t="s">
        <v>22</v>
      </c>
      <c r="L6" s="2" t="n">
        <v>4</v>
      </c>
      <c r="M6" s="2"/>
    </row>
    <row r="7" customFormat="false" ht="31.3" hidden="false" customHeight="false" outlineLevel="0" collapsed="false">
      <c r="A7" s="2" t="s">
        <v>49</v>
      </c>
      <c r="B7" s="2" t="s">
        <v>14</v>
      </c>
      <c r="C7" s="2" t="s">
        <v>50</v>
      </c>
      <c r="D7" s="2" t="s">
        <v>51</v>
      </c>
      <c r="E7" s="2" t="s">
        <v>52</v>
      </c>
      <c r="F7" s="2" t="s">
        <v>53</v>
      </c>
      <c r="G7" s="2" t="s">
        <v>54</v>
      </c>
      <c r="H7" s="2" t="s">
        <v>28</v>
      </c>
      <c r="I7" s="2" t="s">
        <v>55</v>
      </c>
      <c r="J7" s="2" t="s">
        <v>50</v>
      </c>
      <c r="K7" s="2" t="s">
        <v>22</v>
      </c>
      <c r="L7" s="2" t="n">
        <v>1</v>
      </c>
      <c r="M7" s="2"/>
    </row>
    <row r="8" customFormat="false" ht="46.25" hidden="false" customHeight="false" outlineLevel="0" collapsed="false">
      <c r="A8" s="2" t="s">
        <v>56</v>
      </c>
      <c r="B8" s="2" t="s">
        <v>14</v>
      </c>
      <c r="C8" s="2" t="s">
        <v>50</v>
      </c>
      <c r="D8" s="2" t="s">
        <v>57</v>
      </c>
      <c r="E8" s="2" t="s">
        <v>58</v>
      </c>
      <c r="F8" s="2" t="s">
        <v>59</v>
      </c>
      <c r="G8" s="2" t="s">
        <v>60</v>
      </c>
      <c r="H8" s="2" t="s">
        <v>28</v>
      </c>
      <c r="I8" s="2" t="s">
        <v>61</v>
      </c>
      <c r="J8" s="2" t="s">
        <v>50</v>
      </c>
      <c r="K8" s="2" t="s">
        <v>22</v>
      </c>
      <c r="L8" s="2" t="n">
        <v>2</v>
      </c>
      <c r="M8" s="2"/>
    </row>
    <row r="9" customFormat="false" ht="46.25" hidden="false" customHeight="false" outlineLevel="0" collapsed="false">
      <c r="A9" s="2" t="s">
        <v>62</v>
      </c>
      <c r="B9" s="2" t="s">
        <v>14</v>
      </c>
      <c r="C9" s="2" t="s">
        <v>50</v>
      </c>
      <c r="D9" s="2" t="s">
        <v>63</v>
      </c>
      <c r="E9" s="2" t="s">
        <v>64</v>
      </c>
      <c r="F9" s="2" t="s">
        <v>65</v>
      </c>
      <c r="G9" s="2" t="s">
        <v>66</v>
      </c>
      <c r="H9" s="2" t="s">
        <v>28</v>
      </c>
      <c r="I9" s="2" t="s">
        <v>67</v>
      </c>
      <c r="J9" s="2" t="s">
        <v>50</v>
      </c>
      <c r="K9" s="2" t="s">
        <v>22</v>
      </c>
      <c r="L9" s="2" t="n">
        <v>4</v>
      </c>
      <c r="M9" s="2"/>
    </row>
    <row r="10" customFormat="false" ht="61.15" hidden="false" customHeight="false" outlineLevel="0" collapsed="false">
      <c r="A10" s="2" t="s">
        <v>68</v>
      </c>
      <c r="B10" s="2" t="s">
        <v>14</v>
      </c>
      <c r="C10" s="2" t="s">
        <v>50</v>
      </c>
      <c r="D10" s="2" t="s">
        <v>69</v>
      </c>
      <c r="E10" s="2" t="s">
        <v>70</v>
      </c>
      <c r="F10" s="2" t="s">
        <v>71</v>
      </c>
      <c r="G10" s="2" t="s">
        <v>33</v>
      </c>
      <c r="H10" s="2" t="s">
        <v>28</v>
      </c>
      <c r="I10" s="2" t="s">
        <v>72</v>
      </c>
      <c r="J10" s="2" t="s">
        <v>50</v>
      </c>
      <c r="K10" s="2" t="s">
        <v>22</v>
      </c>
      <c r="L10" s="2" t="n">
        <v>2</v>
      </c>
      <c r="M10" s="2"/>
    </row>
    <row r="11" customFormat="false" ht="46.25" hidden="false" customHeight="false" outlineLevel="0" collapsed="false">
      <c r="A11" s="2" t="s">
        <v>73</v>
      </c>
      <c r="B11" s="2" t="s">
        <v>14</v>
      </c>
      <c r="C11" s="2" t="s">
        <v>50</v>
      </c>
      <c r="D11" s="2" t="s">
        <v>74</v>
      </c>
      <c r="E11" s="2" t="s">
        <v>75</v>
      </c>
      <c r="F11" s="2" t="s">
        <v>76</v>
      </c>
      <c r="G11" s="2" t="s">
        <v>77</v>
      </c>
      <c r="H11" s="2" t="s">
        <v>28</v>
      </c>
      <c r="I11" s="2" t="s">
        <v>78</v>
      </c>
      <c r="J11" s="2" t="s">
        <v>50</v>
      </c>
      <c r="K11" s="2" t="s">
        <v>22</v>
      </c>
      <c r="L11" s="2" t="n">
        <v>4</v>
      </c>
      <c r="M11" s="2"/>
    </row>
    <row r="12" customFormat="false" ht="76.1" hidden="false" customHeight="false" outlineLevel="0" collapsed="false">
      <c r="A12" s="2" t="s">
        <v>79</v>
      </c>
      <c r="B12" s="2" t="s">
        <v>14</v>
      </c>
      <c r="C12" s="2" t="s">
        <v>50</v>
      </c>
      <c r="D12" s="2" t="s">
        <v>80</v>
      </c>
      <c r="E12" s="2" t="s">
        <v>81</v>
      </c>
      <c r="F12" s="2" t="s">
        <v>82</v>
      </c>
      <c r="G12" s="2" t="s">
        <v>83</v>
      </c>
      <c r="H12" s="2" t="s">
        <v>28</v>
      </c>
      <c r="I12" s="2" t="s">
        <v>84</v>
      </c>
      <c r="J12" s="2" t="s">
        <v>50</v>
      </c>
      <c r="K12" s="2" t="s">
        <v>22</v>
      </c>
      <c r="L12" s="2" t="n">
        <v>2</v>
      </c>
      <c r="M12" s="2"/>
    </row>
    <row r="13" customFormat="false" ht="46.25" hidden="false" customHeight="false" outlineLevel="0" collapsed="false">
      <c r="A13" s="2" t="s">
        <v>85</v>
      </c>
      <c r="B13" s="2" t="s">
        <v>14</v>
      </c>
      <c r="C13" s="2" t="s">
        <v>86</v>
      </c>
      <c r="D13" s="2" t="s">
        <v>87</v>
      </c>
      <c r="E13" s="2" t="s">
        <v>88</v>
      </c>
      <c r="F13" s="2" t="s">
        <v>89</v>
      </c>
      <c r="G13" s="2" t="s">
        <v>90</v>
      </c>
      <c r="H13" s="2" t="s">
        <v>20</v>
      </c>
      <c r="I13" s="2" t="s">
        <v>91</v>
      </c>
      <c r="J13" s="2" t="s">
        <v>86</v>
      </c>
      <c r="K13" s="2" t="s">
        <v>22</v>
      </c>
      <c r="L13" s="2" t="n">
        <v>4</v>
      </c>
      <c r="M13" s="2"/>
    </row>
    <row r="14" customFormat="false" ht="46.25" hidden="false" customHeight="false" outlineLevel="0" collapsed="false">
      <c r="A14" s="2" t="s">
        <v>92</v>
      </c>
      <c r="B14" s="2" t="s">
        <v>14</v>
      </c>
      <c r="C14" s="2" t="s">
        <v>93</v>
      </c>
      <c r="D14" s="2" t="s">
        <v>94</v>
      </c>
      <c r="E14" s="2" t="s">
        <v>95</v>
      </c>
      <c r="F14" s="2" t="s">
        <v>96</v>
      </c>
      <c r="G14" s="2" t="s">
        <v>97</v>
      </c>
      <c r="H14" s="2" t="s">
        <v>28</v>
      </c>
      <c r="I14" s="2" t="s">
        <v>98</v>
      </c>
      <c r="J14" s="2" t="s">
        <v>93</v>
      </c>
      <c r="K14" s="2" t="s">
        <v>22</v>
      </c>
      <c r="L14" s="2" t="n">
        <v>3</v>
      </c>
      <c r="M14" s="2"/>
    </row>
    <row r="15" customFormat="false" ht="46.25" hidden="false" customHeight="false" outlineLevel="0" collapsed="false">
      <c r="A15" s="2" t="s">
        <v>99</v>
      </c>
      <c r="B15" s="2" t="s">
        <v>14</v>
      </c>
      <c r="C15" s="2" t="s">
        <v>100</v>
      </c>
      <c r="D15" s="2" t="s">
        <v>101</v>
      </c>
      <c r="E15" s="2" t="s">
        <v>102</v>
      </c>
      <c r="F15" s="2" t="s">
        <v>103</v>
      </c>
      <c r="G15" s="2" t="s">
        <v>104</v>
      </c>
      <c r="H15" s="2" t="s">
        <v>28</v>
      </c>
      <c r="I15" s="2" t="s">
        <v>105</v>
      </c>
      <c r="J15" s="2" t="s">
        <v>100</v>
      </c>
      <c r="K15" s="2" t="s">
        <v>22</v>
      </c>
      <c r="L15" s="2" t="n">
        <v>3</v>
      </c>
      <c r="M15" s="2"/>
    </row>
    <row r="16" customFormat="false" ht="61.15" hidden="false" customHeight="false" outlineLevel="0" collapsed="false">
      <c r="A16" s="2" t="s">
        <v>106</v>
      </c>
      <c r="B16" s="2" t="s">
        <v>14</v>
      </c>
      <c r="C16" s="2" t="s">
        <v>107</v>
      </c>
      <c r="D16" s="2" t="s">
        <v>108</v>
      </c>
      <c r="E16" s="2" t="s">
        <v>109</v>
      </c>
      <c r="F16" s="2" t="s">
        <v>110</v>
      </c>
      <c r="G16" s="2" t="s">
        <v>111</v>
      </c>
      <c r="H16" s="2" t="s">
        <v>28</v>
      </c>
      <c r="I16" s="2" t="s">
        <v>112</v>
      </c>
      <c r="J16" s="2" t="s">
        <v>107</v>
      </c>
      <c r="K16" s="2" t="s">
        <v>22</v>
      </c>
      <c r="L16" s="2" t="n">
        <v>2</v>
      </c>
      <c r="M16" s="2"/>
    </row>
    <row r="17" customFormat="false" ht="61.15" hidden="false" customHeight="false" outlineLevel="0" collapsed="false">
      <c r="A17" s="2" t="s">
        <v>113</v>
      </c>
      <c r="B17" s="2" t="s">
        <v>14</v>
      </c>
      <c r="C17" s="2" t="s">
        <v>107</v>
      </c>
      <c r="D17" s="2" t="s">
        <v>114</v>
      </c>
      <c r="E17" s="2" t="s">
        <v>115</v>
      </c>
      <c r="F17" s="2" t="s">
        <v>116</v>
      </c>
      <c r="G17" s="2" t="s">
        <v>117</v>
      </c>
      <c r="H17" s="2" t="s">
        <v>20</v>
      </c>
      <c r="I17" s="2" t="s">
        <v>118</v>
      </c>
      <c r="J17" s="2" t="s">
        <v>107</v>
      </c>
      <c r="K17" s="2" t="s">
        <v>22</v>
      </c>
      <c r="L17" s="2" t="n">
        <v>3</v>
      </c>
      <c r="M17" s="2"/>
    </row>
    <row r="18" customFormat="false" ht="46.25" hidden="false" customHeight="false" outlineLevel="0" collapsed="false">
      <c r="A18" s="2" t="s">
        <v>119</v>
      </c>
      <c r="B18" s="2" t="s">
        <v>14</v>
      </c>
      <c r="C18" s="2" t="s">
        <v>107</v>
      </c>
      <c r="D18" s="2" t="s">
        <v>120</v>
      </c>
      <c r="E18" s="2" t="s">
        <v>121</v>
      </c>
      <c r="F18" s="2" t="s">
        <v>122</v>
      </c>
      <c r="G18" s="2" t="s">
        <v>123</v>
      </c>
      <c r="H18" s="2" t="s">
        <v>28</v>
      </c>
      <c r="I18" s="2" t="s">
        <v>124</v>
      </c>
      <c r="J18" s="2" t="s">
        <v>107</v>
      </c>
      <c r="K18" s="2" t="s">
        <v>22</v>
      </c>
      <c r="L18" s="2" t="n">
        <v>1</v>
      </c>
      <c r="M18" s="2"/>
    </row>
    <row r="19" customFormat="false" ht="31.3" hidden="false" customHeight="false" outlineLevel="0" collapsed="false">
      <c r="A19" s="2" t="s">
        <v>125</v>
      </c>
      <c r="B19" s="2" t="s">
        <v>14</v>
      </c>
      <c r="C19" s="2" t="s">
        <v>107</v>
      </c>
      <c r="D19" s="2" t="s">
        <v>126</v>
      </c>
      <c r="E19" s="2" t="s">
        <v>127</v>
      </c>
      <c r="F19" s="2" t="s">
        <v>128</v>
      </c>
      <c r="G19" s="2" t="s">
        <v>129</v>
      </c>
      <c r="H19" s="2" t="s">
        <v>28</v>
      </c>
      <c r="I19" s="2" t="s">
        <v>130</v>
      </c>
      <c r="J19" s="2" t="s">
        <v>107</v>
      </c>
      <c r="K19" s="2" t="s">
        <v>22</v>
      </c>
      <c r="L19" s="2" t="n">
        <v>1</v>
      </c>
      <c r="M19" s="2"/>
    </row>
    <row r="20" customFormat="false" ht="46.25" hidden="false" customHeight="false" outlineLevel="0" collapsed="false">
      <c r="A20" s="2" t="s">
        <v>131</v>
      </c>
      <c r="B20" s="2" t="s">
        <v>14</v>
      </c>
      <c r="C20" s="2" t="s">
        <v>107</v>
      </c>
      <c r="D20" s="2" t="s">
        <v>132</v>
      </c>
      <c r="E20" s="2" t="s">
        <v>133</v>
      </c>
      <c r="F20" s="2" t="s">
        <v>134</v>
      </c>
      <c r="G20" s="2" t="s">
        <v>135</v>
      </c>
      <c r="H20" s="2" t="s">
        <v>28</v>
      </c>
      <c r="I20" s="2" t="s">
        <v>136</v>
      </c>
      <c r="J20" s="2" t="s">
        <v>107</v>
      </c>
      <c r="K20" s="2" t="s">
        <v>22</v>
      </c>
      <c r="L20" s="2" t="n">
        <v>1</v>
      </c>
      <c r="M20" s="2"/>
    </row>
    <row r="21" customFormat="false" ht="46.25" hidden="false" customHeight="false" outlineLevel="0" collapsed="false">
      <c r="A21" s="2" t="s">
        <v>137</v>
      </c>
      <c r="B21" s="2" t="s">
        <v>14</v>
      </c>
      <c r="C21" s="2" t="s">
        <v>107</v>
      </c>
      <c r="D21" s="2" t="s">
        <v>138</v>
      </c>
      <c r="E21" s="2" t="s">
        <v>139</v>
      </c>
      <c r="F21" s="2" t="s">
        <v>140</v>
      </c>
      <c r="G21" s="2" t="s">
        <v>141</v>
      </c>
      <c r="H21" s="2" t="s">
        <v>20</v>
      </c>
      <c r="I21" s="2" t="s">
        <v>142</v>
      </c>
      <c r="J21" s="2" t="s">
        <v>107</v>
      </c>
      <c r="K21" s="2" t="s">
        <v>22</v>
      </c>
      <c r="L21" s="2" t="n">
        <v>4</v>
      </c>
      <c r="M21" s="2"/>
    </row>
    <row r="22" customFormat="false" ht="46.25" hidden="false" customHeight="false" outlineLevel="0" collapsed="false">
      <c r="A22" s="2" t="s">
        <v>143</v>
      </c>
      <c r="B22" s="2" t="s">
        <v>14</v>
      </c>
      <c r="C22" s="2" t="s">
        <v>107</v>
      </c>
      <c r="D22" s="2" t="s">
        <v>144</v>
      </c>
      <c r="E22" s="2" t="s">
        <v>145</v>
      </c>
      <c r="F22" s="2" t="s">
        <v>146</v>
      </c>
      <c r="G22" s="2" t="s">
        <v>147</v>
      </c>
      <c r="H22" s="2" t="s">
        <v>28</v>
      </c>
      <c r="I22" s="2" t="s">
        <v>148</v>
      </c>
      <c r="J22" s="2" t="s">
        <v>107</v>
      </c>
      <c r="K22" s="2" t="s">
        <v>22</v>
      </c>
      <c r="L22" s="2" t="n">
        <v>3</v>
      </c>
      <c r="M22" s="2"/>
    </row>
    <row r="23" customFormat="false" ht="46.25" hidden="false" customHeight="false" outlineLevel="0" collapsed="false">
      <c r="A23" s="2" t="s">
        <v>149</v>
      </c>
      <c r="B23" s="2" t="s">
        <v>14</v>
      </c>
      <c r="C23" s="2" t="s">
        <v>107</v>
      </c>
      <c r="D23" s="2" t="s">
        <v>150</v>
      </c>
      <c r="E23" s="2" t="s">
        <v>134</v>
      </c>
      <c r="F23" s="2" t="s">
        <v>135</v>
      </c>
      <c r="G23" s="2" t="s">
        <v>151</v>
      </c>
      <c r="H23" s="2" t="s">
        <v>28</v>
      </c>
      <c r="I23" s="2" t="s">
        <v>152</v>
      </c>
      <c r="J23" s="2" t="s">
        <v>107</v>
      </c>
      <c r="K23" s="2" t="s">
        <v>22</v>
      </c>
      <c r="L23" s="2" t="n">
        <v>1</v>
      </c>
      <c r="M23" s="2"/>
    </row>
    <row r="24" customFormat="false" ht="61.15" hidden="false" customHeight="false" outlineLevel="0" collapsed="false">
      <c r="A24" s="2" t="s">
        <v>153</v>
      </c>
      <c r="B24" s="2" t="s">
        <v>14</v>
      </c>
      <c r="C24" s="2" t="s">
        <v>107</v>
      </c>
      <c r="D24" s="2" t="s">
        <v>154</v>
      </c>
      <c r="E24" s="2" t="s">
        <v>155</v>
      </c>
      <c r="F24" s="2" t="s">
        <v>156</v>
      </c>
      <c r="G24" s="2" t="s">
        <v>157</v>
      </c>
      <c r="H24" s="2" t="s">
        <v>28</v>
      </c>
      <c r="I24" s="2" t="s">
        <v>158</v>
      </c>
      <c r="J24" s="2" t="s">
        <v>107</v>
      </c>
      <c r="K24" s="2" t="s">
        <v>22</v>
      </c>
      <c r="L24" s="2" t="n">
        <v>2</v>
      </c>
      <c r="M24" s="2"/>
    </row>
    <row r="25" customFormat="false" ht="46.25" hidden="false" customHeight="false" outlineLevel="0" collapsed="false">
      <c r="A25" s="2" t="s">
        <v>159</v>
      </c>
      <c r="B25" s="2" t="s">
        <v>14</v>
      </c>
      <c r="C25" s="2" t="s">
        <v>160</v>
      </c>
      <c r="D25" s="2" t="s">
        <v>161</v>
      </c>
      <c r="E25" s="2" t="s">
        <v>162</v>
      </c>
      <c r="F25" s="2" t="s">
        <v>163</v>
      </c>
      <c r="G25" s="2" t="s">
        <v>164</v>
      </c>
      <c r="H25" s="2" t="s">
        <v>28</v>
      </c>
      <c r="I25" s="2" t="s">
        <v>165</v>
      </c>
      <c r="J25" s="2" t="s">
        <v>160</v>
      </c>
      <c r="K25" s="2" t="s">
        <v>22</v>
      </c>
      <c r="L25" s="2" t="n">
        <v>3</v>
      </c>
      <c r="M25" s="2"/>
    </row>
    <row r="26" customFormat="false" ht="46.25" hidden="false" customHeight="false" outlineLevel="0" collapsed="false">
      <c r="A26" s="2" t="s">
        <v>166</v>
      </c>
      <c r="B26" s="2" t="s">
        <v>14</v>
      </c>
      <c r="C26" s="2" t="s">
        <v>160</v>
      </c>
      <c r="D26" s="2" t="s">
        <v>167</v>
      </c>
      <c r="E26" s="2" t="s">
        <v>168</v>
      </c>
      <c r="F26" s="2" t="s">
        <v>169</v>
      </c>
      <c r="G26" s="2" t="s">
        <v>170</v>
      </c>
      <c r="H26" s="2" t="s">
        <v>20</v>
      </c>
      <c r="I26" s="2" t="s">
        <v>171</v>
      </c>
      <c r="J26" s="2" t="s">
        <v>160</v>
      </c>
      <c r="K26" s="2" t="s">
        <v>22</v>
      </c>
      <c r="L26" s="2" t="n">
        <v>3</v>
      </c>
      <c r="M26" s="2"/>
    </row>
    <row r="27" customFormat="false" ht="61.15" hidden="false" customHeight="false" outlineLevel="0" collapsed="false">
      <c r="A27" s="2" t="s">
        <v>172</v>
      </c>
      <c r="B27" s="2" t="s">
        <v>14</v>
      </c>
      <c r="C27" s="2" t="s">
        <v>173</v>
      </c>
      <c r="D27" s="2" t="s">
        <v>174</v>
      </c>
      <c r="E27" s="2" t="s">
        <v>175</v>
      </c>
      <c r="F27" s="2" t="s">
        <v>176</v>
      </c>
      <c r="G27" s="2" t="s">
        <v>177</v>
      </c>
      <c r="H27" s="2" t="s">
        <v>28</v>
      </c>
      <c r="I27" s="2" t="s">
        <v>178</v>
      </c>
      <c r="J27" s="2" t="s">
        <v>173</v>
      </c>
      <c r="K27" s="2" t="s">
        <v>22</v>
      </c>
      <c r="L27" s="2" t="n">
        <v>3</v>
      </c>
      <c r="M27" s="2"/>
    </row>
    <row r="28" customFormat="false" ht="46.25" hidden="false" customHeight="false" outlineLevel="0" collapsed="false">
      <c r="A28" s="2" t="s">
        <v>179</v>
      </c>
      <c r="B28" s="2" t="s">
        <v>14</v>
      </c>
      <c r="C28" s="2" t="s">
        <v>173</v>
      </c>
      <c r="D28" s="2" t="s">
        <v>180</v>
      </c>
      <c r="E28" s="2" t="s">
        <v>181</v>
      </c>
      <c r="F28" s="2" t="s">
        <v>182</v>
      </c>
      <c r="G28" s="2" t="s">
        <v>183</v>
      </c>
      <c r="H28" s="2" t="s">
        <v>28</v>
      </c>
      <c r="I28" s="2" t="s">
        <v>184</v>
      </c>
      <c r="J28" s="2" t="s">
        <v>173</v>
      </c>
      <c r="K28" s="2" t="s">
        <v>22</v>
      </c>
      <c r="L28" s="2" t="n">
        <v>4</v>
      </c>
      <c r="M28" s="2"/>
    </row>
    <row r="29" customFormat="false" ht="61.15" hidden="false" customHeight="false" outlineLevel="0" collapsed="false">
      <c r="A29" s="2" t="s">
        <v>185</v>
      </c>
      <c r="B29" s="2" t="s">
        <v>14</v>
      </c>
      <c r="C29" s="2" t="s">
        <v>173</v>
      </c>
      <c r="D29" s="2" t="s">
        <v>186</v>
      </c>
      <c r="E29" s="2" t="s">
        <v>187</v>
      </c>
      <c r="F29" s="2" t="s">
        <v>188</v>
      </c>
      <c r="G29" s="2" t="s">
        <v>189</v>
      </c>
      <c r="H29" s="2" t="s">
        <v>28</v>
      </c>
      <c r="I29" s="2" t="s">
        <v>190</v>
      </c>
      <c r="J29" s="2" t="s">
        <v>173</v>
      </c>
      <c r="K29" s="2" t="s">
        <v>22</v>
      </c>
      <c r="L29" s="2" t="n">
        <v>3</v>
      </c>
      <c r="M29" s="2"/>
    </row>
    <row r="30" customFormat="false" ht="46.25" hidden="false" customHeight="false" outlineLevel="0" collapsed="false">
      <c r="A30" s="2" t="s">
        <v>191</v>
      </c>
      <c r="B30" s="2" t="s">
        <v>14</v>
      </c>
      <c r="C30" s="2" t="s">
        <v>31</v>
      </c>
      <c r="D30" s="2" t="s">
        <v>192</v>
      </c>
      <c r="E30" s="2" t="s">
        <v>193</v>
      </c>
      <c r="F30" s="2" t="s">
        <v>194</v>
      </c>
      <c r="G30" s="2" t="s">
        <v>195</v>
      </c>
      <c r="H30" s="2" t="s">
        <v>20</v>
      </c>
      <c r="I30" s="2" t="s">
        <v>196</v>
      </c>
      <c r="J30" s="2" t="s">
        <v>31</v>
      </c>
      <c r="K30" s="2" t="s">
        <v>22</v>
      </c>
      <c r="L30" s="2" t="n">
        <v>4</v>
      </c>
      <c r="M30" s="2"/>
    </row>
    <row r="31" customFormat="false" ht="46.25" hidden="false" customHeight="false" outlineLevel="0" collapsed="false">
      <c r="A31" s="2" t="s">
        <v>197</v>
      </c>
      <c r="B31" s="2" t="s">
        <v>14</v>
      </c>
      <c r="C31" s="2" t="s">
        <v>160</v>
      </c>
      <c r="D31" s="2" t="s">
        <v>198</v>
      </c>
      <c r="E31" s="2" t="s">
        <v>199</v>
      </c>
      <c r="F31" s="2" t="s">
        <v>200</v>
      </c>
      <c r="G31" s="2" t="s">
        <v>201</v>
      </c>
      <c r="H31" s="2" t="s">
        <v>20</v>
      </c>
      <c r="I31" s="2" t="s">
        <v>202</v>
      </c>
      <c r="J31" s="2" t="s">
        <v>160</v>
      </c>
      <c r="K31" s="2" t="s">
        <v>22</v>
      </c>
      <c r="L31" s="2" t="n">
        <v>2</v>
      </c>
      <c r="M31" s="2"/>
    </row>
    <row r="32" customFormat="false" ht="31.3" hidden="false" customHeight="false" outlineLevel="0" collapsed="false">
      <c r="A32" s="2" t="s">
        <v>203</v>
      </c>
      <c r="B32" s="2" t="s">
        <v>14</v>
      </c>
      <c r="C32" s="2" t="s">
        <v>15</v>
      </c>
      <c r="D32" s="2" t="s">
        <v>204</v>
      </c>
      <c r="E32" s="2" t="s">
        <v>205</v>
      </c>
      <c r="F32" s="2" t="s">
        <v>206</v>
      </c>
      <c r="G32" s="2" t="s">
        <v>207</v>
      </c>
      <c r="H32" s="2" t="s">
        <v>28</v>
      </c>
      <c r="I32" s="2" t="s">
        <v>208</v>
      </c>
      <c r="J32" s="2" t="s">
        <v>15</v>
      </c>
      <c r="K32" s="2" t="s">
        <v>22</v>
      </c>
      <c r="L32" s="2" t="n">
        <v>4</v>
      </c>
      <c r="M32" s="2"/>
    </row>
    <row r="33" customFormat="false" ht="31.3" hidden="false" customHeight="false" outlineLevel="0" collapsed="false">
      <c r="A33" s="2" t="s">
        <v>209</v>
      </c>
      <c r="B33" s="2" t="s">
        <v>14</v>
      </c>
      <c r="C33" s="2" t="s">
        <v>15</v>
      </c>
      <c r="D33" s="2" t="s">
        <v>210</v>
      </c>
      <c r="E33" s="2" t="s">
        <v>211</v>
      </c>
      <c r="F33" s="2" t="s">
        <v>212</v>
      </c>
      <c r="G33" s="2" t="s">
        <v>213</v>
      </c>
      <c r="H33" s="2" t="s">
        <v>20</v>
      </c>
      <c r="I33" s="2" t="s">
        <v>208</v>
      </c>
      <c r="J33" s="2" t="s">
        <v>15</v>
      </c>
      <c r="K33" s="2" t="s">
        <v>22</v>
      </c>
      <c r="L33" s="2" t="n">
        <v>3</v>
      </c>
      <c r="M33" s="2"/>
    </row>
    <row r="34" customFormat="false" ht="31.3" hidden="false" customHeight="false" outlineLevel="0" collapsed="false">
      <c r="A34" s="2" t="s">
        <v>214</v>
      </c>
      <c r="B34" s="2" t="s">
        <v>14</v>
      </c>
      <c r="C34" s="2" t="s">
        <v>31</v>
      </c>
      <c r="D34" s="2" t="s">
        <v>215</v>
      </c>
      <c r="E34" s="2" t="s">
        <v>205</v>
      </c>
      <c r="F34" s="2" t="s">
        <v>216</v>
      </c>
      <c r="G34" s="2" t="s">
        <v>217</v>
      </c>
      <c r="H34" s="2" t="s">
        <v>20</v>
      </c>
      <c r="I34" s="2" t="s">
        <v>218</v>
      </c>
      <c r="J34" s="2" t="s">
        <v>31</v>
      </c>
      <c r="K34" s="2" t="s">
        <v>22</v>
      </c>
      <c r="L34" s="2" t="n">
        <v>4</v>
      </c>
      <c r="M34" s="2"/>
    </row>
    <row r="35" customFormat="false" ht="31.3" hidden="false" customHeight="false" outlineLevel="0" collapsed="false">
      <c r="A35" s="2" t="s">
        <v>219</v>
      </c>
      <c r="B35" s="2" t="s">
        <v>14</v>
      </c>
      <c r="C35" s="2" t="s">
        <v>31</v>
      </c>
      <c r="D35" s="2" t="s">
        <v>220</v>
      </c>
      <c r="E35" s="2" t="s">
        <v>212</v>
      </c>
      <c r="F35" s="2" t="s">
        <v>221</v>
      </c>
      <c r="G35" s="2" t="s">
        <v>222</v>
      </c>
      <c r="H35" s="2" t="s">
        <v>28</v>
      </c>
      <c r="I35" s="2" t="s">
        <v>218</v>
      </c>
      <c r="J35" s="2" t="s">
        <v>31</v>
      </c>
      <c r="K35" s="2" t="s">
        <v>22</v>
      </c>
      <c r="L35" s="2" t="n">
        <v>3</v>
      </c>
      <c r="M35" s="2"/>
    </row>
    <row r="36" customFormat="false" ht="31.3" hidden="false" customHeight="false" outlineLevel="0" collapsed="false">
      <c r="A36" s="2" t="s">
        <v>223</v>
      </c>
      <c r="B36" s="2" t="s">
        <v>14</v>
      </c>
      <c r="C36" s="2" t="s">
        <v>50</v>
      </c>
      <c r="D36" s="2" t="s">
        <v>224</v>
      </c>
      <c r="E36" s="2" t="s">
        <v>217</v>
      </c>
      <c r="F36" s="2" t="s">
        <v>205</v>
      </c>
      <c r="G36" s="2" t="s">
        <v>225</v>
      </c>
      <c r="H36" s="2" t="s">
        <v>226</v>
      </c>
      <c r="I36" s="2" t="s">
        <v>227</v>
      </c>
      <c r="J36" s="2" t="s">
        <v>50</v>
      </c>
      <c r="K36" s="2" t="s">
        <v>22</v>
      </c>
      <c r="L36" s="2" t="n">
        <v>4</v>
      </c>
      <c r="M36" s="2"/>
    </row>
    <row r="37" customFormat="false" ht="31.3" hidden="false" customHeight="false" outlineLevel="0" collapsed="false">
      <c r="A37" s="2" t="s">
        <v>228</v>
      </c>
      <c r="B37" s="2" t="s">
        <v>14</v>
      </c>
      <c r="C37" s="2" t="s">
        <v>50</v>
      </c>
      <c r="D37" s="2" t="s">
        <v>229</v>
      </c>
      <c r="E37" s="2" t="s">
        <v>222</v>
      </c>
      <c r="F37" s="2" t="s">
        <v>221</v>
      </c>
      <c r="G37" s="2" t="s">
        <v>211</v>
      </c>
      <c r="H37" s="2" t="s">
        <v>20</v>
      </c>
      <c r="I37" s="2" t="s">
        <v>227</v>
      </c>
      <c r="J37" s="2" t="s">
        <v>50</v>
      </c>
      <c r="K37" s="2" t="s">
        <v>22</v>
      </c>
      <c r="L37" s="2" t="n">
        <v>3</v>
      </c>
      <c r="M37" s="2"/>
    </row>
    <row r="38" customFormat="false" ht="31.3" hidden="false" customHeight="false" outlineLevel="0" collapsed="false">
      <c r="A38" s="2" t="s">
        <v>230</v>
      </c>
      <c r="B38" s="2" t="s">
        <v>14</v>
      </c>
      <c r="C38" s="2" t="s">
        <v>86</v>
      </c>
      <c r="D38" s="2" t="s">
        <v>231</v>
      </c>
      <c r="E38" s="2" t="s">
        <v>207</v>
      </c>
      <c r="F38" s="2" t="s">
        <v>216</v>
      </c>
      <c r="G38" s="2" t="s">
        <v>217</v>
      </c>
      <c r="H38" s="2" t="s">
        <v>20</v>
      </c>
      <c r="I38" s="2" t="s">
        <v>232</v>
      </c>
      <c r="J38" s="2" t="s">
        <v>86</v>
      </c>
      <c r="K38" s="2" t="s">
        <v>22</v>
      </c>
      <c r="L38" s="2" t="n">
        <v>4</v>
      </c>
      <c r="M38" s="2"/>
    </row>
    <row r="39" customFormat="false" ht="31.3" hidden="false" customHeight="false" outlineLevel="0" collapsed="false">
      <c r="A39" s="2" t="s">
        <v>233</v>
      </c>
      <c r="B39" s="2" t="s">
        <v>14</v>
      </c>
      <c r="C39" s="2" t="s">
        <v>86</v>
      </c>
      <c r="D39" s="2" t="s">
        <v>234</v>
      </c>
      <c r="E39" s="2" t="s">
        <v>235</v>
      </c>
      <c r="F39" s="2" t="s">
        <v>213</v>
      </c>
      <c r="G39" s="2" t="s">
        <v>222</v>
      </c>
      <c r="H39" s="2" t="s">
        <v>28</v>
      </c>
      <c r="I39" s="2" t="s">
        <v>232</v>
      </c>
      <c r="J39" s="2" t="s">
        <v>86</v>
      </c>
      <c r="K39" s="2" t="s">
        <v>22</v>
      </c>
      <c r="L39" s="2" t="n">
        <v>3</v>
      </c>
      <c r="M39" s="2"/>
    </row>
    <row r="40" customFormat="false" ht="31.3" hidden="false" customHeight="false" outlineLevel="0" collapsed="false">
      <c r="A40" s="2" t="s">
        <v>236</v>
      </c>
      <c r="B40" s="2" t="s">
        <v>14</v>
      </c>
      <c r="C40" s="2" t="s">
        <v>93</v>
      </c>
      <c r="D40" s="2" t="s">
        <v>237</v>
      </c>
      <c r="E40" s="2" t="s">
        <v>217</v>
      </c>
      <c r="F40" s="2" t="s">
        <v>225</v>
      </c>
      <c r="G40" s="2" t="s">
        <v>207</v>
      </c>
      <c r="H40" s="2" t="s">
        <v>20</v>
      </c>
      <c r="I40" s="2" t="s">
        <v>238</v>
      </c>
      <c r="J40" s="2" t="s">
        <v>93</v>
      </c>
      <c r="K40" s="2" t="s">
        <v>22</v>
      </c>
      <c r="L40" s="2" t="n">
        <v>4</v>
      </c>
      <c r="M40" s="2"/>
    </row>
    <row r="41" customFormat="false" ht="31.3" hidden="false" customHeight="false" outlineLevel="0" collapsed="false">
      <c r="A41" s="2" t="s">
        <v>239</v>
      </c>
      <c r="B41" s="2" t="s">
        <v>14</v>
      </c>
      <c r="C41" s="2" t="s">
        <v>93</v>
      </c>
      <c r="D41" s="2" t="s">
        <v>240</v>
      </c>
      <c r="E41" s="2" t="s">
        <v>222</v>
      </c>
      <c r="F41" s="2" t="s">
        <v>235</v>
      </c>
      <c r="G41" s="2" t="s">
        <v>241</v>
      </c>
      <c r="H41" s="2" t="s">
        <v>226</v>
      </c>
      <c r="I41" s="2" t="s">
        <v>238</v>
      </c>
      <c r="J41" s="2" t="s">
        <v>93</v>
      </c>
      <c r="K41" s="2" t="s">
        <v>22</v>
      </c>
      <c r="L41" s="2" t="n">
        <v>3</v>
      </c>
      <c r="M41" s="2"/>
    </row>
    <row r="42" customFormat="false" ht="31.3" hidden="false" customHeight="false" outlineLevel="0" collapsed="false">
      <c r="A42" s="2" t="s">
        <v>242</v>
      </c>
      <c r="B42" s="2" t="s">
        <v>14</v>
      </c>
      <c r="C42" s="2" t="s">
        <v>100</v>
      </c>
      <c r="D42" s="2" t="s">
        <v>243</v>
      </c>
      <c r="E42" s="2" t="s">
        <v>216</v>
      </c>
      <c r="F42" s="2" t="s">
        <v>207</v>
      </c>
      <c r="G42" s="2" t="s">
        <v>217</v>
      </c>
      <c r="H42" s="2" t="s">
        <v>20</v>
      </c>
      <c r="I42" s="2" t="s">
        <v>244</v>
      </c>
      <c r="J42" s="2" t="s">
        <v>100</v>
      </c>
      <c r="K42" s="2" t="s">
        <v>22</v>
      </c>
      <c r="L42" s="2" t="n">
        <v>4</v>
      </c>
      <c r="M42" s="2"/>
    </row>
    <row r="43" customFormat="false" ht="31.3" hidden="false" customHeight="false" outlineLevel="0" collapsed="false">
      <c r="A43" s="2" t="s">
        <v>245</v>
      </c>
      <c r="B43" s="2" t="s">
        <v>14</v>
      </c>
      <c r="C43" s="2" t="s">
        <v>100</v>
      </c>
      <c r="D43" s="2" t="s">
        <v>246</v>
      </c>
      <c r="E43" s="2" t="s">
        <v>235</v>
      </c>
      <c r="F43" s="2" t="s">
        <v>247</v>
      </c>
      <c r="G43" s="2" t="s">
        <v>222</v>
      </c>
      <c r="H43" s="2" t="s">
        <v>20</v>
      </c>
      <c r="I43" s="2" t="s">
        <v>244</v>
      </c>
      <c r="J43" s="2" t="s">
        <v>100</v>
      </c>
      <c r="K43" s="2" t="s">
        <v>22</v>
      </c>
      <c r="L43" s="2" t="n">
        <v>3</v>
      </c>
      <c r="M43" s="2"/>
    </row>
    <row r="44" customFormat="false" ht="31.3" hidden="false" customHeight="false" outlineLevel="0" collapsed="false">
      <c r="A44" s="2" t="s">
        <v>248</v>
      </c>
      <c r="B44" s="2" t="s">
        <v>14</v>
      </c>
      <c r="C44" s="2" t="s">
        <v>107</v>
      </c>
      <c r="D44" s="2" t="s">
        <v>249</v>
      </c>
      <c r="E44" s="2" t="s">
        <v>250</v>
      </c>
      <c r="F44" s="2" t="s">
        <v>216</v>
      </c>
      <c r="G44" s="2" t="s">
        <v>251</v>
      </c>
      <c r="H44" s="2" t="s">
        <v>20</v>
      </c>
      <c r="I44" s="2" t="s">
        <v>252</v>
      </c>
      <c r="J44" s="2" t="s">
        <v>107</v>
      </c>
      <c r="K44" s="2" t="s">
        <v>22</v>
      </c>
      <c r="L44" s="2" t="n">
        <v>4</v>
      </c>
      <c r="M44" s="2"/>
    </row>
    <row r="45" customFormat="false" ht="31.3" hidden="false" customHeight="false" outlineLevel="0" collapsed="false">
      <c r="A45" s="2" t="s">
        <v>253</v>
      </c>
      <c r="B45" s="2" t="s">
        <v>14</v>
      </c>
      <c r="C45" s="2" t="s">
        <v>107</v>
      </c>
      <c r="D45" s="2" t="s">
        <v>254</v>
      </c>
      <c r="E45" s="2" t="s">
        <v>247</v>
      </c>
      <c r="F45" s="2" t="s">
        <v>221</v>
      </c>
      <c r="G45" s="2" t="s">
        <v>222</v>
      </c>
      <c r="H45" s="2" t="s">
        <v>20</v>
      </c>
      <c r="I45" s="2" t="s">
        <v>252</v>
      </c>
      <c r="J45" s="2" t="s">
        <v>107</v>
      </c>
      <c r="K45" s="2" t="s">
        <v>22</v>
      </c>
      <c r="L45" s="2" t="n">
        <v>3</v>
      </c>
      <c r="M45" s="2"/>
    </row>
    <row r="46" customFormat="false" ht="31.3" hidden="false" customHeight="false" outlineLevel="0" collapsed="false">
      <c r="A46" s="2" t="s">
        <v>255</v>
      </c>
      <c r="B46" s="2" t="s">
        <v>14</v>
      </c>
      <c r="C46" s="2" t="s">
        <v>160</v>
      </c>
      <c r="D46" s="2" t="s">
        <v>256</v>
      </c>
      <c r="E46" s="2" t="s">
        <v>207</v>
      </c>
      <c r="F46" s="2" t="s">
        <v>257</v>
      </c>
      <c r="G46" s="2" t="s">
        <v>217</v>
      </c>
      <c r="H46" s="2" t="s">
        <v>28</v>
      </c>
      <c r="I46" s="2" t="s">
        <v>258</v>
      </c>
      <c r="J46" s="2" t="s">
        <v>160</v>
      </c>
      <c r="K46" s="2" t="s">
        <v>22</v>
      </c>
      <c r="L46" s="2" t="n">
        <v>4</v>
      </c>
      <c r="M46" s="2"/>
    </row>
    <row r="47" customFormat="false" ht="31.3" hidden="false" customHeight="false" outlineLevel="0" collapsed="false">
      <c r="A47" s="2" t="s">
        <v>259</v>
      </c>
      <c r="B47" s="2" t="s">
        <v>14</v>
      </c>
      <c r="C47" s="2" t="s">
        <v>160</v>
      </c>
      <c r="D47" s="2" t="s">
        <v>260</v>
      </c>
      <c r="E47" s="2" t="s">
        <v>213</v>
      </c>
      <c r="F47" s="2" t="s">
        <v>211</v>
      </c>
      <c r="G47" s="2" t="s">
        <v>261</v>
      </c>
      <c r="H47" s="2" t="s">
        <v>226</v>
      </c>
      <c r="I47" s="2" t="s">
        <v>258</v>
      </c>
      <c r="J47" s="2" t="s">
        <v>160</v>
      </c>
      <c r="K47" s="2" t="s">
        <v>22</v>
      </c>
      <c r="L47" s="2" t="n">
        <v>3</v>
      </c>
      <c r="M47" s="2"/>
    </row>
    <row r="48" customFormat="false" ht="31.3" hidden="false" customHeight="false" outlineLevel="0" collapsed="false">
      <c r="A48" s="2" t="s">
        <v>262</v>
      </c>
      <c r="B48" s="2" t="s">
        <v>14</v>
      </c>
      <c r="C48" s="2" t="s">
        <v>173</v>
      </c>
      <c r="D48" s="2" t="s">
        <v>263</v>
      </c>
      <c r="E48" s="2" t="s">
        <v>251</v>
      </c>
      <c r="F48" s="2" t="s">
        <v>207</v>
      </c>
      <c r="G48" s="2" t="s">
        <v>257</v>
      </c>
      <c r="H48" s="2" t="s">
        <v>20</v>
      </c>
      <c r="I48" s="2" t="s">
        <v>264</v>
      </c>
      <c r="J48" s="2" t="s">
        <v>173</v>
      </c>
      <c r="K48" s="2" t="s">
        <v>22</v>
      </c>
      <c r="L48" s="2" t="n">
        <v>4</v>
      </c>
      <c r="M48" s="2"/>
    </row>
    <row r="49" customFormat="false" ht="31.3" hidden="false" customHeight="false" outlineLevel="0" collapsed="false">
      <c r="A49" s="2" t="s">
        <v>265</v>
      </c>
      <c r="B49" s="2" t="s">
        <v>14</v>
      </c>
      <c r="C49" s="2" t="s">
        <v>173</v>
      </c>
      <c r="D49" s="2" t="s">
        <v>266</v>
      </c>
      <c r="E49" s="2" t="s">
        <v>211</v>
      </c>
      <c r="F49" s="2" t="s">
        <v>212</v>
      </c>
      <c r="G49" s="2" t="s">
        <v>221</v>
      </c>
      <c r="H49" s="2" t="s">
        <v>28</v>
      </c>
      <c r="I49" s="2" t="s">
        <v>264</v>
      </c>
      <c r="J49" s="2" t="s">
        <v>173</v>
      </c>
      <c r="K49" s="2" t="s">
        <v>22</v>
      </c>
      <c r="L49" s="2" t="n">
        <v>3</v>
      </c>
      <c r="M49" s="2"/>
    </row>
    <row r="50" customFormat="false" ht="46.25" hidden="false" customHeight="false" outlineLevel="0" collapsed="false">
      <c r="A50" s="2" t="s">
        <v>267</v>
      </c>
      <c r="B50" s="2" t="s">
        <v>14</v>
      </c>
      <c r="C50" s="2" t="s">
        <v>31</v>
      </c>
      <c r="D50" s="2" t="s">
        <v>268</v>
      </c>
      <c r="E50" s="2" t="s">
        <v>269</v>
      </c>
      <c r="F50" s="2" t="s">
        <v>270</v>
      </c>
      <c r="G50" s="2" t="s">
        <v>271</v>
      </c>
      <c r="H50" s="2" t="s">
        <v>20</v>
      </c>
      <c r="I50" s="2" t="s">
        <v>272</v>
      </c>
      <c r="J50" s="2" t="s">
        <v>31</v>
      </c>
      <c r="K50" s="2" t="s">
        <v>22</v>
      </c>
      <c r="L50" s="2" t="n">
        <v>2</v>
      </c>
      <c r="M50" s="2"/>
    </row>
    <row r="51" customFormat="false" ht="61.15" hidden="false" customHeight="false" outlineLevel="0" collapsed="false">
      <c r="A51" s="2" t="s">
        <v>273</v>
      </c>
      <c r="B51" s="2" t="s">
        <v>14</v>
      </c>
      <c r="C51" s="2" t="s">
        <v>160</v>
      </c>
      <c r="D51" s="2" t="s">
        <v>274</v>
      </c>
      <c r="E51" s="2" t="s">
        <v>275</v>
      </c>
      <c r="F51" s="2" t="s">
        <v>276</v>
      </c>
      <c r="G51" s="2" t="s">
        <v>277</v>
      </c>
      <c r="H51" s="2" t="s">
        <v>20</v>
      </c>
      <c r="I51" s="2" t="s">
        <v>278</v>
      </c>
      <c r="J51" s="2" t="s">
        <v>160</v>
      </c>
      <c r="K51" s="2" t="s">
        <v>22</v>
      </c>
      <c r="L51" s="2" t="n">
        <v>2</v>
      </c>
      <c r="M51" s="2"/>
    </row>
    <row r="52" customFormat="false" ht="61.15" hidden="false" customHeight="false" outlineLevel="0" collapsed="false">
      <c r="A52" s="2" t="s">
        <v>279</v>
      </c>
      <c r="B52" s="2" t="s">
        <v>14</v>
      </c>
      <c r="C52" s="2" t="s">
        <v>173</v>
      </c>
      <c r="D52" s="2" t="s">
        <v>280</v>
      </c>
      <c r="E52" s="2" t="s">
        <v>281</v>
      </c>
      <c r="F52" s="2" t="s">
        <v>282</v>
      </c>
      <c r="G52" s="2" t="s">
        <v>283</v>
      </c>
      <c r="H52" s="2" t="s">
        <v>20</v>
      </c>
      <c r="I52" s="2" t="s">
        <v>284</v>
      </c>
      <c r="J52" s="2" t="s">
        <v>173</v>
      </c>
      <c r="K52" s="2" t="s">
        <v>22</v>
      </c>
      <c r="L52" s="2" t="n">
        <v>2</v>
      </c>
      <c r="M52" s="2"/>
    </row>
    <row r="53" customFormat="false" ht="61.15" hidden="false" customHeight="false" outlineLevel="0" collapsed="false">
      <c r="A53" s="2" t="s">
        <v>285</v>
      </c>
      <c r="B53" s="2" t="s">
        <v>14</v>
      </c>
      <c r="C53" s="2" t="s">
        <v>173</v>
      </c>
      <c r="D53" s="2" t="s">
        <v>286</v>
      </c>
      <c r="E53" s="2" t="s">
        <v>287</v>
      </c>
      <c r="F53" s="2" t="s">
        <v>288</v>
      </c>
      <c r="G53" s="2" t="s">
        <v>289</v>
      </c>
      <c r="H53" s="2" t="s">
        <v>20</v>
      </c>
      <c r="I53" s="2" t="s">
        <v>290</v>
      </c>
      <c r="J53" s="2" t="s">
        <v>173</v>
      </c>
      <c r="K53" s="2" t="s">
        <v>22</v>
      </c>
      <c r="L53" s="2" t="n">
        <v>2</v>
      </c>
      <c r="M53" s="2"/>
    </row>
    <row r="54" customFormat="false" ht="46.25" hidden="false" customHeight="false" outlineLevel="0" collapsed="false">
      <c r="A54" s="2" t="s">
        <v>291</v>
      </c>
      <c r="B54" s="2" t="s">
        <v>14</v>
      </c>
      <c r="C54" s="2" t="s">
        <v>292</v>
      </c>
      <c r="D54" s="2" t="s">
        <v>293</v>
      </c>
      <c r="E54" s="2" t="s">
        <v>294</v>
      </c>
      <c r="F54" s="2" t="s">
        <v>295</v>
      </c>
      <c r="G54" s="2" t="s">
        <v>296</v>
      </c>
      <c r="H54" s="2" t="s">
        <v>28</v>
      </c>
      <c r="I54" s="2" t="s">
        <v>297</v>
      </c>
      <c r="J54" s="2" t="s">
        <v>292</v>
      </c>
      <c r="K54" s="2" t="s">
        <v>298</v>
      </c>
      <c r="L54" s="2" t="n">
        <v>2</v>
      </c>
      <c r="M54" s="2"/>
    </row>
    <row r="55" customFormat="false" ht="61.15" hidden="false" customHeight="false" outlineLevel="0" collapsed="false">
      <c r="A55" s="2" t="s">
        <v>299</v>
      </c>
      <c r="B55" s="2" t="s">
        <v>14</v>
      </c>
      <c r="C55" s="2" t="s">
        <v>300</v>
      </c>
      <c r="D55" s="2" t="s">
        <v>301</v>
      </c>
      <c r="E55" s="2" t="s">
        <v>302</v>
      </c>
      <c r="F55" s="2" t="s">
        <v>303</v>
      </c>
      <c r="G55" s="2" t="s">
        <v>304</v>
      </c>
      <c r="H55" s="2" t="s">
        <v>28</v>
      </c>
      <c r="I55" s="2" t="s">
        <v>305</v>
      </c>
      <c r="J55" s="2" t="s">
        <v>300</v>
      </c>
      <c r="K55" s="2" t="s">
        <v>298</v>
      </c>
      <c r="L55" s="2" t="n">
        <v>4</v>
      </c>
      <c r="M55" s="2"/>
    </row>
    <row r="56" customFormat="false" ht="46.25" hidden="false" customHeight="false" outlineLevel="0" collapsed="false">
      <c r="A56" s="2" t="s">
        <v>306</v>
      </c>
      <c r="B56" s="2" t="s">
        <v>14</v>
      </c>
      <c r="C56" s="2" t="s">
        <v>300</v>
      </c>
      <c r="D56" s="2" t="s">
        <v>307</v>
      </c>
      <c r="E56" s="2" t="s">
        <v>308</v>
      </c>
      <c r="F56" s="2" t="s">
        <v>309</v>
      </c>
      <c r="G56" s="2" t="s">
        <v>310</v>
      </c>
      <c r="H56" s="2" t="s">
        <v>28</v>
      </c>
      <c r="I56" s="2" t="s">
        <v>311</v>
      </c>
      <c r="J56" s="2" t="s">
        <v>300</v>
      </c>
      <c r="K56" s="2" t="s">
        <v>298</v>
      </c>
      <c r="L56" s="2" t="n">
        <v>4</v>
      </c>
      <c r="M56" s="2"/>
    </row>
    <row r="57" customFormat="false" ht="46.25" hidden="false" customHeight="false" outlineLevel="0" collapsed="false">
      <c r="A57" s="2" t="s">
        <v>312</v>
      </c>
      <c r="B57" s="2" t="s">
        <v>14</v>
      </c>
      <c r="C57" s="2" t="s">
        <v>313</v>
      </c>
      <c r="D57" s="2" t="s">
        <v>314</v>
      </c>
      <c r="E57" s="2" t="s">
        <v>315</v>
      </c>
      <c r="F57" s="2" t="s">
        <v>316</v>
      </c>
      <c r="G57" s="2" t="s">
        <v>317</v>
      </c>
      <c r="H57" s="2" t="s">
        <v>20</v>
      </c>
      <c r="I57" s="2" t="s">
        <v>318</v>
      </c>
      <c r="J57" s="2" t="s">
        <v>313</v>
      </c>
      <c r="K57" s="2" t="s">
        <v>298</v>
      </c>
      <c r="L57" s="2" t="n">
        <v>2</v>
      </c>
      <c r="M57" s="2"/>
    </row>
    <row r="58" customFormat="false" ht="61.15" hidden="false" customHeight="false" outlineLevel="0" collapsed="false">
      <c r="A58" s="2" t="s">
        <v>319</v>
      </c>
      <c r="B58" s="2" t="s">
        <v>14</v>
      </c>
      <c r="C58" s="2" t="s">
        <v>320</v>
      </c>
      <c r="D58" s="2" t="s">
        <v>321</v>
      </c>
      <c r="E58" s="2" t="s">
        <v>322</v>
      </c>
      <c r="F58" s="2" t="s">
        <v>323</v>
      </c>
      <c r="G58" s="2" t="s">
        <v>324</v>
      </c>
      <c r="H58" s="2" t="s">
        <v>28</v>
      </c>
      <c r="I58" s="2" t="s">
        <v>325</v>
      </c>
      <c r="J58" s="2" t="s">
        <v>320</v>
      </c>
      <c r="K58" s="2" t="s">
        <v>298</v>
      </c>
      <c r="L58" s="2" t="n">
        <v>4</v>
      </c>
      <c r="M58" s="2"/>
    </row>
    <row r="59" customFormat="false" ht="61.15" hidden="false" customHeight="false" outlineLevel="0" collapsed="false">
      <c r="A59" s="2" t="s">
        <v>326</v>
      </c>
      <c r="B59" s="2" t="s">
        <v>14</v>
      </c>
      <c r="C59" s="2" t="s">
        <v>320</v>
      </c>
      <c r="D59" s="2" t="s">
        <v>327</v>
      </c>
      <c r="E59" s="2" t="s">
        <v>328</v>
      </c>
      <c r="F59" s="2" t="s">
        <v>329</v>
      </c>
      <c r="G59" s="2" t="s">
        <v>330</v>
      </c>
      <c r="H59" s="2" t="s">
        <v>28</v>
      </c>
      <c r="I59" s="2" t="s">
        <v>331</v>
      </c>
      <c r="J59" s="2" t="s">
        <v>320</v>
      </c>
      <c r="K59" s="2" t="s">
        <v>298</v>
      </c>
      <c r="L59" s="2" t="n">
        <v>4</v>
      </c>
      <c r="M59" s="2"/>
    </row>
    <row r="60" customFormat="false" ht="61.15" hidden="false" customHeight="false" outlineLevel="0" collapsed="false">
      <c r="A60" s="2" t="s">
        <v>332</v>
      </c>
      <c r="B60" s="2" t="s">
        <v>14</v>
      </c>
      <c r="C60" s="2" t="s">
        <v>320</v>
      </c>
      <c r="D60" s="2" t="s">
        <v>333</v>
      </c>
      <c r="E60" s="2" t="s">
        <v>334</v>
      </c>
      <c r="F60" s="2" t="s">
        <v>335</v>
      </c>
      <c r="G60" s="2" t="s">
        <v>336</v>
      </c>
      <c r="H60" s="2" t="s">
        <v>28</v>
      </c>
      <c r="I60" s="2" t="s">
        <v>337</v>
      </c>
      <c r="J60" s="2" t="s">
        <v>320</v>
      </c>
      <c r="K60" s="2" t="s">
        <v>298</v>
      </c>
      <c r="L60" s="2" t="n">
        <v>1</v>
      </c>
      <c r="M60" s="2"/>
    </row>
    <row r="61" customFormat="false" ht="46.25" hidden="false" customHeight="false" outlineLevel="0" collapsed="false">
      <c r="A61" s="2" t="s">
        <v>338</v>
      </c>
      <c r="B61" s="2" t="s">
        <v>14</v>
      </c>
      <c r="C61" s="2" t="s">
        <v>339</v>
      </c>
      <c r="D61" s="2" t="s">
        <v>340</v>
      </c>
      <c r="E61" s="2" t="s">
        <v>341</v>
      </c>
      <c r="F61" s="2" t="s">
        <v>342</v>
      </c>
      <c r="G61" s="2" t="s">
        <v>343</v>
      </c>
      <c r="H61" s="2" t="s">
        <v>28</v>
      </c>
      <c r="I61" s="2" t="s">
        <v>344</v>
      </c>
      <c r="J61" s="2" t="s">
        <v>339</v>
      </c>
      <c r="K61" s="2" t="s">
        <v>298</v>
      </c>
      <c r="L61" s="2" t="n">
        <v>2</v>
      </c>
      <c r="M61" s="2"/>
    </row>
    <row r="62" customFormat="false" ht="46.25" hidden="false" customHeight="false" outlineLevel="0" collapsed="false">
      <c r="A62" s="2" t="s">
        <v>345</v>
      </c>
      <c r="B62" s="2" t="s">
        <v>14</v>
      </c>
      <c r="C62" s="2" t="s">
        <v>339</v>
      </c>
      <c r="D62" s="2" t="s">
        <v>346</v>
      </c>
      <c r="E62" s="2" t="s">
        <v>347</v>
      </c>
      <c r="F62" s="2" t="s">
        <v>348</v>
      </c>
      <c r="G62" s="2" t="s">
        <v>349</v>
      </c>
      <c r="H62" s="2" t="s">
        <v>28</v>
      </c>
      <c r="I62" s="2" t="s">
        <v>350</v>
      </c>
      <c r="J62" s="2" t="s">
        <v>339</v>
      </c>
      <c r="K62" s="2" t="s">
        <v>298</v>
      </c>
      <c r="L62" s="2" t="n">
        <v>4</v>
      </c>
      <c r="M62" s="2"/>
    </row>
    <row r="63" customFormat="false" ht="46.25" hidden="false" customHeight="false" outlineLevel="0" collapsed="false">
      <c r="A63" s="2" t="s">
        <v>351</v>
      </c>
      <c r="B63" s="2" t="s">
        <v>14</v>
      </c>
      <c r="C63" s="2" t="s">
        <v>352</v>
      </c>
      <c r="D63" s="2" t="s">
        <v>353</v>
      </c>
      <c r="E63" s="2" t="s">
        <v>354</v>
      </c>
      <c r="F63" s="2" t="s">
        <v>355</v>
      </c>
      <c r="G63" s="2" t="s">
        <v>356</v>
      </c>
      <c r="H63" s="2" t="s">
        <v>28</v>
      </c>
      <c r="I63" s="2" t="s">
        <v>357</v>
      </c>
      <c r="J63" s="2" t="s">
        <v>352</v>
      </c>
      <c r="K63" s="2" t="s">
        <v>298</v>
      </c>
      <c r="L63" s="2" t="n">
        <v>3</v>
      </c>
      <c r="M63" s="2"/>
    </row>
    <row r="64" customFormat="false" ht="61.15" hidden="false" customHeight="false" outlineLevel="0" collapsed="false">
      <c r="A64" s="2" t="s">
        <v>358</v>
      </c>
      <c r="B64" s="2" t="s">
        <v>14</v>
      </c>
      <c r="C64" s="2" t="s">
        <v>359</v>
      </c>
      <c r="D64" s="2" t="s">
        <v>360</v>
      </c>
      <c r="E64" s="2" t="s">
        <v>361</v>
      </c>
      <c r="F64" s="2" t="s">
        <v>362</v>
      </c>
      <c r="G64" s="2" t="s">
        <v>363</v>
      </c>
      <c r="H64" s="2" t="s">
        <v>28</v>
      </c>
      <c r="I64" s="2" t="s">
        <v>364</v>
      </c>
      <c r="J64" s="2" t="s">
        <v>359</v>
      </c>
      <c r="K64" s="2" t="s">
        <v>298</v>
      </c>
      <c r="L64" s="2" t="n">
        <v>2</v>
      </c>
      <c r="M64" s="2"/>
    </row>
    <row r="65" customFormat="false" ht="46.25" hidden="false" customHeight="false" outlineLevel="0" collapsed="false">
      <c r="A65" s="2" t="s">
        <v>365</v>
      </c>
      <c r="B65" s="2" t="s">
        <v>14</v>
      </c>
      <c r="C65" s="2" t="s">
        <v>359</v>
      </c>
      <c r="D65" s="2" t="s">
        <v>366</v>
      </c>
      <c r="E65" s="2" t="s">
        <v>367</v>
      </c>
      <c r="F65" s="2" t="s">
        <v>368</v>
      </c>
      <c r="G65" s="2" t="s">
        <v>369</v>
      </c>
      <c r="H65" s="2" t="s">
        <v>28</v>
      </c>
      <c r="I65" s="2" t="s">
        <v>370</v>
      </c>
      <c r="J65" s="2" t="s">
        <v>359</v>
      </c>
      <c r="K65" s="2" t="s">
        <v>298</v>
      </c>
      <c r="L65" s="2" t="n">
        <v>1</v>
      </c>
      <c r="M65" s="2"/>
    </row>
    <row r="66" customFormat="false" ht="46.25" hidden="false" customHeight="false" outlineLevel="0" collapsed="false">
      <c r="A66" s="2" t="s">
        <v>371</v>
      </c>
      <c r="B66" s="2" t="s">
        <v>14</v>
      </c>
      <c r="C66" s="2" t="s">
        <v>359</v>
      </c>
      <c r="D66" s="2" t="s">
        <v>372</v>
      </c>
      <c r="E66" s="2" t="s">
        <v>373</v>
      </c>
      <c r="F66" s="2" t="s">
        <v>374</v>
      </c>
      <c r="G66" s="2" t="s">
        <v>375</v>
      </c>
      <c r="H66" s="2" t="s">
        <v>20</v>
      </c>
      <c r="I66" s="2" t="s">
        <v>376</v>
      </c>
      <c r="J66" s="2" t="s">
        <v>359</v>
      </c>
      <c r="K66" s="2" t="s">
        <v>298</v>
      </c>
      <c r="L66" s="2" t="n">
        <v>1</v>
      </c>
      <c r="M66" s="2"/>
    </row>
    <row r="67" customFormat="false" ht="46.25" hidden="false" customHeight="false" outlineLevel="0" collapsed="false">
      <c r="A67" s="2" t="s">
        <v>377</v>
      </c>
      <c r="B67" s="2" t="s">
        <v>14</v>
      </c>
      <c r="C67" s="2" t="s">
        <v>378</v>
      </c>
      <c r="D67" s="2" t="s">
        <v>379</v>
      </c>
      <c r="E67" s="2" t="s">
        <v>380</v>
      </c>
      <c r="F67" s="2" t="s">
        <v>381</v>
      </c>
      <c r="G67" s="2" t="s">
        <v>382</v>
      </c>
      <c r="H67" s="2" t="s">
        <v>28</v>
      </c>
      <c r="I67" s="2" t="s">
        <v>383</v>
      </c>
      <c r="J67" s="2" t="s">
        <v>378</v>
      </c>
      <c r="K67" s="2" t="s">
        <v>298</v>
      </c>
      <c r="L67" s="2" t="n">
        <v>1</v>
      </c>
      <c r="M67" s="2"/>
    </row>
    <row r="68" customFormat="false" ht="61.15" hidden="false" customHeight="false" outlineLevel="0" collapsed="false">
      <c r="A68" s="2" t="s">
        <v>384</v>
      </c>
      <c r="B68" s="2" t="s">
        <v>14</v>
      </c>
      <c r="C68" s="2" t="s">
        <v>378</v>
      </c>
      <c r="D68" s="2" t="s">
        <v>385</v>
      </c>
      <c r="E68" s="2" t="s">
        <v>386</v>
      </c>
      <c r="F68" s="2" t="s">
        <v>387</v>
      </c>
      <c r="G68" s="2" t="s">
        <v>388</v>
      </c>
      <c r="H68" s="2" t="s">
        <v>20</v>
      </c>
      <c r="I68" s="2" t="s">
        <v>389</v>
      </c>
      <c r="J68" s="2" t="s">
        <v>378</v>
      </c>
      <c r="K68" s="2" t="s">
        <v>298</v>
      </c>
      <c r="L68" s="2" t="n">
        <v>3</v>
      </c>
      <c r="M68" s="2"/>
    </row>
    <row r="69" customFormat="false" ht="61.15" hidden="false" customHeight="false" outlineLevel="0" collapsed="false">
      <c r="A69" s="2" t="s">
        <v>390</v>
      </c>
      <c r="B69" s="2" t="s">
        <v>14</v>
      </c>
      <c r="C69" s="2" t="s">
        <v>378</v>
      </c>
      <c r="D69" s="2" t="s">
        <v>391</v>
      </c>
      <c r="E69" s="2" t="s">
        <v>157</v>
      </c>
      <c r="F69" s="2" t="s">
        <v>392</v>
      </c>
      <c r="G69" s="2" t="s">
        <v>393</v>
      </c>
      <c r="H69" s="2" t="s">
        <v>28</v>
      </c>
      <c r="I69" s="2" t="s">
        <v>394</v>
      </c>
      <c r="J69" s="2" t="s">
        <v>378</v>
      </c>
      <c r="K69" s="2" t="s">
        <v>298</v>
      </c>
      <c r="L69" s="2" t="n">
        <v>1</v>
      </c>
      <c r="M69" s="2"/>
    </row>
    <row r="70" customFormat="false" ht="61.15" hidden="false" customHeight="false" outlineLevel="0" collapsed="false">
      <c r="A70" s="2" t="s">
        <v>395</v>
      </c>
      <c r="B70" s="2" t="s">
        <v>14</v>
      </c>
      <c r="C70" s="2" t="s">
        <v>396</v>
      </c>
      <c r="D70" s="2" t="s">
        <v>397</v>
      </c>
      <c r="E70" s="2" t="s">
        <v>398</v>
      </c>
      <c r="F70" s="2" t="s">
        <v>399</v>
      </c>
      <c r="G70" s="2" t="s">
        <v>400</v>
      </c>
      <c r="H70" s="2" t="s">
        <v>28</v>
      </c>
      <c r="I70" s="2" t="s">
        <v>401</v>
      </c>
      <c r="J70" s="2" t="s">
        <v>396</v>
      </c>
      <c r="K70" s="2" t="s">
        <v>298</v>
      </c>
      <c r="L70" s="2" t="n">
        <v>4</v>
      </c>
      <c r="M70" s="2"/>
    </row>
    <row r="71" customFormat="false" ht="46.25" hidden="false" customHeight="false" outlineLevel="0" collapsed="false">
      <c r="A71" s="2" t="s">
        <v>402</v>
      </c>
      <c r="B71" s="2" t="s">
        <v>14</v>
      </c>
      <c r="C71" s="2" t="s">
        <v>396</v>
      </c>
      <c r="D71" s="2" t="s">
        <v>403</v>
      </c>
      <c r="E71" s="2" t="s">
        <v>404</v>
      </c>
      <c r="F71" s="2" t="s">
        <v>405</v>
      </c>
      <c r="G71" s="2" t="s">
        <v>406</v>
      </c>
      <c r="H71" s="2" t="s">
        <v>28</v>
      </c>
      <c r="I71" s="2" t="s">
        <v>407</v>
      </c>
      <c r="J71" s="2" t="s">
        <v>396</v>
      </c>
      <c r="K71" s="2" t="s">
        <v>298</v>
      </c>
      <c r="L71" s="2" t="n">
        <v>3</v>
      </c>
      <c r="M71" s="2"/>
    </row>
    <row r="72" customFormat="false" ht="61.15" hidden="false" customHeight="false" outlineLevel="0" collapsed="false">
      <c r="A72" s="2" t="s">
        <v>408</v>
      </c>
      <c r="B72" s="2" t="s">
        <v>14</v>
      </c>
      <c r="C72" s="2" t="s">
        <v>409</v>
      </c>
      <c r="D72" s="2" t="s">
        <v>410</v>
      </c>
      <c r="E72" s="2" t="s">
        <v>411</v>
      </c>
      <c r="F72" s="2" t="s">
        <v>412</v>
      </c>
      <c r="G72" s="2" t="s">
        <v>413</v>
      </c>
      <c r="H72" s="2" t="s">
        <v>28</v>
      </c>
      <c r="I72" s="2" t="s">
        <v>414</v>
      </c>
      <c r="J72" s="2" t="s">
        <v>409</v>
      </c>
      <c r="K72" s="2" t="s">
        <v>298</v>
      </c>
      <c r="L72" s="2" t="n">
        <v>4</v>
      </c>
      <c r="M72" s="2"/>
    </row>
    <row r="73" customFormat="false" ht="46.25" hidden="false" customHeight="false" outlineLevel="0" collapsed="false">
      <c r="A73" s="2" t="s">
        <v>415</v>
      </c>
      <c r="B73" s="2" t="s">
        <v>14</v>
      </c>
      <c r="C73" s="2" t="s">
        <v>416</v>
      </c>
      <c r="D73" s="2" t="s">
        <v>417</v>
      </c>
      <c r="E73" s="2" t="s">
        <v>418</v>
      </c>
      <c r="F73" s="2" t="s">
        <v>419</v>
      </c>
      <c r="G73" s="2" t="s">
        <v>420</v>
      </c>
      <c r="H73" s="2" t="s">
        <v>28</v>
      </c>
      <c r="I73" s="2" t="s">
        <v>421</v>
      </c>
      <c r="J73" s="2" t="s">
        <v>416</v>
      </c>
      <c r="K73" s="2" t="s">
        <v>298</v>
      </c>
      <c r="L73" s="2" t="n">
        <v>3</v>
      </c>
      <c r="M73" s="2"/>
    </row>
    <row r="74" customFormat="false" ht="46.25" hidden="false" customHeight="false" outlineLevel="0" collapsed="false">
      <c r="A74" s="2" t="s">
        <v>422</v>
      </c>
      <c r="B74" s="2" t="s">
        <v>14</v>
      </c>
      <c r="C74" s="2" t="s">
        <v>423</v>
      </c>
      <c r="D74" s="2" t="s">
        <v>424</v>
      </c>
      <c r="E74" s="2" t="s">
        <v>425</v>
      </c>
      <c r="F74" s="2" t="s">
        <v>426</v>
      </c>
      <c r="G74" s="2" t="s">
        <v>427</v>
      </c>
      <c r="H74" s="2" t="s">
        <v>28</v>
      </c>
      <c r="I74" s="2" t="s">
        <v>428</v>
      </c>
      <c r="J74" s="2" t="s">
        <v>423</v>
      </c>
      <c r="K74" s="2" t="s">
        <v>298</v>
      </c>
      <c r="L74" s="2" t="n">
        <v>2</v>
      </c>
      <c r="M74" s="2"/>
    </row>
    <row r="75" customFormat="false" ht="46.25" hidden="false" customHeight="false" outlineLevel="0" collapsed="false">
      <c r="A75" s="2" t="s">
        <v>429</v>
      </c>
      <c r="B75" s="2" t="s">
        <v>14</v>
      </c>
      <c r="C75" s="2" t="s">
        <v>430</v>
      </c>
      <c r="D75" s="2" t="s">
        <v>431</v>
      </c>
      <c r="E75" s="2" t="s">
        <v>432</v>
      </c>
      <c r="F75" s="2" t="s">
        <v>157</v>
      </c>
      <c r="G75" s="2" t="s">
        <v>433</v>
      </c>
      <c r="H75" s="2" t="s">
        <v>28</v>
      </c>
      <c r="I75" s="2" t="s">
        <v>434</v>
      </c>
      <c r="J75" s="2" t="s">
        <v>430</v>
      </c>
      <c r="K75" s="2" t="s">
        <v>298</v>
      </c>
      <c r="L75" s="2" t="n">
        <v>1</v>
      </c>
      <c r="M75" s="2"/>
    </row>
    <row r="76" customFormat="false" ht="61.15" hidden="false" customHeight="false" outlineLevel="0" collapsed="false">
      <c r="A76" s="2" t="s">
        <v>435</v>
      </c>
      <c r="B76" s="2" t="s">
        <v>14</v>
      </c>
      <c r="C76" s="2" t="s">
        <v>436</v>
      </c>
      <c r="D76" s="2" t="s">
        <v>437</v>
      </c>
      <c r="E76" s="2" t="s">
        <v>438</v>
      </c>
      <c r="F76" s="2" t="s">
        <v>439</v>
      </c>
      <c r="G76" s="2" t="s">
        <v>440</v>
      </c>
      <c r="H76" s="2" t="s">
        <v>28</v>
      </c>
      <c r="I76" s="2" t="s">
        <v>441</v>
      </c>
      <c r="J76" s="2" t="s">
        <v>436</v>
      </c>
      <c r="K76" s="2" t="s">
        <v>298</v>
      </c>
      <c r="L76" s="2" t="n">
        <v>3</v>
      </c>
      <c r="M76" s="2"/>
    </row>
    <row r="77" customFormat="false" ht="46.25" hidden="false" customHeight="false" outlineLevel="0" collapsed="false">
      <c r="A77" s="2" t="s">
        <v>442</v>
      </c>
      <c r="B77" s="2" t="s">
        <v>14</v>
      </c>
      <c r="C77" s="2" t="s">
        <v>436</v>
      </c>
      <c r="D77" s="2" t="s">
        <v>443</v>
      </c>
      <c r="E77" s="2" t="s">
        <v>444</v>
      </c>
      <c r="F77" s="2" t="s">
        <v>445</v>
      </c>
      <c r="G77" s="2" t="s">
        <v>446</v>
      </c>
      <c r="H77" s="2" t="s">
        <v>28</v>
      </c>
      <c r="I77" s="2" t="s">
        <v>447</v>
      </c>
      <c r="J77" s="2" t="s">
        <v>436</v>
      </c>
      <c r="K77" s="2" t="s">
        <v>298</v>
      </c>
      <c r="L77" s="2" t="n">
        <v>1</v>
      </c>
      <c r="M77" s="2"/>
    </row>
    <row r="78" customFormat="false" ht="46.25" hidden="false" customHeight="false" outlineLevel="0" collapsed="false">
      <c r="A78" s="2" t="s">
        <v>448</v>
      </c>
      <c r="B78" s="2" t="s">
        <v>14</v>
      </c>
      <c r="C78" s="2" t="s">
        <v>449</v>
      </c>
      <c r="D78" s="2" t="s">
        <v>450</v>
      </c>
      <c r="E78" s="2" t="s">
        <v>451</v>
      </c>
      <c r="F78" s="2" t="s">
        <v>452</v>
      </c>
      <c r="G78" s="2" t="s">
        <v>453</v>
      </c>
      <c r="H78" s="2" t="s">
        <v>28</v>
      </c>
      <c r="I78" s="2" t="s">
        <v>454</v>
      </c>
      <c r="J78" s="2" t="s">
        <v>449</v>
      </c>
      <c r="K78" s="2" t="s">
        <v>298</v>
      </c>
      <c r="L78" s="2" t="n">
        <v>1</v>
      </c>
      <c r="M78" s="2"/>
    </row>
    <row r="79" customFormat="false" ht="61.15" hidden="false" customHeight="false" outlineLevel="0" collapsed="false">
      <c r="A79" s="2" t="s">
        <v>455</v>
      </c>
      <c r="B79" s="2" t="s">
        <v>14</v>
      </c>
      <c r="C79" s="2" t="s">
        <v>449</v>
      </c>
      <c r="D79" s="2" t="s">
        <v>456</v>
      </c>
      <c r="E79" s="2" t="s">
        <v>373</v>
      </c>
      <c r="F79" s="2" t="s">
        <v>374</v>
      </c>
      <c r="G79" s="2" t="s">
        <v>375</v>
      </c>
      <c r="H79" s="2" t="s">
        <v>28</v>
      </c>
      <c r="I79" s="2" t="s">
        <v>457</v>
      </c>
      <c r="J79" s="2" t="s">
        <v>449</v>
      </c>
      <c r="K79" s="2" t="s">
        <v>298</v>
      </c>
      <c r="L79" s="2" t="n">
        <v>1</v>
      </c>
      <c r="M79" s="2"/>
    </row>
    <row r="80" customFormat="false" ht="46.25" hidden="false" customHeight="false" outlineLevel="0" collapsed="false">
      <c r="A80" s="2" t="s">
        <v>458</v>
      </c>
      <c r="B80" s="2" t="s">
        <v>14</v>
      </c>
      <c r="C80" s="2" t="s">
        <v>459</v>
      </c>
      <c r="D80" s="2" t="s">
        <v>460</v>
      </c>
      <c r="E80" s="2" t="s">
        <v>461</v>
      </c>
      <c r="F80" s="2" t="s">
        <v>462</v>
      </c>
      <c r="G80" s="2" t="s">
        <v>463</v>
      </c>
      <c r="H80" s="2" t="s">
        <v>28</v>
      </c>
      <c r="I80" s="2" t="s">
        <v>464</v>
      </c>
      <c r="J80" s="2" t="s">
        <v>459</v>
      </c>
      <c r="K80" s="2" t="s">
        <v>298</v>
      </c>
      <c r="L80" s="2" t="n">
        <v>1</v>
      </c>
      <c r="M80" s="2"/>
    </row>
    <row r="81" customFormat="false" ht="61.15" hidden="false" customHeight="false" outlineLevel="0" collapsed="false">
      <c r="A81" s="2" t="s">
        <v>465</v>
      </c>
      <c r="B81" s="2" t="s">
        <v>14</v>
      </c>
      <c r="C81" s="2" t="s">
        <v>466</v>
      </c>
      <c r="D81" s="2" t="s">
        <v>467</v>
      </c>
      <c r="E81" s="2" t="s">
        <v>468</v>
      </c>
      <c r="F81" s="2" t="s">
        <v>469</v>
      </c>
      <c r="G81" s="2" t="s">
        <v>470</v>
      </c>
      <c r="H81" s="2" t="s">
        <v>28</v>
      </c>
      <c r="I81" s="2" t="s">
        <v>471</v>
      </c>
      <c r="J81" s="2" t="s">
        <v>466</v>
      </c>
      <c r="K81" s="2" t="s">
        <v>298</v>
      </c>
      <c r="L81" s="2" t="n">
        <v>2</v>
      </c>
      <c r="M81" s="2"/>
    </row>
    <row r="82" customFormat="false" ht="46.25" hidden="false" customHeight="false" outlineLevel="0" collapsed="false">
      <c r="A82" s="2" t="s">
        <v>472</v>
      </c>
      <c r="B82" s="2" t="s">
        <v>14</v>
      </c>
      <c r="C82" s="2" t="s">
        <v>466</v>
      </c>
      <c r="D82" s="2" t="s">
        <v>473</v>
      </c>
      <c r="E82" s="2" t="s">
        <v>474</v>
      </c>
      <c r="F82" s="2" t="s">
        <v>475</v>
      </c>
      <c r="G82" s="2" t="s">
        <v>476</v>
      </c>
      <c r="H82" s="2" t="s">
        <v>28</v>
      </c>
      <c r="I82" s="2" t="s">
        <v>477</v>
      </c>
      <c r="J82" s="2" t="s">
        <v>466</v>
      </c>
      <c r="K82" s="2" t="s">
        <v>298</v>
      </c>
      <c r="L82" s="2" t="n">
        <v>3</v>
      </c>
      <c r="M82" s="2"/>
    </row>
    <row r="83" customFormat="false" ht="76.1" hidden="false" customHeight="false" outlineLevel="0" collapsed="false">
      <c r="A83" s="2" t="s">
        <v>478</v>
      </c>
      <c r="B83" s="2" t="s">
        <v>14</v>
      </c>
      <c r="C83" s="2" t="s">
        <v>466</v>
      </c>
      <c r="D83" s="2" t="s">
        <v>479</v>
      </c>
      <c r="E83" s="2" t="s">
        <v>480</v>
      </c>
      <c r="F83" s="2" t="s">
        <v>481</v>
      </c>
      <c r="G83" s="2" t="s">
        <v>482</v>
      </c>
      <c r="H83" s="2" t="s">
        <v>226</v>
      </c>
      <c r="I83" s="2" t="s">
        <v>483</v>
      </c>
      <c r="J83" s="2" t="s">
        <v>466</v>
      </c>
      <c r="K83" s="2" t="s">
        <v>298</v>
      </c>
      <c r="L83" s="2" t="n">
        <v>3</v>
      </c>
      <c r="M83" s="2"/>
    </row>
    <row r="84" customFormat="false" ht="46.25" hidden="false" customHeight="false" outlineLevel="0" collapsed="false">
      <c r="A84" s="2" t="s">
        <v>484</v>
      </c>
      <c r="B84" s="2" t="s">
        <v>14</v>
      </c>
      <c r="C84" s="2" t="s">
        <v>485</v>
      </c>
      <c r="D84" s="2" t="s">
        <v>486</v>
      </c>
      <c r="E84" s="2" t="s">
        <v>487</v>
      </c>
      <c r="F84" s="2" t="s">
        <v>488</v>
      </c>
      <c r="G84" s="2" t="s">
        <v>489</v>
      </c>
      <c r="H84" s="2" t="s">
        <v>28</v>
      </c>
      <c r="I84" s="2" t="s">
        <v>490</v>
      </c>
      <c r="J84" s="2" t="s">
        <v>485</v>
      </c>
      <c r="K84" s="2" t="s">
        <v>298</v>
      </c>
      <c r="L84" s="2" t="n">
        <v>1</v>
      </c>
      <c r="M84" s="2"/>
    </row>
    <row r="85" customFormat="false" ht="46.25" hidden="false" customHeight="false" outlineLevel="0" collapsed="false">
      <c r="A85" s="2" t="s">
        <v>491</v>
      </c>
      <c r="B85" s="2" t="s">
        <v>14</v>
      </c>
      <c r="C85" s="2" t="s">
        <v>485</v>
      </c>
      <c r="D85" s="2" t="s">
        <v>492</v>
      </c>
      <c r="E85" s="2" t="s">
        <v>493</v>
      </c>
      <c r="F85" s="2" t="s">
        <v>494</v>
      </c>
      <c r="G85" s="2" t="s">
        <v>495</v>
      </c>
      <c r="H85" s="2" t="s">
        <v>20</v>
      </c>
      <c r="I85" s="2" t="s">
        <v>496</v>
      </c>
      <c r="J85" s="2" t="s">
        <v>485</v>
      </c>
      <c r="K85" s="2" t="s">
        <v>298</v>
      </c>
      <c r="L85" s="2" t="n">
        <v>3</v>
      </c>
      <c r="M85" s="2"/>
    </row>
    <row r="86" customFormat="false" ht="46.25" hidden="false" customHeight="false" outlineLevel="0" collapsed="false">
      <c r="A86" s="2" t="s">
        <v>497</v>
      </c>
      <c r="B86" s="2" t="s">
        <v>14</v>
      </c>
      <c r="C86" s="2" t="s">
        <v>498</v>
      </c>
      <c r="D86" s="2" t="s">
        <v>499</v>
      </c>
      <c r="E86" s="2" t="s">
        <v>500</v>
      </c>
      <c r="F86" s="2" t="s">
        <v>501</v>
      </c>
      <c r="G86" s="2" t="s">
        <v>502</v>
      </c>
      <c r="H86" s="2" t="s">
        <v>28</v>
      </c>
      <c r="I86" s="2" t="s">
        <v>503</v>
      </c>
      <c r="J86" s="2" t="s">
        <v>498</v>
      </c>
      <c r="K86" s="2" t="s">
        <v>298</v>
      </c>
      <c r="L86" s="2" t="n">
        <v>3</v>
      </c>
      <c r="M86" s="2"/>
    </row>
    <row r="87" customFormat="false" ht="46.25" hidden="false" customHeight="false" outlineLevel="0" collapsed="false">
      <c r="A87" s="2" t="s">
        <v>504</v>
      </c>
      <c r="B87" s="2" t="s">
        <v>14</v>
      </c>
      <c r="C87" s="2" t="s">
        <v>505</v>
      </c>
      <c r="D87" s="2" t="s">
        <v>506</v>
      </c>
      <c r="E87" s="2" t="s">
        <v>507</v>
      </c>
      <c r="F87" s="2" t="s">
        <v>508</v>
      </c>
      <c r="G87" s="2" t="s">
        <v>509</v>
      </c>
      <c r="H87" s="2" t="s">
        <v>20</v>
      </c>
      <c r="I87" s="2" t="s">
        <v>510</v>
      </c>
      <c r="J87" s="2" t="s">
        <v>505</v>
      </c>
      <c r="K87" s="2" t="s">
        <v>298</v>
      </c>
      <c r="L87" s="2" t="n">
        <v>1</v>
      </c>
      <c r="M87" s="2"/>
    </row>
    <row r="88" customFormat="false" ht="46.25" hidden="false" customHeight="false" outlineLevel="0" collapsed="false">
      <c r="A88" s="2" t="s">
        <v>511</v>
      </c>
      <c r="B88" s="2" t="s">
        <v>14</v>
      </c>
      <c r="C88" s="2" t="s">
        <v>512</v>
      </c>
      <c r="D88" s="2" t="s">
        <v>513</v>
      </c>
      <c r="E88" s="2" t="s">
        <v>514</v>
      </c>
      <c r="F88" s="2" t="s">
        <v>515</v>
      </c>
      <c r="G88" s="2" t="s">
        <v>516</v>
      </c>
      <c r="H88" s="2" t="s">
        <v>28</v>
      </c>
      <c r="I88" s="2" t="s">
        <v>517</v>
      </c>
      <c r="J88" s="2" t="s">
        <v>512</v>
      </c>
      <c r="K88" s="2" t="s">
        <v>298</v>
      </c>
      <c r="L88" s="2" t="n">
        <v>2</v>
      </c>
      <c r="M88" s="2"/>
    </row>
    <row r="89" customFormat="false" ht="46.25" hidden="false" customHeight="false" outlineLevel="0" collapsed="false">
      <c r="A89" s="2" t="s">
        <v>518</v>
      </c>
      <c r="B89" s="2" t="s">
        <v>14</v>
      </c>
      <c r="C89" s="2" t="s">
        <v>519</v>
      </c>
      <c r="D89" s="2" t="s">
        <v>520</v>
      </c>
      <c r="E89" s="2" t="s">
        <v>521</v>
      </c>
      <c r="F89" s="2" t="s">
        <v>522</v>
      </c>
      <c r="G89" s="2" t="s">
        <v>523</v>
      </c>
      <c r="H89" s="2" t="s">
        <v>20</v>
      </c>
      <c r="I89" s="2" t="s">
        <v>524</v>
      </c>
      <c r="J89" s="2" t="s">
        <v>519</v>
      </c>
      <c r="K89" s="2" t="s">
        <v>298</v>
      </c>
      <c r="L89" s="2" t="n">
        <v>2</v>
      </c>
      <c r="M89" s="2"/>
    </row>
    <row r="90" customFormat="false" ht="61.15" hidden="false" customHeight="false" outlineLevel="0" collapsed="false">
      <c r="A90" s="2" t="s">
        <v>525</v>
      </c>
      <c r="B90" s="2" t="s">
        <v>14</v>
      </c>
      <c r="C90" s="2" t="s">
        <v>526</v>
      </c>
      <c r="D90" s="2" t="s">
        <v>527</v>
      </c>
      <c r="E90" s="2" t="s">
        <v>528</v>
      </c>
      <c r="F90" s="2" t="s">
        <v>529</v>
      </c>
      <c r="G90" s="2" t="s">
        <v>530</v>
      </c>
      <c r="H90" s="2" t="s">
        <v>28</v>
      </c>
      <c r="I90" s="2" t="s">
        <v>531</v>
      </c>
      <c r="J90" s="2" t="s">
        <v>526</v>
      </c>
      <c r="K90" s="2" t="s">
        <v>298</v>
      </c>
      <c r="L90" s="2" t="n">
        <v>4</v>
      </c>
      <c r="M90" s="2"/>
    </row>
    <row r="91" customFormat="false" ht="46.25" hidden="false" customHeight="false" outlineLevel="0" collapsed="false">
      <c r="A91" s="2" t="s">
        <v>532</v>
      </c>
      <c r="B91" s="2" t="s">
        <v>14</v>
      </c>
      <c r="C91" s="2" t="s">
        <v>533</v>
      </c>
      <c r="D91" s="2" t="s">
        <v>534</v>
      </c>
      <c r="E91" s="2" t="s">
        <v>535</v>
      </c>
      <c r="F91" s="2" t="s">
        <v>536</v>
      </c>
      <c r="G91" s="2" t="s">
        <v>537</v>
      </c>
      <c r="H91" s="2" t="s">
        <v>28</v>
      </c>
      <c r="I91" s="2" t="s">
        <v>538</v>
      </c>
      <c r="J91" s="2" t="s">
        <v>533</v>
      </c>
      <c r="K91" s="2" t="s">
        <v>298</v>
      </c>
      <c r="L91" s="2" t="n">
        <v>1</v>
      </c>
      <c r="M91" s="2"/>
    </row>
    <row r="92" customFormat="false" ht="61.15" hidden="false" customHeight="false" outlineLevel="0" collapsed="false">
      <c r="A92" s="2" t="s">
        <v>539</v>
      </c>
      <c r="B92" s="2" t="s">
        <v>14</v>
      </c>
      <c r="C92" s="2" t="s">
        <v>533</v>
      </c>
      <c r="D92" s="2" t="s">
        <v>540</v>
      </c>
      <c r="E92" s="2" t="s">
        <v>541</v>
      </c>
      <c r="F92" s="2" t="s">
        <v>542</v>
      </c>
      <c r="G92" s="2" t="s">
        <v>543</v>
      </c>
      <c r="H92" s="2" t="s">
        <v>20</v>
      </c>
      <c r="I92" s="2" t="s">
        <v>544</v>
      </c>
      <c r="J92" s="2" t="s">
        <v>533</v>
      </c>
      <c r="K92" s="2" t="s">
        <v>298</v>
      </c>
      <c r="L92" s="2" t="n">
        <v>4</v>
      </c>
      <c r="M92" s="2"/>
    </row>
    <row r="93" customFormat="false" ht="61.15" hidden="false" customHeight="false" outlineLevel="0" collapsed="false">
      <c r="A93" s="2" t="s">
        <v>545</v>
      </c>
      <c r="B93" s="2" t="s">
        <v>14</v>
      </c>
      <c r="C93" s="2" t="s">
        <v>546</v>
      </c>
      <c r="D93" s="2" t="s">
        <v>547</v>
      </c>
      <c r="E93" s="2" t="s">
        <v>548</v>
      </c>
      <c r="F93" s="2" t="s">
        <v>549</v>
      </c>
      <c r="G93" s="2" t="s">
        <v>550</v>
      </c>
      <c r="H93" s="2" t="s">
        <v>28</v>
      </c>
      <c r="I93" s="2" t="s">
        <v>551</v>
      </c>
      <c r="J93" s="2" t="s">
        <v>546</v>
      </c>
      <c r="K93" s="2" t="s">
        <v>298</v>
      </c>
      <c r="L93" s="2" t="n">
        <v>2</v>
      </c>
      <c r="M93" s="2"/>
    </row>
    <row r="94" customFormat="false" ht="91" hidden="false" customHeight="false" outlineLevel="0" collapsed="false">
      <c r="A94" s="2" t="s">
        <v>552</v>
      </c>
      <c r="B94" s="2" t="s">
        <v>14</v>
      </c>
      <c r="C94" s="2" t="s">
        <v>546</v>
      </c>
      <c r="D94" s="2" t="s">
        <v>553</v>
      </c>
      <c r="E94" s="2" t="s">
        <v>554</v>
      </c>
      <c r="F94" s="2" t="s">
        <v>555</v>
      </c>
      <c r="G94" s="2" t="s">
        <v>556</v>
      </c>
      <c r="H94" s="2" t="s">
        <v>20</v>
      </c>
      <c r="I94" s="2" t="s">
        <v>557</v>
      </c>
      <c r="J94" s="2" t="s">
        <v>546</v>
      </c>
      <c r="K94" s="2" t="s">
        <v>558</v>
      </c>
      <c r="L94" s="2" t="n">
        <v>4</v>
      </c>
      <c r="M94" s="2" t="n">
        <v>124</v>
      </c>
    </row>
    <row r="95" customFormat="false" ht="46.25" hidden="false" customHeight="false" outlineLevel="0" collapsed="false">
      <c r="A95" s="2" t="s">
        <v>559</v>
      </c>
      <c r="B95" s="2" t="s">
        <v>14</v>
      </c>
      <c r="C95" s="2" t="s">
        <v>560</v>
      </c>
      <c r="D95" s="2" t="s">
        <v>561</v>
      </c>
      <c r="E95" s="2" t="s">
        <v>562</v>
      </c>
      <c r="F95" s="2" t="s">
        <v>563</v>
      </c>
      <c r="G95" s="2" t="s">
        <v>564</v>
      </c>
      <c r="H95" s="2" t="s">
        <v>20</v>
      </c>
      <c r="I95" s="2" t="s">
        <v>565</v>
      </c>
      <c r="J95" s="2" t="s">
        <v>560</v>
      </c>
      <c r="K95" s="2" t="s">
        <v>298</v>
      </c>
      <c r="L95" s="2" t="n">
        <v>1</v>
      </c>
      <c r="M95" s="2"/>
    </row>
    <row r="96" customFormat="false" ht="61.15" hidden="false" customHeight="false" outlineLevel="0" collapsed="false">
      <c r="A96" s="2" t="s">
        <v>566</v>
      </c>
      <c r="B96" s="2" t="s">
        <v>14</v>
      </c>
      <c r="C96" s="2" t="s">
        <v>567</v>
      </c>
      <c r="D96" s="2" t="s">
        <v>568</v>
      </c>
      <c r="E96" s="2" t="s">
        <v>569</v>
      </c>
      <c r="F96" s="2" t="s">
        <v>570</v>
      </c>
      <c r="G96" s="2" t="s">
        <v>571</v>
      </c>
      <c r="H96" s="2" t="s">
        <v>28</v>
      </c>
      <c r="I96" s="2" t="s">
        <v>572</v>
      </c>
      <c r="J96" s="2" t="s">
        <v>567</v>
      </c>
      <c r="K96" s="2" t="s">
        <v>298</v>
      </c>
      <c r="L96" s="2" t="n">
        <v>2</v>
      </c>
      <c r="M96" s="2"/>
    </row>
    <row r="97" customFormat="false" ht="46.25" hidden="false" customHeight="false" outlineLevel="0" collapsed="false">
      <c r="A97" s="2" t="s">
        <v>573</v>
      </c>
      <c r="B97" s="2" t="s">
        <v>14</v>
      </c>
      <c r="C97" s="2" t="s">
        <v>574</v>
      </c>
      <c r="D97" s="2" t="s">
        <v>575</v>
      </c>
      <c r="E97" s="2" t="s">
        <v>576</v>
      </c>
      <c r="F97" s="2" t="s">
        <v>577</v>
      </c>
      <c r="G97" s="2" t="s">
        <v>578</v>
      </c>
      <c r="H97" s="2" t="s">
        <v>20</v>
      </c>
      <c r="I97" s="2" t="s">
        <v>579</v>
      </c>
      <c r="J97" s="2" t="s">
        <v>574</v>
      </c>
      <c r="K97" s="2" t="s">
        <v>298</v>
      </c>
      <c r="L97" s="2" t="n">
        <v>2</v>
      </c>
      <c r="M97" s="2"/>
    </row>
    <row r="98" customFormat="false" ht="61.15" hidden="false" customHeight="false" outlineLevel="0" collapsed="false">
      <c r="A98" s="2" t="s">
        <v>580</v>
      </c>
      <c r="B98" s="2" t="s">
        <v>14</v>
      </c>
      <c r="C98" s="2" t="s">
        <v>581</v>
      </c>
      <c r="D98" s="2" t="s">
        <v>582</v>
      </c>
      <c r="E98" s="2" t="s">
        <v>583</v>
      </c>
      <c r="F98" s="2" t="s">
        <v>584</v>
      </c>
      <c r="G98" s="2" t="s">
        <v>585</v>
      </c>
      <c r="H98" s="2" t="s">
        <v>28</v>
      </c>
      <c r="I98" s="2" t="s">
        <v>586</v>
      </c>
      <c r="J98" s="2" t="s">
        <v>581</v>
      </c>
      <c r="K98" s="2" t="s">
        <v>298</v>
      </c>
      <c r="L98" s="2" t="n">
        <v>3</v>
      </c>
      <c r="M98" s="2"/>
    </row>
    <row r="99" customFormat="false" ht="46.25" hidden="false" customHeight="false" outlineLevel="0" collapsed="false">
      <c r="A99" s="2" t="s">
        <v>587</v>
      </c>
      <c r="B99" s="2" t="s">
        <v>14</v>
      </c>
      <c r="C99" s="2" t="s">
        <v>581</v>
      </c>
      <c r="D99" s="2" t="s">
        <v>588</v>
      </c>
      <c r="E99" s="2" t="s">
        <v>589</v>
      </c>
      <c r="F99" s="2" t="s">
        <v>590</v>
      </c>
      <c r="G99" s="2" t="s">
        <v>591</v>
      </c>
      <c r="H99" s="2" t="s">
        <v>28</v>
      </c>
      <c r="I99" s="2" t="s">
        <v>592</v>
      </c>
      <c r="J99" s="2" t="s">
        <v>581</v>
      </c>
      <c r="K99" s="2" t="s">
        <v>298</v>
      </c>
      <c r="L99" s="2" t="n">
        <v>2</v>
      </c>
      <c r="M99" s="2"/>
    </row>
    <row r="100" customFormat="false" ht="61.15" hidden="false" customHeight="false" outlineLevel="0" collapsed="false">
      <c r="A100" s="2" t="s">
        <v>593</v>
      </c>
      <c r="B100" s="2" t="s">
        <v>14</v>
      </c>
      <c r="C100" s="2" t="s">
        <v>594</v>
      </c>
      <c r="D100" s="2" t="s">
        <v>595</v>
      </c>
      <c r="E100" s="2" t="s">
        <v>596</v>
      </c>
      <c r="F100" s="2" t="s">
        <v>597</v>
      </c>
      <c r="G100" s="2" t="s">
        <v>598</v>
      </c>
      <c r="H100" s="2" t="s">
        <v>20</v>
      </c>
      <c r="I100" s="2" t="s">
        <v>599</v>
      </c>
      <c r="J100" s="2" t="s">
        <v>594</v>
      </c>
      <c r="K100" s="2" t="s">
        <v>298</v>
      </c>
      <c r="L100" s="2" t="n">
        <v>3</v>
      </c>
      <c r="M100" s="2"/>
    </row>
    <row r="101" customFormat="false" ht="46.25" hidden="false" customHeight="false" outlineLevel="0" collapsed="false">
      <c r="A101" s="2" t="s">
        <v>600</v>
      </c>
      <c r="B101" s="2" t="s">
        <v>14</v>
      </c>
      <c r="C101" s="2" t="s">
        <v>601</v>
      </c>
      <c r="D101" s="2" t="s">
        <v>602</v>
      </c>
      <c r="E101" s="2" t="s">
        <v>603</v>
      </c>
      <c r="F101" s="2" t="s">
        <v>604</v>
      </c>
      <c r="G101" s="2" t="s">
        <v>605</v>
      </c>
      <c r="H101" s="2" t="s">
        <v>28</v>
      </c>
      <c r="I101" s="2" t="s">
        <v>606</v>
      </c>
      <c r="J101" s="2" t="s">
        <v>601</v>
      </c>
      <c r="K101" s="2" t="s">
        <v>298</v>
      </c>
      <c r="L101" s="2" t="n">
        <v>1</v>
      </c>
      <c r="M101" s="2"/>
    </row>
    <row r="102" customFormat="false" ht="46.25" hidden="false" customHeight="false" outlineLevel="0" collapsed="false">
      <c r="A102" s="2" t="s">
        <v>607</v>
      </c>
      <c r="B102" s="2" t="s">
        <v>14</v>
      </c>
      <c r="C102" s="2" t="s">
        <v>608</v>
      </c>
      <c r="D102" s="2" t="s">
        <v>609</v>
      </c>
      <c r="E102" s="2" t="s">
        <v>610</v>
      </c>
      <c r="F102" s="2" t="s">
        <v>611</v>
      </c>
      <c r="G102" s="2" t="s">
        <v>612</v>
      </c>
      <c r="H102" s="2" t="s">
        <v>28</v>
      </c>
      <c r="I102" s="2" t="s">
        <v>613</v>
      </c>
      <c r="J102" s="2" t="s">
        <v>608</v>
      </c>
      <c r="K102" s="2" t="s">
        <v>298</v>
      </c>
      <c r="L102" s="2" t="n">
        <v>3</v>
      </c>
      <c r="M102" s="2"/>
    </row>
    <row r="103" customFormat="false" ht="61.15" hidden="false" customHeight="false" outlineLevel="0" collapsed="false">
      <c r="A103" s="2" t="s">
        <v>614</v>
      </c>
      <c r="B103" s="2" t="s">
        <v>14</v>
      </c>
      <c r="C103" s="2" t="s">
        <v>608</v>
      </c>
      <c r="D103" s="2" t="s">
        <v>615</v>
      </c>
      <c r="E103" s="2" t="s">
        <v>616</v>
      </c>
      <c r="F103" s="2" t="s">
        <v>617</v>
      </c>
      <c r="G103" s="2" t="s">
        <v>618</v>
      </c>
      <c r="H103" s="2" t="s">
        <v>20</v>
      </c>
      <c r="I103" s="2" t="s">
        <v>619</v>
      </c>
      <c r="J103" s="2" t="s">
        <v>608</v>
      </c>
      <c r="K103" s="2" t="s">
        <v>298</v>
      </c>
      <c r="L103" s="2" t="n">
        <v>4</v>
      </c>
      <c r="M103" s="2"/>
    </row>
    <row r="104" customFormat="false" ht="61.15" hidden="false" customHeight="false" outlineLevel="0" collapsed="false">
      <c r="A104" s="2" t="s">
        <v>620</v>
      </c>
      <c r="B104" s="2" t="s">
        <v>14</v>
      </c>
      <c r="C104" s="2" t="s">
        <v>621</v>
      </c>
      <c r="D104" s="2" t="s">
        <v>622</v>
      </c>
      <c r="E104" s="2" t="s">
        <v>623</v>
      </c>
      <c r="F104" s="2" t="s">
        <v>624</v>
      </c>
      <c r="G104" s="2" t="s">
        <v>625</v>
      </c>
      <c r="H104" s="2" t="s">
        <v>28</v>
      </c>
      <c r="I104" s="2" t="s">
        <v>626</v>
      </c>
      <c r="J104" s="2" t="s">
        <v>621</v>
      </c>
      <c r="K104" s="2" t="s">
        <v>298</v>
      </c>
      <c r="L104" s="2" t="n">
        <v>3</v>
      </c>
      <c r="M104" s="2"/>
    </row>
    <row r="105" customFormat="false" ht="46.25" hidden="false" customHeight="false" outlineLevel="0" collapsed="false">
      <c r="A105" s="2" t="s">
        <v>627</v>
      </c>
      <c r="B105" s="2" t="s">
        <v>14</v>
      </c>
      <c r="C105" s="2" t="s">
        <v>628</v>
      </c>
      <c r="D105" s="2" t="s">
        <v>629</v>
      </c>
      <c r="E105" s="2" t="s">
        <v>630</v>
      </c>
      <c r="F105" s="2" t="s">
        <v>631</v>
      </c>
      <c r="G105" s="2" t="s">
        <v>632</v>
      </c>
      <c r="H105" s="2" t="s">
        <v>20</v>
      </c>
      <c r="I105" s="2" t="s">
        <v>633</v>
      </c>
      <c r="J105" s="2" t="s">
        <v>628</v>
      </c>
      <c r="K105" s="2" t="s">
        <v>298</v>
      </c>
      <c r="L105" s="2" t="n">
        <v>1</v>
      </c>
      <c r="M105" s="2"/>
    </row>
    <row r="106" customFormat="false" ht="46.25" hidden="false" customHeight="false" outlineLevel="0" collapsed="false">
      <c r="A106" s="2" t="s">
        <v>634</v>
      </c>
      <c r="B106" s="2" t="s">
        <v>14</v>
      </c>
      <c r="C106" s="2" t="s">
        <v>635</v>
      </c>
      <c r="D106" s="2" t="s">
        <v>636</v>
      </c>
      <c r="E106" s="2" t="s">
        <v>637</v>
      </c>
      <c r="F106" s="2" t="s">
        <v>638</v>
      </c>
      <c r="G106" s="2" t="s">
        <v>639</v>
      </c>
      <c r="H106" s="2" t="s">
        <v>28</v>
      </c>
      <c r="I106" s="2" t="s">
        <v>640</v>
      </c>
      <c r="J106" s="2" t="s">
        <v>635</v>
      </c>
      <c r="K106" s="2" t="s">
        <v>298</v>
      </c>
      <c r="L106" s="2" t="n">
        <v>2</v>
      </c>
      <c r="M106" s="2"/>
    </row>
    <row r="107" customFormat="false" ht="61.15" hidden="false" customHeight="false" outlineLevel="0" collapsed="false">
      <c r="A107" s="2" t="s">
        <v>641</v>
      </c>
      <c r="B107" s="2" t="s">
        <v>14</v>
      </c>
      <c r="C107" s="2" t="s">
        <v>635</v>
      </c>
      <c r="D107" s="2" t="s">
        <v>642</v>
      </c>
      <c r="E107" s="2" t="s">
        <v>643</v>
      </c>
      <c r="F107" s="2" t="s">
        <v>644</v>
      </c>
      <c r="G107" s="2" t="s">
        <v>645</v>
      </c>
      <c r="H107" s="2" t="s">
        <v>20</v>
      </c>
      <c r="I107" s="2" t="s">
        <v>646</v>
      </c>
      <c r="J107" s="2" t="s">
        <v>635</v>
      </c>
      <c r="K107" s="2" t="s">
        <v>298</v>
      </c>
      <c r="L107" s="2" t="n">
        <v>4</v>
      </c>
      <c r="M107" s="2"/>
    </row>
    <row r="108" customFormat="false" ht="31.3" hidden="false" customHeight="false" outlineLevel="0" collapsed="false">
      <c r="A108" s="2" t="s">
        <v>647</v>
      </c>
      <c r="B108" s="2" t="s">
        <v>14</v>
      </c>
      <c r="C108" s="2" t="s">
        <v>292</v>
      </c>
      <c r="D108" s="2" t="s">
        <v>648</v>
      </c>
      <c r="E108" s="2" t="s">
        <v>649</v>
      </c>
      <c r="F108" s="2" t="s">
        <v>650</v>
      </c>
      <c r="G108" s="2" t="s">
        <v>651</v>
      </c>
      <c r="H108" s="2" t="s">
        <v>20</v>
      </c>
      <c r="I108" s="2" t="s">
        <v>652</v>
      </c>
      <c r="J108" s="2" t="s">
        <v>292</v>
      </c>
      <c r="K108" s="2" t="s">
        <v>298</v>
      </c>
      <c r="L108" s="2" t="n">
        <v>4</v>
      </c>
      <c r="M108" s="2"/>
    </row>
    <row r="109" customFormat="false" ht="31.3" hidden="false" customHeight="false" outlineLevel="0" collapsed="false">
      <c r="A109" s="2" t="s">
        <v>653</v>
      </c>
      <c r="B109" s="2" t="s">
        <v>14</v>
      </c>
      <c r="C109" s="2" t="s">
        <v>292</v>
      </c>
      <c r="D109" s="2" t="s">
        <v>654</v>
      </c>
      <c r="E109" s="2" t="s">
        <v>655</v>
      </c>
      <c r="F109" s="2" t="s">
        <v>656</v>
      </c>
      <c r="G109" s="2" t="s">
        <v>657</v>
      </c>
      <c r="H109" s="2" t="s">
        <v>20</v>
      </c>
      <c r="I109" s="2" t="s">
        <v>652</v>
      </c>
      <c r="J109" s="2" t="s">
        <v>292</v>
      </c>
      <c r="K109" s="2" t="s">
        <v>298</v>
      </c>
      <c r="L109" s="2" t="n">
        <v>3</v>
      </c>
      <c r="M109" s="2"/>
    </row>
    <row r="110" customFormat="false" ht="31.3" hidden="false" customHeight="false" outlineLevel="0" collapsed="false">
      <c r="A110" s="2" t="s">
        <v>658</v>
      </c>
      <c r="B110" s="2" t="s">
        <v>14</v>
      </c>
      <c r="C110" s="2" t="s">
        <v>300</v>
      </c>
      <c r="D110" s="2" t="s">
        <v>659</v>
      </c>
      <c r="E110" s="2" t="s">
        <v>650</v>
      </c>
      <c r="F110" s="2" t="s">
        <v>651</v>
      </c>
      <c r="G110" s="2" t="s">
        <v>660</v>
      </c>
      <c r="H110" s="2" t="s">
        <v>20</v>
      </c>
      <c r="I110" s="2" t="s">
        <v>661</v>
      </c>
      <c r="J110" s="2" t="s">
        <v>300</v>
      </c>
      <c r="K110" s="2" t="s">
        <v>298</v>
      </c>
      <c r="L110" s="2" t="n">
        <v>4</v>
      </c>
      <c r="M110" s="2"/>
    </row>
    <row r="111" customFormat="false" ht="31.3" hidden="false" customHeight="false" outlineLevel="0" collapsed="false">
      <c r="A111" s="2" t="s">
        <v>662</v>
      </c>
      <c r="B111" s="2" t="s">
        <v>14</v>
      </c>
      <c r="C111" s="2" t="s">
        <v>300</v>
      </c>
      <c r="D111" s="2" t="s">
        <v>663</v>
      </c>
      <c r="E111" s="2" t="s">
        <v>664</v>
      </c>
      <c r="F111" s="2" t="s">
        <v>665</v>
      </c>
      <c r="G111" s="2" t="s">
        <v>666</v>
      </c>
      <c r="H111" s="2" t="s">
        <v>28</v>
      </c>
      <c r="I111" s="2" t="s">
        <v>661</v>
      </c>
      <c r="J111" s="2" t="s">
        <v>300</v>
      </c>
      <c r="K111" s="2" t="s">
        <v>298</v>
      </c>
      <c r="L111" s="2" t="n">
        <v>3</v>
      </c>
      <c r="M111" s="2"/>
    </row>
    <row r="112" customFormat="false" ht="61.15" hidden="false" customHeight="false" outlineLevel="0" collapsed="false">
      <c r="A112" s="2" t="s">
        <v>667</v>
      </c>
      <c r="B112" s="2" t="s">
        <v>14</v>
      </c>
      <c r="C112" s="2" t="s">
        <v>313</v>
      </c>
      <c r="D112" s="2" t="s">
        <v>668</v>
      </c>
      <c r="E112" s="2" t="s">
        <v>669</v>
      </c>
      <c r="F112" s="2" t="s">
        <v>650</v>
      </c>
      <c r="G112" s="2" t="s">
        <v>660</v>
      </c>
      <c r="H112" s="2" t="s">
        <v>20</v>
      </c>
      <c r="I112" s="2" t="s">
        <v>670</v>
      </c>
      <c r="J112" s="2" t="s">
        <v>313</v>
      </c>
      <c r="K112" s="2" t="s">
        <v>298</v>
      </c>
      <c r="L112" s="2" t="n">
        <v>4</v>
      </c>
      <c r="M112" s="2"/>
    </row>
    <row r="113" customFormat="false" ht="46.25" hidden="false" customHeight="false" outlineLevel="0" collapsed="false">
      <c r="A113" s="2" t="s">
        <v>671</v>
      </c>
      <c r="B113" s="2" t="s">
        <v>14</v>
      </c>
      <c r="C113" s="2" t="s">
        <v>313</v>
      </c>
      <c r="D113" s="2" t="s">
        <v>672</v>
      </c>
      <c r="E113" s="2" t="s">
        <v>673</v>
      </c>
      <c r="F113" s="2" t="s">
        <v>674</v>
      </c>
      <c r="G113" s="2" t="s">
        <v>675</v>
      </c>
      <c r="H113" s="2" t="s">
        <v>28</v>
      </c>
      <c r="I113" s="2" t="s">
        <v>670</v>
      </c>
      <c r="J113" s="2" t="s">
        <v>313</v>
      </c>
      <c r="K113" s="2" t="s">
        <v>298</v>
      </c>
      <c r="L113" s="2" t="n">
        <v>3</v>
      </c>
      <c r="M113" s="2"/>
    </row>
    <row r="114" customFormat="false" ht="46.25" hidden="false" customHeight="false" outlineLevel="0" collapsed="false">
      <c r="A114" s="2" t="s">
        <v>676</v>
      </c>
      <c r="B114" s="2" t="s">
        <v>14</v>
      </c>
      <c r="C114" s="2" t="s">
        <v>320</v>
      </c>
      <c r="D114" s="2" t="s">
        <v>677</v>
      </c>
      <c r="E114" s="2" t="s">
        <v>660</v>
      </c>
      <c r="F114" s="2" t="s">
        <v>678</v>
      </c>
      <c r="G114" s="2" t="s">
        <v>650</v>
      </c>
      <c r="H114" s="2" t="s">
        <v>20</v>
      </c>
      <c r="I114" s="2" t="s">
        <v>679</v>
      </c>
      <c r="J114" s="2" t="s">
        <v>320</v>
      </c>
      <c r="K114" s="2" t="s">
        <v>298</v>
      </c>
      <c r="L114" s="2" t="n">
        <v>4</v>
      </c>
      <c r="M114" s="2"/>
    </row>
    <row r="115" customFormat="false" ht="46.25" hidden="false" customHeight="false" outlineLevel="0" collapsed="false">
      <c r="A115" s="2" t="s">
        <v>680</v>
      </c>
      <c r="B115" s="2" t="s">
        <v>14</v>
      </c>
      <c r="C115" s="2" t="s">
        <v>320</v>
      </c>
      <c r="D115" s="2" t="s">
        <v>681</v>
      </c>
      <c r="E115" s="2" t="s">
        <v>673</v>
      </c>
      <c r="F115" s="2" t="s">
        <v>682</v>
      </c>
      <c r="G115" s="2" t="s">
        <v>675</v>
      </c>
      <c r="H115" s="2" t="s">
        <v>28</v>
      </c>
      <c r="I115" s="2" t="s">
        <v>679</v>
      </c>
      <c r="J115" s="2" t="s">
        <v>320</v>
      </c>
      <c r="K115" s="2" t="s">
        <v>298</v>
      </c>
      <c r="L115" s="2" t="n">
        <v>3</v>
      </c>
      <c r="M115" s="2"/>
    </row>
    <row r="116" customFormat="false" ht="31.3" hidden="false" customHeight="false" outlineLevel="0" collapsed="false">
      <c r="A116" s="2" t="s">
        <v>683</v>
      </c>
      <c r="B116" s="2" t="s">
        <v>14</v>
      </c>
      <c r="C116" s="2" t="s">
        <v>684</v>
      </c>
      <c r="D116" s="2" t="s">
        <v>685</v>
      </c>
      <c r="E116" s="2" t="s">
        <v>650</v>
      </c>
      <c r="F116" s="2" t="s">
        <v>651</v>
      </c>
      <c r="G116" s="2" t="s">
        <v>669</v>
      </c>
      <c r="H116" s="2" t="s">
        <v>28</v>
      </c>
      <c r="I116" s="2" t="s">
        <v>686</v>
      </c>
      <c r="J116" s="2" t="s">
        <v>684</v>
      </c>
      <c r="K116" s="2" t="s">
        <v>298</v>
      </c>
      <c r="L116" s="2" t="n">
        <v>4</v>
      </c>
      <c r="M116" s="2"/>
    </row>
    <row r="117" customFormat="false" ht="31.3" hidden="false" customHeight="false" outlineLevel="0" collapsed="false">
      <c r="A117" s="2" t="s">
        <v>687</v>
      </c>
      <c r="B117" s="2" t="s">
        <v>14</v>
      </c>
      <c r="C117" s="2" t="s">
        <v>684</v>
      </c>
      <c r="D117" s="2" t="s">
        <v>688</v>
      </c>
      <c r="E117" s="2" t="s">
        <v>689</v>
      </c>
      <c r="F117" s="2" t="s">
        <v>690</v>
      </c>
      <c r="G117" s="2" t="s">
        <v>691</v>
      </c>
      <c r="H117" s="2" t="s">
        <v>20</v>
      </c>
      <c r="I117" s="2" t="s">
        <v>686</v>
      </c>
      <c r="J117" s="2" t="s">
        <v>684</v>
      </c>
      <c r="K117" s="2" t="s">
        <v>298</v>
      </c>
      <c r="L117" s="2" t="n">
        <v>3</v>
      </c>
      <c r="M117" s="2"/>
    </row>
    <row r="118" customFormat="false" ht="31.3" hidden="false" customHeight="false" outlineLevel="0" collapsed="false">
      <c r="A118" s="2" t="s">
        <v>692</v>
      </c>
      <c r="B118" s="2" t="s">
        <v>14</v>
      </c>
      <c r="C118" s="2" t="s">
        <v>339</v>
      </c>
      <c r="D118" s="2" t="s">
        <v>693</v>
      </c>
      <c r="E118" s="2" t="s">
        <v>678</v>
      </c>
      <c r="F118" s="2" t="s">
        <v>694</v>
      </c>
      <c r="G118" s="2" t="s">
        <v>695</v>
      </c>
      <c r="H118" s="2" t="s">
        <v>20</v>
      </c>
      <c r="I118" s="2" t="s">
        <v>696</v>
      </c>
      <c r="J118" s="2" t="s">
        <v>339</v>
      </c>
      <c r="K118" s="2" t="s">
        <v>298</v>
      </c>
      <c r="L118" s="2" t="n">
        <v>4</v>
      </c>
      <c r="M118" s="2"/>
    </row>
    <row r="119" customFormat="false" ht="31.3" hidden="false" customHeight="false" outlineLevel="0" collapsed="false">
      <c r="A119" s="2" t="s">
        <v>697</v>
      </c>
      <c r="B119" s="2" t="s">
        <v>14</v>
      </c>
      <c r="C119" s="2" t="s">
        <v>339</v>
      </c>
      <c r="D119" s="2" t="s">
        <v>698</v>
      </c>
      <c r="E119" s="2" t="s">
        <v>690</v>
      </c>
      <c r="F119" s="2" t="s">
        <v>699</v>
      </c>
      <c r="G119" s="2" t="s">
        <v>691</v>
      </c>
      <c r="H119" s="2" t="s">
        <v>20</v>
      </c>
      <c r="I119" s="2" t="s">
        <v>696</v>
      </c>
      <c r="J119" s="2" t="s">
        <v>339</v>
      </c>
      <c r="K119" s="2" t="s">
        <v>298</v>
      </c>
      <c r="L119" s="2" t="n">
        <v>3</v>
      </c>
      <c r="M119" s="2"/>
    </row>
    <row r="120" customFormat="false" ht="31.3" hidden="false" customHeight="false" outlineLevel="0" collapsed="false">
      <c r="A120" s="2" t="s">
        <v>700</v>
      </c>
      <c r="B120" s="2" t="s">
        <v>14</v>
      </c>
      <c r="C120" s="2" t="s">
        <v>352</v>
      </c>
      <c r="D120" s="2" t="s">
        <v>701</v>
      </c>
      <c r="E120" s="2" t="s">
        <v>694</v>
      </c>
      <c r="F120" s="2" t="s">
        <v>678</v>
      </c>
      <c r="G120" s="2" t="s">
        <v>695</v>
      </c>
      <c r="H120" s="2" t="s">
        <v>20</v>
      </c>
      <c r="I120" s="2" t="s">
        <v>702</v>
      </c>
      <c r="J120" s="2" t="s">
        <v>352</v>
      </c>
      <c r="K120" s="2" t="s">
        <v>298</v>
      </c>
      <c r="L120" s="2" t="n">
        <v>4</v>
      </c>
      <c r="M120" s="2"/>
    </row>
    <row r="121" customFormat="false" ht="31.3" hidden="false" customHeight="false" outlineLevel="0" collapsed="false">
      <c r="A121" s="2" t="s">
        <v>703</v>
      </c>
      <c r="B121" s="2" t="s">
        <v>14</v>
      </c>
      <c r="C121" s="2" t="s">
        <v>352</v>
      </c>
      <c r="D121" s="2" t="s">
        <v>704</v>
      </c>
      <c r="E121" s="2" t="s">
        <v>666</v>
      </c>
      <c r="F121" s="2" t="s">
        <v>656</v>
      </c>
      <c r="G121" s="2" t="s">
        <v>705</v>
      </c>
      <c r="H121" s="2" t="s">
        <v>226</v>
      </c>
      <c r="I121" s="2" t="s">
        <v>702</v>
      </c>
      <c r="J121" s="2" t="s">
        <v>352</v>
      </c>
      <c r="K121" s="2" t="s">
        <v>298</v>
      </c>
      <c r="L121" s="2" t="n">
        <v>3</v>
      </c>
      <c r="M121" s="2"/>
    </row>
    <row r="122" customFormat="false" ht="46.25" hidden="false" customHeight="false" outlineLevel="0" collapsed="false">
      <c r="A122" s="2" t="s">
        <v>706</v>
      </c>
      <c r="B122" s="2" t="s">
        <v>14</v>
      </c>
      <c r="C122" s="2" t="s">
        <v>359</v>
      </c>
      <c r="D122" s="2" t="s">
        <v>707</v>
      </c>
      <c r="E122" s="2" t="s">
        <v>694</v>
      </c>
      <c r="F122" s="2" t="s">
        <v>695</v>
      </c>
      <c r="G122" s="2" t="s">
        <v>708</v>
      </c>
      <c r="H122" s="2" t="s">
        <v>28</v>
      </c>
      <c r="I122" s="2" t="s">
        <v>709</v>
      </c>
      <c r="J122" s="2" t="s">
        <v>359</v>
      </c>
      <c r="K122" s="2" t="s">
        <v>298</v>
      </c>
      <c r="L122" s="2" t="n">
        <v>4</v>
      </c>
      <c r="M122" s="2"/>
    </row>
    <row r="123" customFormat="false" ht="46.25" hidden="false" customHeight="false" outlineLevel="0" collapsed="false">
      <c r="A123" s="2" t="s">
        <v>710</v>
      </c>
      <c r="B123" s="2" t="s">
        <v>14</v>
      </c>
      <c r="C123" s="2" t="s">
        <v>359</v>
      </c>
      <c r="D123" s="2" t="s">
        <v>711</v>
      </c>
      <c r="E123" s="2" t="s">
        <v>712</v>
      </c>
      <c r="F123" s="2" t="s">
        <v>713</v>
      </c>
      <c r="G123" s="2" t="s">
        <v>714</v>
      </c>
      <c r="H123" s="2" t="s">
        <v>226</v>
      </c>
      <c r="I123" s="2" t="s">
        <v>709</v>
      </c>
      <c r="J123" s="2" t="s">
        <v>359</v>
      </c>
      <c r="K123" s="2" t="s">
        <v>298</v>
      </c>
      <c r="L123" s="2" t="n">
        <v>3</v>
      </c>
      <c r="M123" s="2"/>
    </row>
    <row r="124" customFormat="false" ht="46.25" hidden="false" customHeight="false" outlineLevel="0" collapsed="false">
      <c r="A124" s="2" t="s">
        <v>715</v>
      </c>
      <c r="B124" s="2" t="s">
        <v>14</v>
      </c>
      <c r="C124" s="2" t="s">
        <v>378</v>
      </c>
      <c r="D124" s="2" t="s">
        <v>716</v>
      </c>
      <c r="E124" s="2" t="s">
        <v>717</v>
      </c>
      <c r="F124" s="2" t="s">
        <v>678</v>
      </c>
      <c r="G124" s="2" t="s">
        <v>695</v>
      </c>
      <c r="H124" s="2" t="s">
        <v>20</v>
      </c>
      <c r="I124" s="2" t="s">
        <v>718</v>
      </c>
      <c r="J124" s="2" t="s">
        <v>378</v>
      </c>
      <c r="K124" s="2" t="s">
        <v>298</v>
      </c>
      <c r="L124" s="2" t="n">
        <v>4</v>
      </c>
      <c r="M124" s="2"/>
    </row>
    <row r="125" customFormat="false" ht="46.25" hidden="false" customHeight="false" outlineLevel="0" collapsed="false">
      <c r="A125" s="2" t="s">
        <v>719</v>
      </c>
      <c r="B125" s="2" t="s">
        <v>14</v>
      </c>
      <c r="C125" s="2" t="s">
        <v>378</v>
      </c>
      <c r="D125" s="2" t="s">
        <v>720</v>
      </c>
      <c r="E125" s="2" t="s">
        <v>721</v>
      </c>
      <c r="F125" s="2" t="s">
        <v>722</v>
      </c>
      <c r="G125" s="2" t="s">
        <v>673</v>
      </c>
      <c r="H125" s="2" t="s">
        <v>226</v>
      </c>
      <c r="I125" s="2" t="s">
        <v>718</v>
      </c>
      <c r="J125" s="2" t="s">
        <v>378</v>
      </c>
      <c r="K125" s="2" t="s">
        <v>298</v>
      </c>
      <c r="L125" s="2" t="n">
        <v>3</v>
      </c>
      <c r="M125" s="2"/>
    </row>
    <row r="126" customFormat="false" ht="46.25" hidden="false" customHeight="false" outlineLevel="0" collapsed="false">
      <c r="A126" s="2" t="s">
        <v>723</v>
      </c>
      <c r="B126" s="2" t="s">
        <v>14</v>
      </c>
      <c r="C126" s="2" t="s">
        <v>396</v>
      </c>
      <c r="D126" s="2" t="s">
        <v>724</v>
      </c>
      <c r="E126" s="2" t="s">
        <v>695</v>
      </c>
      <c r="F126" s="2" t="s">
        <v>708</v>
      </c>
      <c r="G126" s="2" t="s">
        <v>725</v>
      </c>
      <c r="H126" s="2" t="s">
        <v>28</v>
      </c>
      <c r="I126" s="2" t="s">
        <v>726</v>
      </c>
      <c r="J126" s="2" t="s">
        <v>396</v>
      </c>
      <c r="K126" s="2" t="s">
        <v>298</v>
      </c>
      <c r="L126" s="2" t="n">
        <v>4</v>
      </c>
      <c r="M126" s="2"/>
    </row>
    <row r="127" customFormat="false" ht="46.25" hidden="false" customHeight="false" outlineLevel="0" collapsed="false">
      <c r="A127" s="2" t="s">
        <v>727</v>
      </c>
      <c r="B127" s="2" t="s">
        <v>14</v>
      </c>
      <c r="C127" s="2" t="s">
        <v>396</v>
      </c>
      <c r="D127" s="2" t="s">
        <v>728</v>
      </c>
      <c r="E127" s="2" t="s">
        <v>714</v>
      </c>
      <c r="F127" s="2" t="s">
        <v>675</v>
      </c>
      <c r="G127" s="2" t="s">
        <v>712</v>
      </c>
      <c r="H127" s="2" t="s">
        <v>28</v>
      </c>
      <c r="I127" s="2" t="s">
        <v>726</v>
      </c>
      <c r="J127" s="2" t="s">
        <v>396</v>
      </c>
      <c r="K127" s="2" t="s">
        <v>298</v>
      </c>
      <c r="L127" s="2" t="n">
        <v>3</v>
      </c>
      <c r="M127" s="2"/>
    </row>
    <row r="128" customFormat="false" ht="31.3" hidden="false" customHeight="false" outlineLevel="0" collapsed="false">
      <c r="A128" s="2" t="s">
        <v>729</v>
      </c>
      <c r="B128" s="2" t="s">
        <v>14</v>
      </c>
      <c r="C128" s="2" t="s">
        <v>730</v>
      </c>
      <c r="D128" s="2" t="s">
        <v>731</v>
      </c>
      <c r="E128" s="2" t="s">
        <v>717</v>
      </c>
      <c r="F128" s="2" t="s">
        <v>695</v>
      </c>
      <c r="G128" s="2" t="s">
        <v>732</v>
      </c>
      <c r="H128" s="2" t="s">
        <v>226</v>
      </c>
      <c r="I128" s="2" t="s">
        <v>733</v>
      </c>
      <c r="J128" s="2" t="s">
        <v>730</v>
      </c>
      <c r="K128" s="2" t="s">
        <v>298</v>
      </c>
      <c r="L128" s="2" t="n">
        <v>4</v>
      </c>
      <c r="M128" s="2"/>
    </row>
    <row r="129" customFormat="false" ht="31.3" hidden="false" customHeight="false" outlineLevel="0" collapsed="false">
      <c r="A129" s="2" t="s">
        <v>734</v>
      </c>
      <c r="B129" s="2" t="s">
        <v>14</v>
      </c>
      <c r="C129" s="2" t="s">
        <v>730</v>
      </c>
      <c r="D129" s="2" t="s">
        <v>735</v>
      </c>
      <c r="E129" s="2" t="s">
        <v>736</v>
      </c>
      <c r="F129" s="2" t="s">
        <v>737</v>
      </c>
      <c r="G129" s="2" t="s">
        <v>699</v>
      </c>
      <c r="H129" s="2" t="s">
        <v>226</v>
      </c>
      <c r="I129" s="2" t="s">
        <v>733</v>
      </c>
      <c r="J129" s="2" t="s">
        <v>730</v>
      </c>
      <c r="K129" s="2" t="s">
        <v>298</v>
      </c>
      <c r="L129" s="2" t="n">
        <v>3</v>
      </c>
      <c r="M129" s="2"/>
    </row>
    <row r="130" customFormat="false" ht="46.25" hidden="false" customHeight="false" outlineLevel="0" collapsed="false">
      <c r="A130" s="2" t="s">
        <v>738</v>
      </c>
      <c r="B130" s="2" t="s">
        <v>14</v>
      </c>
      <c r="C130" s="2" t="s">
        <v>409</v>
      </c>
      <c r="D130" s="2" t="s">
        <v>739</v>
      </c>
      <c r="E130" s="2" t="s">
        <v>717</v>
      </c>
      <c r="F130" s="2" t="s">
        <v>725</v>
      </c>
      <c r="G130" s="2" t="s">
        <v>695</v>
      </c>
      <c r="H130" s="2" t="s">
        <v>28</v>
      </c>
      <c r="I130" s="2" t="s">
        <v>740</v>
      </c>
      <c r="J130" s="2" t="s">
        <v>409</v>
      </c>
      <c r="K130" s="2" t="s">
        <v>298</v>
      </c>
      <c r="L130" s="2" t="n">
        <v>4</v>
      </c>
      <c r="M130" s="2"/>
    </row>
    <row r="131" customFormat="false" ht="46.25" hidden="false" customHeight="false" outlineLevel="0" collapsed="false">
      <c r="A131" s="2" t="s">
        <v>741</v>
      </c>
      <c r="B131" s="2" t="s">
        <v>14</v>
      </c>
      <c r="C131" s="2" t="s">
        <v>409</v>
      </c>
      <c r="D131" s="2" t="s">
        <v>742</v>
      </c>
      <c r="E131" s="2" t="s">
        <v>743</v>
      </c>
      <c r="F131" s="2" t="s">
        <v>744</v>
      </c>
      <c r="G131" s="2" t="s">
        <v>714</v>
      </c>
      <c r="H131" s="2" t="s">
        <v>28</v>
      </c>
      <c r="I131" s="2" t="s">
        <v>740</v>
      </c>
      <c r="J131" s="2" t="s">
        <v>409</v>
      </c>
      <c r="K131" s="2" t="s">
        <v>298</v>
      </c>
      <c r="L131" s="2" t="n">
        <v>3</v>
      </c>
      <c r="M131" s="2"/>
    </row>
    <row r="132" customFormat="false" ht="46.25" hidden="false" customHeight="false" outlineLevel="0" collapsed="false">
      <c r="A132" s="2" t="s">
        <v>745</v>
      </c>
      <c r="B132" s="2" t="s">
        <v>14</v>
      </c>
      <c r="C132" s="2" t="s">
        <v>416</v>
      </c>
      <c r="D132" s="2" t="s">
        <v>746</v>
      </c>
      <c r="E132" s="2" t="s">
        <v>725</v>
      </c>
      <c r="F132" s="2" t="s">
        <v>717</v>
      </c>
      <c r="G132" s="2" t="s">
        <v>747</v>
      </c>
      <c r="H132" s="2" t="s">
        <v>226</v>
      </c>
      <c r="I132" s="2" t="s">
        <v>748</v>
      </c>
      <c r="J132" s="2" t="s">
        <v>416</v>
      </c>
      <c r="K132" s="2" t="s">
        <v>298</v>
      </c>
      <c r="L132" s="2" t="n">
        <v>4</v>
      </c>
      <c r="M132" s="2"/>
    </row>
    <row r="133" customFormat="false" ht="46.25" hidden="false" customHeight="false" outlineLevel="0" collapsed="false">
      <c r="A133" s="2" t="s">
        <v>749</v>
      </c>
      <c r="B133" s="2" t="s">
        <v>14</v>
      </c>
      <c r="C133" s="2" t="s">
        <v>416</v>
      </c>
      <c r="D133" s="2" t="s">
        <v>750</v>
      </c>
      <c r="E133" s="2" t="s">
        <v>744</v>
      </c>
      <c r="F133" s="2" t="s">
        <v>751</v>
      </c>
      <c r="G133" s="2" t="s">
        <v>743</v>
      </c>
      <c r="H133" s="2" t="s">
        <v>226</v>
      </c>
      <c r="I133" s="2" t="s">
        <v>748</v>
      </c>
      <c r="J133" s="2" t="s">
        <v>416</v>
      </c>
      <c r="K133" s="2" t="s">
        <v>298</v>
      </c>
      <c r="L133" s="2" t="n">
        <v>3</v>
      </c>
      <c r="M133" s="2"/>
    </row>
    <row r="134" customFormat="false" ht="46.25" hidden="false" customHeight="false" outlineLevel="0" collapsed="false">
      <c r="A134" s="2" t="s">
        <v>752</v>
      </c>
      <c r="B134" s="2" t="s">
        <v>14</v>
      </c>
      <c r="C134" s="2" t="s">
        <v>423</v>
      </c>
      <c r="D134" s="2" t="s">
        <v>753</v>
      </c>
      <c r="E134" s="2" t="s">
        <v>754</v>
      </c>
      <c r="F134" s="2" t="s">
        <v>747</v>
      </c>
      <c r="G134" s="2" t="s">
        <v>755</v>
      </c>
      <c r="H134" s="2" t="s">
        <v>20</v>
      </c>
      <c r="I134" s="2" t="s">
        <v>756</v>
      </c>
      <c r="J134" s="2" t="s">
        <v>423</v>
      </c>
      <c r="K134" s="2" t="s">
        <v>298</v>
      </c>
      <c r="L134" s="2" t="n">
        <v>4</v>
      </c>
      <c r="M134" s="2"/>
    </row>
    <row r="135" customFormat="false" ht="46.25" hidden="false" customHeight="false" outlineLevel="0" collapsed="false">
      <c r="A135" s="2" t="s">
        <v>757</v>
      </c>
      <c r="B135" s="2" t="s">
        <v>14</v>
      </c>
      <c r="C135" s="2" t="s">
        <v>423</v>
      </c>
      <c r="D135" s="2" t="s">
        <v>758</v>
      </c>
      <c r="E135" s="2" t="s">
        <v>722</v>
      </c>
      <c r="F135" s="2" t="s">
        <v>673</v>
      </c>
      <c r="G135" s="2" t="s">
        <v>713</v>
      </c>
      <c r="H135" s="2" t="s">
        <v>226</v>
      </c>
      <c r="I135" s="2" t="s">
        <v>756</v>
      </c>
      <c r="J135" s="2" t="s">
        <v>423</v>
      </c>
      <c r="K135" s="2" t="s">
        <v>298</v>
      </c>
      <c r="L135" s="2" t="n">
        <v>3</v>
      </c>
      <c r="M135" s="2"/>
    </row>
    <row r="136" customFormat="false" ht="31.3" hidden="false" customHeight="false" outlineLevel="0" collapsed="false">
      <c r="A136" s="2" t="s">
        <v>759</v>
      </c>
      <c r="B136" s="2" t="s">
        <v>14</v>
      </c>
      <c r="C136" s="2" t="s">
        <v>760</v>
      </c>
      <c r="D136" s="2" t="s">
        <v>761</v>
      </c>
      <c r="E136" s="2" t="s">
        <v>755</v>
      </c>
      <c r="F136" s="2" t="s">
        <v>762</v>
      </c>
      <c r="G136" s="2" t="s">
        <v>763</v>
      </c>
      <c r="H136" s="2" t="s">
        <v>226</v>
      </c>
      <c r="I136" s="2" t="s">
        <v>764</v>
      </c>
      <c r="J136" s="2" t="s">
        <v>760</v>
      </c>
      <c r="K136" s="2" t="s">
        <v>298</v>
      </c>
      <c r="L136" s="2" t="n">
        <v>4</v>
      </c>
      <c r="M136" s="2"/>
    </row>
    <row r="137" customFormat="false" ht="31.3" hidden="false" customHeight="false" outlineLevel="0" collapsed="false">
      <c r="A137" s="2" t="s">
        <v>765</v>
      </c>
      <c r="B137" s="2" t="s">
        <v>14</v>
      </c>
      <c r="C137" s="2" t="s">
        <v>760</v>
      </c>
      <c r="D137" s="2" t="s">
        <v>766</v>
      </c>
      <c r="E137" s="2" t="s">
        <v>666</v>
      </c>
      <c r="F137" s="2" t="s">
        <v>767</v>
      </c>
      <c r="G137" s="2" t="s">
        <v>655</v>
      </c>
      <c r="H137" s="2" t="s">
        <v>20</v>
      </c>
      <c r="I137" s="2" t="s">
        <v>764</v>
      </c>
      <c r="J137" s="2" t="s">
        <v>760</v>
      </c>
      <c r="K137" s="2" t="s">
        <v>298</v>
      </c>
      <c r="L137" s="2" t="n">
        <v>3</v>
      </c>
      <c r="M137" s="2"/>
    </row>
    <row r="138" customFormat="false" ht="31.3" hidden="false" customHeight="false" outlineLevel="0" collapsed="false">
      <c r="A138" s="2" t="s">
        <v>768</v>
      </c>
      <c r="B138" s="2" t="s">
        <v>14</v>
      </c>
      <c r="C138" s="2" t="s">
        <v>769</v>
      </c>
      <c r="D138" s="2" t="s">
        <v>770</v>
      </c>
      <c r="E138" s="2" t="s">
        <v>771</v>
      </c>
      <c r="F138" s="2" t="s">
        <v>762</v>
      </c>
      <c r="G138" s="2" t="s">
        <v>772</v>
      </c>
      <c r="H138" s="2" t="s">
        <v>28</v>
      </c>
      <c r="I138" s="2" t="s">
        <v>773</v>
      </c>
      <c r="J138" s="2" t="s">
        <v>769</v>
      </c>
      <c r="K138" s="2" t="s">
        <v>298</v>
      </c>
      <c r="L138" s="2" t="n">
        <v>4</v>
      </c>
      <c r="M138" s="2"/>
    </row>
    <row r="139" customFormat="false" ht="31.3" hidden="false" customHeight="false" outlineLevel="0" collapsed="false">
      <c r="A139" s="2" t="s">
        <v>774</v>
      </c>
      <c r="B139" s="2" t="s">
        <v>14</v>
      </c>
      <c r="C139" s="2" t="s">
        <v>769</v>
      </c>
      <c r="D139" s="2" t="s">
        <v>775</v>
      </c>
      <c r="E139" s="2" t="s">
        <v>690</v>
      </c>
      <c r="F139" s="2" t="s">
        <v>691</v>
      </c>
      <c r="G139" s="2" t="s">
        <v>776</v>
      </c>
      <c r="H139" s="2" t="s">
        <v>226</v>
      </c>
      <c r="I139" s="2" t="s">
        <v>773</v>
      </c>
      <c r="J139" s="2" t="s">
        <v>769</v>
      </c>
      <c r="K139" s="2" t="s">
        <v>298</v>
      </c>
      <c r="L139" s="2" t="n">
        <v>3</v>
      </c>
      <c r="M139" s="2"/>
    </row>
    <row r="140" customFormat="false" ht="46.25" hidden="false" customHeight="false" outlineLevel="0" collapsed="false">
      <c r="A140" s="2" t="s">
        <v>777</v>
      </c>
      <c r="B140" s="2" t="s">
        <v>14</v>
      </c>
      <c r="C140" s="2" t="s">
        <v>430</v>
      </c>
      <c r="D140" s="2" t="s">
        <v>778</v>
      </c>
      <c r="E140" s="2" t="s">
        <v>755</v>
      </c>
      <c r="F140" s="2" t="s">
        <v>772</v>
      </c>
      <c r="G140" s="2" t="s">
        <v>762</v>
      </c>
      <c r="H140" s="2" t="s">
        <v>28</v>
      </c>
      <c r="I140" s="2" t="s">
        <v>779</v>
      </c>
      <c r="J140" s="2" t="s">
        <v>430</v>
      </c>
      <c r="K140" s="2" t="s">
        <v>298</v>
      </c>
      <c r="L140" s="2" t="n">
        <v>4</v>
      </c>
      <c r="M140" s="2"/>
    </row>
    <row r="141" customFormat="false" ht="31.3" hidden="false" customHeight="false" outlineLevel="0" collapsed="false">
      <c r="A141" s="2" t="s">
        <v>780</v>
      </c>
      <c r="B141" s="2" t="s">
        <v>14</v>
      </c>
      <c r="C141" s="2" t="s">
        <v>430</v>
      </c>
      <c r="D141" s="2" t="s">
        <v>781</v>
      </c>
      <c r="E141" s="2" t="s">
        <v>656</v>
      </c>
      <c r="F141" s="2" t="s">
        <v>782</v>
      </c>
      <c r="G141" s="2" t="s">
        <v>783</v>
      </c>
      <c r="H141" s="2" t="s">
        <v>28</v>
      </c>
      <c r="I141" s="2" t="s">
        <v>779</v>
      </c>
      <c r="J141" s="2" t="s">
        <v>430</v>
      </c>
      <c r="K141" s="2" t="s">
        <v>298</v>
      </c>
      <c r="L141" s="2" t="n">
        <v>3</v>
      </c>
      <c r="M141" s="2"/>
    </row>
    <row r="142" customFormat="false" ht="46.25" hidden="false" customHeight="false" outlineLevel="0" collapsed="false">
      <c r="A142" s="2" t="s">
        <v>784</v>
      </c>
      <c r="B142" s="2" t="s">
        <v>14</v>
      </c>
      <c r="C142" s="2" t="s">
        <v>785</v>
      </c>
      <c r="D142" s="2" t="s">
        <v>786</v>
      </c>
      <c r="E142" s="2" t="s">
        <v>771</v>
      </c>
      <c r="F142" s="2" t="s">
        <v>755</v>
      </c>
      <c r="G142" s="2" t="s">
        <v>763</v>
      </c>
      <c r="H142" s="2" t="s">
        <v>28</v>
      </c>
      <c r="I142" s="2" t="s">
        <v>787</v>
      </c>
      <c r="J142" s="2" t="s">
        <v>785</v>
      </c>
      <c r="K142" s="2" t="s">
        <v>298</v>
      </c>
      <c r="L142" s="2" t="n">
        <v>4</v>
      </c>
      <c r="M142" s="2"/>
    </row>
    <row r="143" customFormat="false" ht="46.25" hidden="false" customHeight="false" outlineLevel="0" collapsed="false">
      <c r="A143" s="2" t="s">
        <v>788</v>
      </c>
      <c r="B143" s="2" t="s">
        <v>14</v>
      </c>
      <c r="C143" s="2" t="s">
        <v>785</v>
      </c>
      <c r="D143" s="2" t="s">
        <v>789</v>
      </c>
      <c r="E143" s="2" t="s">
        <v>790</v>
      </c>
      <c r="F143" s="2" t="s">
        <v>722</v>
      </c>
      <c r="G143" s="2" t="s">
        <v>791</v>
      </c>
      <c r="H143" s="2" t="s">
        <v>20</v>
      </c>
      <c r="I143" s="2" t="s">
        <v>787</v>
      </c>
      <c r="J143" s="2" t="s">
        <v>785</v>
      </c>
      <c r="K143" s="2" t="s">
        <v>298</v>
      </c>
      <c r="L143" s="2" t="n">
        <v>3</v>
      </c>
      <c r="M143" s="2"/>
    </row>
    <row r="144" customFormat="false" ht="46.25" hidden="false" customHeight="false" outlineLevel="0" collapsed="false">
      <c r="A144" s="2" t="s">
        <v>792</v>
      </c>
      <c r="B144" s="2" t="s">
        <v>14</v>
      </c>
      <c r="C144" s="2" t="s">
        <v>436</v>
      </c>
      <c r="D144" s="2" t="s">
        <v>793</v>
      </c>
      <c r="E144" s="2" t="s">
        <v>762</v>
      </c>
      <c r="F144" s="2" t="s">
        <v>794</v>
      </c>
      <c r="G144" s="2" t="s">
        <v>771</v>
      </c>
      <c r="H144" s="2" t="s">
        <v>226</v>
      </c>
      <c r="I144" s="2" t="s">
        <v>795</v>
      </c>
      <c r="J144" s="2" t="s">
        <v>436</v>
      </c>
      <c r="K144" s="2" t="s">
        <v>298</v>
      </c>
      <c r="L144" s="2" t="n">
        <v>4</v>
      </c>
      <c r="M144" s="2"/>
    </row>
    <row r="145" customFormat="false" ht="46.25" hidden="false" customHeight="false" outlineLevel="0" collapsed="false">
      <c r="A145" s="2" t="s">
        <v>796</v>
      </c>
      <c r="B145" s="2" t="s">
        <v>14</v>
      </c>
      <c r="C145" s="2" t="s">
        <v>436</v>
      </c>
      <c r="D145" s="2" t="s">
        <v>797</v>
      </c>
      <c r="E145" s="2" t="s">
        <v>743</v>
      </c>
      <c r="F145" s="2" t="s">
        <v>791</v>
      </c>
      <c r="G145" s="2" t="s">
        <v>790</v>
      </c>
      <c r="H145" s="2" t="s">
        <v>28</v>
      </c>
      <c r="I145" s="2" t="s">
        <v>795</v>
      </c>
      <c r="J145" s="2" t="s">
        <v>436</v>
      </c>
      <c r="K145" s="2" t="s">
        <v>298</v>
      </c>
      <c r="L145" s="2" t="n">
        <v>3</v>
      </c>
      <c r="M145" s="2"/>
    </row>
    <row r="146" customFormat="false" ht="46.25" hidden="false" customHeight="false" outlineLevel="0" collapsed="false">
      <c r="A146" s="2" t="s">
        <v>798</v>
      </c>
      <c r="B146" s="2" t="s">
        <v>14</v>
      </c>
      <c r="C146" s="2" t="s">
        <v>799</v>
      </c>
      <c r="D146" s="2" t="s">
        <v>800</v>
      </c>
      <c r="E146" s="2" t="s">
        <v>801</v>
      </c>
      <c r="F146" s="2" t="s">
        <v>802</v>
      </c>
      <c r="G146" s="2" t="s">
        <v>755</v>
      </c>
      <c r="H146" s="2" t="s">
        <v>20</v>
      </c>
      <c r="I146" s="2" t="s">
        <v>803</v>
      </c>
      <c r="J146" s="2" t="s">
        <v>799</v>
      </c>
      <c r="K146" s="2" t="s">
        <v>298</v>
      </c>
      <c r="L146" s="2" t="n">
        <v>4</v>
      </c>
      <c r="M146" s="2"/>
    </row>
    <row r="147" customFormat="false" ht="46.25" hidden="false" customHeight="false" outlineLevel="0" collapsed="false">
      <c r="A147" s="2" t="s">
        <v>804</v>
      </c>
      <c r="B147" s="2" t="s">
        <v>14</v>
      </c>
      <c r="C147" s="2" t="s">
        <v>799</v>
      </c>
      <c r="D147" s="2" t="s">
        <v>805</v>
      </c>
      <c r="E147" s="2" t="s">
        <v>675</v>
      </c>
      <c r="F147" s="2" t="s">
        <v>713</v>
      </c>
      <c r="G147" s="2" t="s">
        <v>806</v>
      </c>
      <c r="H147" s="2" t="s">
        <v>226</v>
      </c>
      <c r="I147" s="2" t="s">
        <v>803</v>
      </c>
      <c r="J147" s="2" t="s">
        <v>799</v>
      </c>
      <c r="K147" s="2" t="s">
        <v>298</v>
      </c>
      <c r="L147" s="2" t="n">
        <v>3</v>
      </c>
      <c r="M147" s="2"/>
    </row>
    <row r="148" customFormat="false" ht="46.25" hidden="false" customHeight="false" outlineLevel="0" collapsed="false">
      <c r="A148" s="2" t="s">
        <v>807</v>
      </c>
      <c r="B148" s="2" t="s">
        <v>14</v>
      </c>
      <c r="C148" s="2" t="s">
        <v>449</v>
      </c>
      <c r="D148" s="2" t="s">
        <v>808</v>
      </c>
      <c r="E148" s="2" t="s">
        <v>809</v>
      </c>
      <c r="F148" s="2" t="s">
        <v>794</v>
      </c>
      <c r="G148" s="2" t="s">
        <v>755</v>
      </c>
      <c r="H148" s="2" t="s">
        <v>28</v>
      </c>
      <c r="I148" s="2" t="s">
        <v>810</v>
      </c>
      <c r="J148" s="2" t="s">
        <v>449</v>
      </c>
      <c r="K148" s="2" t="s">
        <v>298</v>
      </c>
      <c r="L148" s="2" t="n">
        <v>4</v>
      </c>
      <c r="M148" s="2"/>
    </row>
    <row r="149" customFormat="false" ht="46.25" hidden="false" customHeight="false" outlineLevel="0" collapsed="false">
      <c r="A149" s="2" t="s">
        <v>811</v>
      </c>
      <c r="B149" s="2" t="s">
        <v>14</v>
      </c>
      <c r="C149" s="2" t="s">
        <v>449</v>
      </c>
      <c r="D149" s="2" t="s">
        <v>812</v>
      </c>
      <c r="E149" s="2" t="s">
        <v>714</v>
      </c>
      <c r="F149" s="2" t="s">
        <v>722</v>
      </c>
      <c r="G149" s="2" t="s">
        <v>721</v>
      </c>
      <c r="H149" s="2" t="s">
        <v>28</v>
      </c>
      <c r="I149" s="2" t="s">
        <v>810</v>
      </c>
      <c r="J149" s="2" t="s">
        <v>449</v>
      </c>
      <c r="K149" s="2" t="s">
        <v>298</v>
      </c>
      <c r="L149" s="2" t="n">
        <v>3</v>
      </c>
      <c r="M149" s="2"/>
    </row>
    <row r="150" customFormat="false" ht="31.3" hidden="false" customHeight="false" outlineLevel="0" collapsed="false">
      <c r="A150" s="2" t="s">
        <v>813</v>
      </c>
      <c r="B150" s="2" t="s">
        <v>14</v>
      </c>
      <c r="C150" s="2" t="s">
        <v>814</v>
      </c>
      <c r="D150" s="2" t="s">
        <v>815</v>
      </c>
      <c r="E150" s="2" t="s">
        <v>809</v>
      </c>
      <c r="F150" s="2" t="s">
        <v>771</v>
      </c>
      <c r="G150" s="2" t="s">
        <v>802</v>
      </c>
      <c r="H150" s="2" t="s">
        <v>226</v>
      </c>
      <c r="I150" s="2" t="s">
        <v>816</v>
      </c>
      <c r="J150" s="2" t="s">
        <v>814</v>
      </c>
      <c r="K150" s="2" t="s">
        <v>298</v>
      </c>
      <c r="L150" s="2" t="n">
        <v>4</v>
      </c>
      <c r="M150" s="2"/>
    </row>
    <row r="151" customFormat="false" ht="31.3" hidden="false" customHeight="false" outlineLevel="0" collapsed="false">
      <c r="A151" s="2" t="s">
        <v>817</v>
      </c>
      <c r="B151" s="2" t="s">
        <v>14</v>
      </c>
      <c r="C151" s="2" t="s">
        <v>814</v>
      </c>
      <c r="D151" s="2" t="s">
        <v>818</v>
      </c>
      <c r="E151" s="2" t="s">
        <v>689</v>
      </c>
      <c r="F151" s="2" t="s">
        <v>819</v>
      </c>
      <c r="G151" s="2" t="s">
        <v>690</v>
      </c>
      <c r="H151" s="2" t="s">
        <v>28</v>
      </c>
      <c r="I151" s="2" t="s">
        <v>816</v>
      </c>
      <c r="J151" s="2" t="s">
        <v>814</v>
      </c>
      <c r="K151" s="2" t="s">
        <v>298</v>
      </c>
      <c r="L151" s="2" t="n">
        <v>3</v>
      </c>
      <c r="M151" s="2"/>
    </row>
    <row r="152" customFormat="false" ht="31.3" hidden="false" customHeight="false" outlineLevel="0" collapsed="false">
      <c r="A152" s="2" t="s">
        <v>820</v>
      </c>
      <c r="B152" s="2" t="s">
        <v>14</v>
      </c>
      <c r="C152" s="2" t="s">
        <v>459</v>
      </c>
      <c r="D152" s="2" t="s">
        <v>821</v>
      </c>
      <c r="E152" s="2" t="s">
        <v>794</v>
      </c>
      <c r="F152" s="2" t="s">
        <v>802</v>
      </c>
      <c r="G152" s="2" t="s">
        <v>809</v>
      </c>
      <c r="H152" s="2" t="s">
        <v>226</v>
      </c>
      <c r="I152" s="2" t="s">
        <v>822</v>
      </c>
      <c r="J152" s="2" t="s">
        <v>459</v>
      </c>
      <c r="K152" s="2" t="s">
        <v>298</v>
      </c>
      <c r="L152" s="2" t="n">
        <v>4</v>
      </c>
      <c r="M152" s="2"/>
    </row>
    <row r="153" customFormat="false" ht="31.3" hidden="false" customHeight="false" outlineLevel="0" collapsed="false">
      <c r="A153" s="2" t="s">
        <v>823</v>
      </c>
      <c r="B153" s="2" t="s">
        <v>14</v>
      </c>
      <c r="C153" s="2" t="s">
        <v>459</v>
      </c>
      <c r="D153" s="2" t="s">
        <v>824</v>
      </c>
      <c r="E153" s="2" t="s">
        <v>690</v>
      </c>
      <c r="F153" s="2" t="s">
        <v>825</v>
      </c>
      <c r="G153" s="2" t="s">
        <v>826</v>
      </c>
      <c r="H153" s="2" t="s">
        <v>28</v>
      </c>
      <c r="I153" s="2" t="s">
        <v>822</v>
      </c>
      <c r="J153" s="2" t="s">
        <v>459</v>
      </c>
      <c r="K153" s="2" t="s">
        <v>298</v>
      </c>
      <c r="L153" s="2" t="n">
        <v>3</v>
      </c>
      <c r="M153" s="2"/>
    </row>
    <row r="154" customFormat="false" ht="46.25" hidden="false" customHeight="false" outlineLevel="0" collapsed="false">
      <c r="A154" s="2" t="s">
        <v>827</v>
      </c>
      <c r="B154" s="2" t="s">
        <v>14</v>
      </c>
      <c r="C154" s="2" t="s">
        <v>828</v>
      </c>
      <c r="D154" s="2" t="s">
        <v>829</v>
      </c>
      <c r="E154" s="2" t="s">
        <v>809</v>
      </c>
      <c r="F154" s="2" t="s">
        <v>830</v>
      </c>
      <c r="G154" s="2" t="s">
        <v>831</v>
      </c>
      <c r="H154" s="2" t="s">
        <v>28</v>
      </c>
      <c r="I154" s="2" t="s">
        <v>832</v>
      </c>
      <c r="J154" s="2" t="s">
        <v>828</v>
      </c>
      <c r="K154" s="2" t="s">
        <v>298</v>
      </c>
      <c r="L154" s="2" t="n">
        <v>4</v>
      </c>
      <c r="M154" s="2"/>
    </row>
    <row r="155" customFormat="false" ht="46.25" hidden="false" customHeight="false" outlineLevel="0" collapsed="false">
      <c r="A155" s="2" t="s">
        <v>833</v>
      </c>
      <c r="B155" s="2" t="s">
        <v>14</v>
      </c>
      <c r="C155" s="2" t="s">
        <v>828</v>
      </c>
      <c r="D155" s="2" t="s">
        <v>834</v>
      </c>
      <c r="E155" s="2" t="s">
        <v>712</v>
      </c>
      <c r="F155" s="2" t="s">
        <v>673</v>
      </c>
      <c r="G155" s="2" t="s">
        <v>675</v>
      </c>
      <c r="H155" s="2" t="s">
        <v>20</v>
      </c>
      <c r="I155" s="2" t="s">
        <v>832</v>
      </c>
      <c r="J155" s="2" t="s">
        <v>828</v>
      </c>
      <c r="K155" s="2" t="s">
        <v>298</v>
      </c>
      <c r="L155" s="2" t="n">
        <v>3</v>
      </c>
      <c r="M155" s="2"/>
    </row>
    <row r="156" customFormat="false" ht="46.25" hidden="false" customHeight="false" outlineLevel="0" collapsed="false">
      <c r="A156" s="2" t="s">
        <v>835</v>
      </c>
      <c r="B156" s="2" t="s">
        <v>14</v>
      </c>
      <c r="C156" s="2" t="s">
        <v>466</v>
      </c>
      <c r="D156" s="2" t="s">
        <v>836</v>
      </c>
      <c r="E156" s="2" t="s">
        <v>837</v>
      </c>
      <c r="F156" s="2" t="s">
        <v>802</v>
      </c>
      <c r="G156" s="2" t="s">
        <v>831</v>
      </c>
      <c r="H156" s="2" t="s">
        <v>226</v>
      </c>
      <c r="I156" s="2" t="s">
        <v>838</v>
      </c>
      <c r="J156" s="2" t="s">
        <v>466</v>
      </c>
      <c r="K156" s="2" t="s">
        <v>298</v>
      </c>
      <c r="L156" s="2" t="n">
        <v>4</v>
      </c>
      <c r="M156" s="2"/>
    </row>
    <row r="157" customFormat="false" ht="31.3" hidden="false" customHeight="false" outlineLevel="0" collapsed="false">
      <c r="A157" s="2" t="s">
        <v>839</v>
      </c>
      <c r="B157" s="2" t="s">
        <v>14</v>
      </c>
      <c r="C157" s="2" t="s">
        <v>466</v>
      </c>
      <c r="D157" s="2" t="s">
        <v>840</v>
      </c>
      <c r="E157" s="2" t="s">
        <v>782</v>
      </c>
      <c r="F157" s="2" t="s">
        <v>783</v>
      </c>
      <c r="G157" s="2" t="s">
        <v>751</v>
      </c>
      <c r="H157" s="2" t="s">
        <v>226</v>
      </c>
      <c r="I157" s="2" t="s">
        <v>838</v>
      </c>
      <c r="J157" s="2" t="s">
        <v>466</v>
      </c>
      <c r="K157" s="2" t="s">
        <v>298</v>
      </c>
      <c r="L157" s="2" t="n">
        <v>3</v>
      </c>
      <c r="M157" s="2"/>
    </row>
    <row r="158" customFormat="false" ht="31.3" hidden="false" customHeight="false" outlineLevel="0" collapsed="false">
      <c r="A158" s="2" t="s">
        <v>841</v>
      </c>
      <c r="B158" s="2" t="s">
        <v>14</v>
      </c>
      <c r="C158" s="2" t="s">
        <v>485</v>
      </c>
      <c r="D158" s="2" t="s">
        <v>842</v>
      </c>
      <c r="E158" s="2" t="s">
        <v>843</v>
      </c>
      <c r="F158" s="2" t="s">
        <v>837</v>
      </c>
      <c r="G158" s="2" t="s">
        <v>844</v>
      </c>
      <c r="H158" s="2" t="s">
        <v>28</v>
      </c>
      <c r="I158" s="2" t="s">
        <v>845</v>
      </c>
      <c r="J158" s="2" t="s">
        <v>485</v>
      </c>
      <c r="K158" s="2" t="s">
        <v>298</v>
      </c>
      <c r="L158" s="2" t="n">
        <v>4</v>
      </c>
      <c r="M158" s="2"/>
    </row>
    <row r="159" customFormat="false" ht="31.3" hidden="false" customHeight="false" outlineLevel="0" collapsed="false">
      <c r="A159" s="2" t="s">
        <v>846</v>
      </c>
      <c r="B159" s="2" t="s">
        <v>14</v>
      </c>
      <c r="C159" s="2" t="s">
        <v>485</v>
      </c>
      <c r="D159" s="2" t="s">
        <v>847</v>
      </c>
      <c r="E159" s="2" t="s">
        <v>848</v>
      </c>
      <c r="F159" s="2" t="s">
        <v>656</v>
      </c>
      <c r="G159" s="2" t="s">
        <v>666</v>
      </c>
      <c r="H159" s="2" t="s">
        <v>20</v>
      </c>
      <c r="I159" s="2" t="s">
        <v>845</v>
      </c>
      <c r="J159" s="2" t="s">
        <v>485</v>
      </c>
      <c r="K159" s="2" t="s">
        <v>298</v>
      </c>
      <c r="L159" s="2" t="n">
        <v>3</v>
      </c>
      <c r="M159" s="2"/>
    </row>
    <row r="160" customFormat="false" ht="31.3" hidden="false" customHeight="false" outlineLevel="0" collapsed="false">
      <c r="A160" s="2" t="s">
        <v>849</v>
      </c>
      <c r="B160" s="2" t="s">
        <v>14</v>
      </c>
      <c r="C160" s="2" t="s">
        <v>498</v>
      </c>
      <c r="D160" s="2" t="s">
        <v>850</v>
      </c>
      <c r="E160" s="2" t="s">
        <v>843</v>
      </c>
      <c r="F160" s="2" t="s">
        <v>837</v>
      </c>
      <c r="G160" s="2" t="s">
        <v>851</v>
      </c>
      <c r="H160" s="2" t="s">
        <v>20</v>
      </c>
      <c r="I160" s="2" t="s">
        <v>852</v>
      </c>
      <c r="J160" s="2" t="s">
        <v>498</v>
      </c>
      <c r="K160" s="2" t="s">
        <v>298</v>
      </c>
      <c r="L160" s="2" t="n">
        <v>4</v>
      </c>
      <c r="M160" s="2"/>
    </row>
    <row r="161" customFormat="false" ht="31.3" hidden="false" customHeight="false" outlineLevel="0" collapsed="false">
      <c r="A161" s="2" t="s">
        <v>853</v>
      </c>
      <c r="B161" s="2" t="s">
        <v>14</v>
      </c>
      <c r="C161" s="2" t="s">
        <v>498</v>
      </c>
      <c r="D161" s="2" t="s">
        <v>854</v>
      </c>
      <c r="E161" s="2" t="s">
        <v>826</v>
      </c>
      <c r="F161" s="2" t="s">
        <v>691</v>
      </c>
      <c r="G161" s="2" t="s">
        <v>736</v>
      </c>
      <c r="H161" s="2" t="s">
        <v>28</v>
      </c>
      <c r="I161" s="2" t="s">
        <v>852</v>
      </c>
      <c r="J161" s="2" t="s">
        <v>498</v>
      </c>
      <c r="K161" s="2" t="s">
        <v>298</v>
      </c>
      <c r="L161" s="2" t="n">
        <v>3</v>
      </c>
      <c r="M161" s="2"/>
    </row>
    <row r="162" customFormat="false" ht="31.3" hidden="false" customHeight="false" outlineLevel="0" collapsed="false">
      <c r="A162" s="2" t="s">
        <v>855</v>
      </c>
      <c r="B162" s="2" t="s">
        <v>14</v>
      </c>
      <c r="C162" s="2" t="s">
        <v>505</v>
      </c>
      <c r="D162" s="2" t="s">
        <v>856</v>
      </c>
      <c r="E162" s="2" t="s">
        <v>844</v>
      </c>
      <c r="F162" s="2" t="s">
        <v>857</v>
      </c>
      <c r="G162" s="2" t="s">
        <v>843</v>
      </c>
      <c r="H162" s="2" t="s">
        <v>20</v>
      </c>
      <c r="I162" s="2" t="s">
        <v>858</v>
      </c>
      <c r="J162" s="2" t="s">
        <v>505</v>
      </c>
      <c r="K162" s="2" t="s">
        <v>298</v>
      </c>
      <c r="L162" s="2" t="n">
        <v>4</v>
      </c>
      <c r="M162" s="2"/>
    </row>
    <row r="163" customFormat="false" ht="31.3" hidden="false" customHeight="false" outlineLevel="0" collapsed="false">
      <c r="A163" s="2" t="s">
        <v>859</v>
      </c>
      <c r="B163" s="2" t="s">
        <v>14</v>
      </c>
      <c r="C163" s="2" t="s">
        <v>505</v>
      </c>
      <c r="D163" s="2" t="s">
        <v>860</v>
      </c>
      <c r="E163" s="2" t="s">
        <v>861</v>
      </c>
      <c r="F163" s="2" t="s">
        <v>826</v>
      </c>
      <c r="G163" s="2" t="s">
        <v>736</v>
      </c>
      <c r="H163" s="2" t="s">
        <v>226</v>
      </c>
      <c r="I163" s="2" t="s">
        <v>858</v>
      </c>
      <c r="J163" s="2" t="s">
        <v>505</v>
      </c>
      <c r="K163" s="2" t="s">
        <v>298</v>
      </c>
      <c r="L163" s="2" t="n">
        <v>3</v>
      </c>
      <c r="M163" s="2"/>
    </row>
    <row r="164" customFormat="false" ht="46.25" hidden="false" customHeight="false" outlineLevel="0" collapsed="false">
      <c r="A164" s="2" t="s">
        <v>862</v>
      </c>
      <c r="B164" s="2" t="s">
        <v>14</v>
      </c>
      <c r="C164" s="2" t="s">
        <v>512</v>
      </c>
      <c r="D164" s="2" t="s">
        <v>863</v>
      </c>
      <c r="E164" s="2" t="s">
        <v>844</v>
      </c>
      <c r="F164" s="2" t="s">
        <v>843</v>
      </c>
      <c r="G164" s="2" t="s">
        <v>851</v>
      </c>
      <c r="H164" s="2" t="s">
        <v>226</v>
      </c>
      <c r="I164" s="2" t="s">
        <v>864</v>
      </c>
      <c r="J164" s="2" t="s">
        <v>512</v>
      </c>
      <c r="K164" s="2" t="s">
        <v>298</v>
      </c>
      <c r="L164" s="2" t="n">
        <v>4</v>
      </c>
      <c r="M164" s="2"/>
    </row>
    <row r="165" customFormat="false" ht="31.3" hidden="false" customHeight="false" outlineLevel="0" collapsed="false">
      <c r="A165" s="2" t="s">
        <v>865</v>
      </c>
      <c r="B165" s="2" t="s">
        <v>14</v>
      </c>
      <c r="C165" s="2" t="s">
        <v>512</v>
      </c>
      <c r="D165" s="2" t="s">
        <v>866</v>
      </c>
      <c r="E165" s="2" t="s">
        <v>656</v>
      </c>
      <c r="F165" s="2" t="s">
        <v>848</v>
      </c>
      <c r="G165" s="2" t="s">
        <v>782</v>
      </c>
      <c r="H165" s="2" t="s">
        <v>20</v>
      </c>
      <c r="I165" s="2" t="s">
        <v>864</v>
      </c>
      <c r="J165" s="2" t="s">
        <v>512</v>
      </c>
      <c r="K165" s="2" t="s">
        <v>298</v>
      </c>
      <c r="L165" s="2" t="n">
        <v>3</v>
      </c>
      <c r="M165" s="2"/>
    </row>
    <row r="166" customFormat="false" ht="31.3" hidden="false" customHeight="false" outlineLevel="0" collapsed="false">
      <c r="A166" s="2" t="s">
        <v>867</v>
      </c>
      <c r="B166" s="2" t="s">
        <v>14</v>
      </c>
      <c r="C166" s="2" t="s">
        <v>519</v>
      </c>
      <c r="D166" s="2" t="s">
        <v>868</v>
      </c>
      <c r="E166" s="2" t="s">
        <v>869</v>
      </c>
      <c r="F166" s="2" t="s">
        <v>857</v>
      </c>
      <c r="G166" s="2" t="s">
        <v>843</v>
      </c>
      <c r="H166" s="2" t="s">
        <v>28</v>
      </c>
      <c r="I166" s="2" t="s">
        <v>870</v>
      </c>
      <c r="J166" s="2" t="s">
        <v>519</v>
      </c>
      <c r="K166" s="2" t="s">
        <v>298</v>
      </c>
      <c r="L166" s="2" t="n">
        <v>4</v>
      </c>
      <c r="M166" s="2"/>
    </row>
    <row r="167" customFormat="false" ht="31.3" hidden="false" customHeight="false" outlineLevel="0" collapsed="false">
      <c r="A167" s="2" t="s">
        <v>871</v>
      </c>
      <c r="B167" s="2" t="s">
        <v>14</v>
      </c>
      <c r="C167" s="2" t="s">
        <v>519</v>
      </c>
      <c r="D167" s="2" t="s">
        <v>872</v>
      </c>
      <c r="E167" s="2" t="s">
        <v>666</v>
      </c>
      <c r="F167" s="2" t="s">
        <v>767</v>
      </c>
      <c r="G167" s="2" t="s">
        <v>665</v>
      </c>
      <c r="H167" s="2" t="s">
        <v>28</v>
      </c>
      <c r="I167" s="2" t="s">
        <v>870</v>
      </c>
      <c r="J167" s="2" t="s">
        <v>519</v>
      </c>
      <c r="K167" s="2" t="s">
        <v>298</v>
      </c>
      <c r="L167" s="2" t="n">
        <v>3</v>
      </c>
      <c r="M167" s="2"/>
    </row>
    <row r="168" customFormat="false" ht="31.3" hidden="false" customHeight="false" outlineLevel="0" collapsed="false">
      <c r="A168" s="2" t="s">
        <v>873</v>
      </c>
      <c r="B168" s="2" t="s">
        <v>14</v>
      </c>
      <c r="C168" s="2" t="s">
        <v>526</v>
      </c>
      <c r="D168" s="2" t="s">
        <v>874</v>
      </c>
      <c r="E168" s="2" t="s">
        <v>844</v>
      </c>
      <c r="F168" s="2" t="s">
        <v>869</v>
      </c>
      <c r="G168" s="2" t="s">
        <v>843</v>
      </c>
      <c r="H168" s="2" t="s">
        <v>28</v>
      </c>
      <c r="I168" s="2" t="s">
        <v>875</v>
      </c>
      <c r="J168" s="2" t="s">
        <v>526</v>
      </c>
      <c r="K168" s="2" t="s">
        <v>298</v>
      </c>
      <c r="L168" s="2" t="n">
        <v>4</v>
      </c>
      <c r="M168" s="2"/>
    </row>
    <row r="169" customFormat="false" ht="31.3" hidden="false" customHeight="false" outlineLevel="0" collapsed="false">
      <c r="A169" s="2" t="s">
        <v>876</v>
      </c>
      <c r="B169" s="2" t="s">
        <v>14</v>
      </c>
      <c r="C169" s="2" t="s">
        <v>526</v>
      </c>
      <c r="D169" s="2" t="s">
        <v>877</v>
      </c>
      <c r="E169" s="2" t="s">
        <v>664</v>
      </c>
      <c r="F169" s="2" t="s">
        <v>666</v>
      </c>
      <c r="G169" s="2" t="s">
        <v>878</v>
      </c>
      <c r="H169" s="2" t="s">
        <v>20</v>
      </c>
      <c r="I169" s="2" t="s">
        <v>875</v>
      </c>
      <c r="J169" s="2" t="s">
        <v>526</v>
      </c>
      <c r="K169" s="2" t="s">
        <v>298</v>
      </c>
      <c r="L169" s="2" t="n">
        <v>3</v>
      </c>
      <c r="M169" s="2"/>
    </row>
    <row r="170" customFormat="false" ht="46.25" hidden="false" customHeight="false" outlineLevel="0" collapsed="false">
      <c r="A170" s="2" t="s">
        <v>879</v>
      </c>
      <c r="B170" s="2" t="s">
        <v>14</v>
      </c>
      <c r="C170" s="2" t="s">
        <v>533</v>
      </c>
      <c r="D170" s="2" t="s">
        <v>880</v>
      </c>
      <c r="E170" s="2" t="s">
        <v>851</v>
      </c>
      <c r="F170" s="2" t="s">
        <v>881</v>
      </c>
      <c r="G170" s="2" t="s">
        <v>882</v>
      </c>
      <c r="H170" s="2" t="s">
        <v>28</v>
      </c>
      <c r="I170" s="2" t="s">
        <v>883</v>
      </c>
      <c r="J170" s="2" t="s">
        <v>533</v>
      </c>
      <c r="K170" s="2" t="s">
        <v>298</v>
      </c>
      <c r="L170" s="2" t="n">
        <v>4</v>
      </c>
      <c r="M170" s="2"/>
    </row>
    <row r="171" customFormat="false" ht="46.25" hidden="false" customHeight="false" outlineLevel="0" collapsed="false">
      <c r="A171" s="2" t="s">
        <v>884</v>
      </c>
      <c r="B171" s="2" t="s">
        <v>14</v>
      </c>
      <c r="C171" s="2" t="s">
        <v>533</v>
      </c>
      <c r="D171" s="2" t="s">
        <v>885</v>
      </c>
      <c r="E171" s="2" t="s">
        <v>744</v>
      </c>
      <c r="F171" s="2" t="s">
        <v>886</v>
      </c>
      <c r="G171" s="2" t="s">
        <v>887</v>
      </c>
      <c r="H171" s="2" t="s">
        <v>226</v>
      </c>
      <c r="I171" s="2" t="s">
        <v>883</v>
      </c>
      <c r="J171" s="2" t="s">
        <v>533</v>
      </c>
      <c r="K171" s="2" t="s">
        <v>298</v>
      </c>
      <c r="L171" s="2" t="n">
        <v>3</v>
      </c>
      <c r="M171" s="2"/>
    </row>
    <row r="172" customFormat="false" ht="46.25" hidden="false" customHeight="false" outlineLevel="0" collapsed="false">
      <c r="A172" s="2" t="s">
        <v>888</v>
      </c>
      <c r="B172" s="2" t="s">
        <v>14</v>
      </c>
      <c r="C172" s="2" t="s">
        <v>546</v>
      </c>
      <c r="D172" s="2" t="s">
        <v>889</v>
      </c>
      <c r="E172" s="2" t="s">
        <v>890</v>
      </c>
      <c r="F172" s="2" t="s">
        <v>882</v>
      </c>
      <c r="G172" s="2" t="s">
        <v>891</v>
      </c>
      <c r="H172" s="2" t="s">
        <v>28</v>
      </c>
      <c r="I172" s="2" t="s">
        <v>892</v>
      </c>
      <c r="J172" s="2" t="s">
        <v>546</v>
      </c>
      <c r="K172" s="2" t="s">
        <v>298</v>
      </c>
      <c r="L172" s="2" t="n">
        <v>4</v>
      </c>
      <c r="M172" s="2"/>
    </row>
    <row r="173" customFormat="false" ht="46.25" hidden="false" customHeight="false" outlineLevel="0" collapsed="false">
      <c r="A173" s="2" t="s">
        <v>893</v>
      </c>
      <c r="B173" s="2" t="s">
        <v>14</v>
      </c>
      <c r="C173" s="2" t="s">
        <v>546</v>
      </c>
      <c r="D173" s="2" t="s">
        <v>894</v>
      </c>
      <c r="E173" s="2" t="s">
        <v>713</v>
      </c>
      <c r="F173" s="2" t="s">
        <v>721</v>
      </c>
      <c r="G173" s="2" t="s">
        <v>675</v>
      </c>
      <c r="H173" s="2" t="s">
        <v>28</v>
      </c>
      <c r="I173" s="2" t="s">
        <v>892</v>
      </c>
      <c r="J173" s="2" t="s">
        <v>546</v>
      </c>
      <c r="K173" s="2" t="s">
        <v>298</v>
      </c>
      <c r="L173" s="2" t="n">
        <v>3</v>
      </c>
      <c r="M173" s="2"/>
    </row>
    <row r="174" customFormat="false" ht="46.25" hidden="false" customHeight="false" outlineLevel="0" collapsed="false">
      <c r="A174" s="2" t="s">
        <v>895</v>
      </c>
      <c r="B174" s="2" t="s">
        <v>14</v>
      </c>
      <c r="C174" s="2" t="s">
        <v>560</v>
      </c>
      <c r="D174" s="2" t="s">
        <v>896</v>
      </c>
      <c r="E174" s="2" t="s">
        <v>891</v>
      </c>
      <c r="F174" s="2" t="s">
        <v>890</v>
      </c>
      <c r="G174" s="2" t="s">
        <v>897</v>
      </c>
      <c r="H174" s="2" t="s">
        <v>226</v>
      </c>
      <c r="I174" s="2" t="s">
        <v>898</v>
      </c>
      <c r="J174" s="2" t="s">
        <v>560</v>
      </c>
      <c r="K174" s="2" t="s">
        <v>298</v>
      </c>
      <c r="L174" s="2" t="n">
        <v>4</v>
      </c>
      <c r="M174" s="2"/>
    </row>
    <row r="175" customFormat="false" ht="31.3" hidden="false" customHeight="false" outlineLevel="0" collapsed="false">
      <c r="A175" s="2" t="s">
        <v>899</v>
      </c>
      <c r="B175" s="2" t="s">
        <v>14</v>
      </c>
      <c r="C175" s="2" t="s">
        <v>560</v>
      </c>
      <c r="D175" s="2" t="s">
        <v>900</v>
      </c>
      <c r="E175" s="2" t="s">
        <v>657</v>
      </c>
      <c r="F175" s="2" t="s">
        <v>783</v>
      </c>
      <c r="G175" s="2" t="s">
        <v>886</v>
      </c>
      <c r="H175" s="2" t="s">
        <v>226</v>
      </c>
      <c r="I175" s="2" t="s">
        <v>898</v>
      </c>
      <c r="J175" s="2" t="s">
        <v>560</v>
      </c>
      <c r="K175" s="2" t="s">
        <v>298</v>
      </c>
      <c r="L175" s="2" t="n">
        <v>3</v>
      </c>
      <c r="M175" s="2"/>
    </row>
    <row r="176" customFormat="false" ht="31.3" hidden="false" customHeight="false" outlineLevel="0" collapsed="false">
      <c r="A176" s="2" t="s">
        <v>901</v>
      </c>
      <c r="B176" s="2" t="s">
        <v>14</v>
      </c>
      <c r="C176" s="2" t="s">
        <v>902</v>
      </c>
      <c r="D176" s="2" t="s">
        <v>903</v>
      </c>
      <c r="E176" s="2" t="s">
        <v>891</v>
      </c>
      <c r="F176" s="2" t="s">
        <v>897</v>
      </c>
      <c r="G176" s="2" t="s">
        <v>904</v>
      </c>
      <c r="H176" s="2" t="s">
        <v>226</v>
      </c>
      <c r="I176" s="2" t="s">
        <v>905</v>
      </c>
      <c r="J176" s="2" t="s">
        <v>902</v>
      </c>
      <c r="K176" s="2" t="s">
        <v>298</v>
      </c>
      <c r="L176" s="2" t="n">
        <v>4</v>
      </c>
      <c r="M176" s="2"/>
    </row>
    <row r="177" customFormat="false" ht="31.3" hidden="false" customHeight="false" outlineLevel="0" collapsed="false">
      <c r="A177" s="2" t="s">
        <v>906</v>
      </c>
      <c r="B177" s="2" t="s">
        <v>14</v>
      </c>
      <c r="C177" s="2" t="s">
        <v>902</v>
      </c>
      <c r="D177" s="2" t="s">
        <v>907</v>
      </c>
      <c r="E177" s="2" t="s">
        <v>664</v>
      </c>
      <c r="F177" s="2" t="s">
        <v>767</v>
      </c>
      <c r="G177" s="2" t="s">
        <v>878</v>
      </c>
      <c r="H177" s="2" t="s">
        <v>226</v>
      </c>
      <c r="I177" s="2" t="s">
        <v>905</v>
      </c>
      <c r="J177" s="2" t="s">
        <v>902</v>
      </c>
      <c r="K177" s="2" t="s">
        <v>298</v>
      </c>
      <c r="L177" s="2" t="n">
        <v>3</v>
      </c>
      <c r="M177" s="2"/>
    </row>
    <row r="178" customFormat="false" ht="31.3" hidden="false" customHeight="false" outlineLevel="0" collapsed="false">
      <c r="A178" s="2" t="s">
        <v>908</v>
      </c>
      <c r="B178" s="2" t="s">
        <v>14</v>
      </c>
      <c r="C178" s="2" t="s">
        <v>567</v>
      </c>
      <c r="D178" s="2" t="s">
        <v>909</v>
      </c>
      <c r="E178" s="2" t="s">
        <v>890</v>
      </c>
      <c r="F178" s="2" t="s">
        <v>910</v>
      </c>
      <c r="G178" s="2" t="s">
        <v>882</v>
      </c>
      <c r="H178" s="2" t="s">
        <v>20</v>
      </c>
      <c r="I178" s="2" t="s">
        <v>911</v>
      </c>
      <c r="J178" s="2" t="s">
        <v>567</v>
      </c>
      <c r="K178" s="2" t="s">
        <v>298</v>
      </c>
      <c r="L178" s="2" t="n">
        <v>4</v>
      </c>
      <c r="M178" s="2"/>
    </row>
    <row r="179" customFormat="false" ht="31.3" hidden="false" customHeight="false" outlineLevel="0" collapsed="false">
      <c r="A179" s="2" t="s">
        <v>912</v>
      </c>
      <c r="B179" s="2" t="s">
        <v>14</v>
      </c>
      <c r="C179" s="2" t="s">
        <v>567</v>
      </c>
      <c r="D179" s="2" t="s">
        <v>913</v>
      </c>
      <c r="E179" s="2" t="s">
        <v>886</v>
      </c>
      <c r="F179" s="2" t="s">
        <v>666</v>
      </c>
      <c r="G179" s="2" t="s">
        <v>657</v>
      </c>
      <c r="H179" s="2" t="s">
        <v>226</v>
      </c>
      <c r="I179" s="2" t="s">
        <v>911</v>
      </c>
      <c r="J179" s="2" t="s">
        <v>567</v>
      </c>
      <c r="K179" s="2" t="s">
        <v>298</v>
      </c>
      <c r="L179" s="2" t="n">
        <v>3</v>
      </c>
      <c r="M179" s="2"/>
    </row>
    <row r="180" customFormat="false" ht="46.25" hidden="false" customHeight="false" outlineLevel="0" collapsed="false">
      <c r="A180" s="2" t="s">
        <v>914</v>
      </c>
      <c r="B180" s="2" t="s">
        <v>14</v>
      </c>
      <c r="C180" s="2" t="s">
        <v>574</v>
      </c>
      <c r="D180" s="2" t="s">
        <v>915</v>
      </c>
      <c r="E180" s="2" t="s">
        <v>891</v>
      </c>
      <c r="F180" s="2" t="s">
        <v>897</v>
      </c>
      <c r="G180" s="2" t="s">
        <v>910</v>
      </c>
      <c r="H180" s="2" t="s">
        <v>226</v>
      </c>
      <c r="I180" s="2" t="s">
        <v>916</v>
      </c>
      <c r="J180" s="2" t="s">
        <v>574</v>
      </c>
      <c r="K180" s="2" t="s">
        <v>298</v>
      </c>
      <c r="L180" s="2" t="n">
        <v>4</v>
      </c>
      <c r="M180" s="2"/>
    </row>
    <row r="181" customFormat="false" ht="31.3" hidden="false" customHeight="false" outlineLevel="0" collapsed="false">
      <c r="A181" s="2" t="s">
        <v>917</v>
      </c>
      <c r="B181" s="2" t="s">
        <v>14</v>
      </c>
      <c r="C181" s="2" t="s">
        <v>574</v>
      </c>
      <c r="D181" s="2" t="s">
        <v>918</v>
      </c>
      <c r="E181" s="2" t="s">
        <v>919</v>
      </c>
      <c r="F181" s="2" t="s">
        <v>848</v>
      </c>
      <c r="G181" s="2" t="s">
        <v>920</v>
      </c>
      <c r="H181" s="2" t="s">
        <v>20</v>
      </c>
      <c r="I181" s="2" t="s">
        <v>916</v>
      </c>
      <c r="J181" s="2" t="s">
        <v>574</v>
      </c>
      <c r="K181" s="2" t="s">
        <v>298</v>
      </c>
      <c r="L181" s="2" t="n">
        <v>3</v>
      </c>
      <c r="M181" s="2"/>
    </row>
    <row r="182" customFormat="false" ht="31.3" hidden="false" customHeight="false" outlineLevel="0" collapsed="false">
      <c r="A182" s="2" t="s">
        <v>921</v>
      </c>
      <c r="B182" s="2" t="s">
        <v>14</v>
      </c>
      <c r="C182" s="2" t="s">
        <v>581</v>
      </c>
      <c r="D182" s="2" t="s">
        <v>922</v>
      </c>
      <c r="E182" s="2" t="s">
        <v>890</v>
      </c>
      <c r="F182" s="2" t="s">
        <v>923</v>
      </c>
      <c r="G182" s="2" t="s">
        <v>891</v>
      </c>
      <c r="H182" s="2" t="s">
        <v>226</v>
      </c>
      <c r="I182" s="2" t="s">
        <v>924</v>
      </c>
      <c r="J182" s="2" t="s">
        <v>581</v>
      </c>
      <c r="K182" s="2" t="s">
        <v>298</v>
      </c>
      <c r="L182" s="2" t="n">
        <v>4</v>
      </c>
      <c r="M182" s="2"/>
    </row>
    <row r="183" customFormat="false" ht="31.3" hidden="false" customHeight="false" outlineLevel="0" collapsed="false">
      <c r="A183" s="2" t="s">
        <v>925</v>
      </c>
      <c r="B183" s="2" t="s">
        <v>14</v>
      </c>
      <c r="C183" s="2" t="s">
        <v>581</v>
      </c>
      <c r="D183" s="2" t="s">
        <v>926</v>
      </c>
      <c r="E183" s="2" t="s">
        <v>861</v>
      </c>
      <c r="F183" s="2" t="s">
        <v>736</v>
      </c>
      <c r="G183" s="2" t="s">
        <v>927</v>
      </c>
      <c r="H183" s="2" t="s">
        <v>20</v>
      </c>
      <c r="I183" s="2" t="s">
        <v>924</v>
      </c>
      <c r="J183" s="2" t="s">
        <v>581</v>
      </c>
      <c r="K183" s="2" t="s">
        <v>298</v>
      </c>
      <c r="L183" s="2" t="n">
        <v>3</v>
      </c>
      <c r="M183" s="2"/>
    </row>
    <row r="184" customFormat="false" ht="31.3" hidden="false" customHeight="false" outlineLevel="0" collapsed="false">
      <c r="A184" s="2" t="s">
        <v>928</v>
      </c>
      <c r="B184" s="2" t="s">
        <v>14</v>
      </c>
      <c r="C184" s="2" t="s">
        <v>594</v>
      </c>
      <c r="D184" s="2" t="s">
        <v>929</v>
      </c>
      <c r="E184" s="2" t="s">
        <v>930</v>
      </c>
      <c r="F184" s="2" t="s">
        <v>923</v>
      </c>
      <c r="G184" s="2" t="s">
        <v>890</v>
      </c>
      <c r="H184" s="2" t="s">
        <v>28</v>
      </c>
      <c r="I184" s="2" t="s">
        <v>931</v>
      </c>
      <c r="J184" s="2" t="s">
        <v>594</v>
      </c>
      <c r="K184" s="2" t="s">
        <v>298</v>
      </c>
      <c r="L184" s="2" t="n">
        <v>4</v>
      </c>
      <c r="M184" s="2"/>
    </row>
    <row r="185" customFormat="false" ht="31.3" hidden="false" customHeight="false" outlineLevel="0" collapsed="false">
      <c r="A185" s="2" t="s">
        <v>932</v>
      </c>
      <c r="B185" s="2" t="s">
        <v>14</v>
      </c>
      <c r="C185" s="2" t="s">
        <v>594</v>
      </c>
      <c r="D185" s="2" t="s">
        <v>933</v>
      </c>
      <c r="E185" s="2" t="s">
        <v>657</v>
      </c>
      <c r="F185" s="2" t="s">
        <v>699</v>
      </c>
      <c r="G185" s="2" t="s">
        <v>737</v>
      </c>
      <c r="H185" s="2" t="s">
        <v>226</v>
      </c>
      <c r="I185" s="2" t="s">
        <v>931</v>
      </c>
      <c r="J185" s="2" t="s">
        <v>594</v>
      </c>
      <c r="K185" s="2" t="s">
        <v>298</v>
      </c>
      <c r="L185" s="2" t="n">
        <v>3</v>
      </c>
      <c r="M185" s="2"/>
    </row>
    <row r="186" customFormat="false" ht="46.25" hidden="false" customHeight="false" outlineLevel="0" collapsed="false">
      <c r="A186" s="2" t="s">
        <v>934</v>
      </c>
      <c r="B186" s="2" t="s">
        <v>14</v>
      </c>
      <c r="C186" s="2" t="s">
        <v>601</v>
      </c>
      <c r="D186" s="2" t="s">
        <v>935</v>
      </c>
      <c r="E186" s="2" t="s">
        <v>930</v>
      </c>
      <c r="F186" s="2" t="s">
        <v>904</v>
      </c>
      <c r="G186" s="2" t="s">
        <v>923</v>
      </c>
      <c r="H186" s="2" t="s">
        <v>20</v>
      </c>
      <c r="I186" s="2" t="s">
        <v>936</v>
      </c>
      <c r="J186" s="2" t="s">
        <v>601</v>
      </c>
      <c r="K186" s="2" t="s">
        <v>298</v>
      </c>
      <c r="L186" s="2" t="n">
        <v>4</v>
      </c>
      <c r="M186" s="2"/>
    </row>
    <row r="187" customFormat="false" ht="31.3" hidden="false" customHeight="false" outlineLevel="0" collapsed="false">
      <c r="A187" s="2" t="s">
        <v>937</v>
      </c>
      <c r="B187" s="2" t="s">
        <v>14</v>
      </c>
      <c r="C187" s="2" t="s">
        <v>601</v>
      </c>
      <c r="D187" s="2" t="s">
        <v>938</v>
      </c>
      <c r="E187" s="2" t="s">
        <v>783</v>
      </c>
      <c r="F187" s="2" t="s">
        <v>656</v>
      </c>
      <c r="G187" s="2" t="s">
        <v>782</v>
      </c>
      <c r="H187" s="2" t="s">
        <v>20</v>
      </c>
      <c r="I187" s="2" t="s">
        <v>936</v>
      </c>
      <c r="J187" s="2" t="s">
        <v>601</v>
      </c>
      <c r="K187" s="2" t="s">
        <v>298</v>
      </c>
      <c r="L187" s="2" t="n">
        <v>3</v>
      </c>
      <c r="M187" s="2"/>
    </row>
    <row r="188" customFormat="false" ht="46.25" hidden="false" customHeight="false" outlineLevel="0" collapsed="false">
      <c r="A188" s="2" t="s">
        <v>939</v>
      </c>
      <c r="B188" s="2" t="s">
        <v>14</v>
      </c>
      <c r="C188" s="2" t="s">
        <v>608</v>
      </c>
      <c r="D188" s="2" t="s">
        <v>940</v>
      </c>
      <c r="E188" s="2" t="s">
        <v>941</v>
      </c>
      <c r="F188" s="2" t="s">
        <v>942</v>
      </c>
      <c r="G188" s="2" t="s">
        <v>923</v>
      </c>
      <c r="H188" s="2" t="s">
        <v>28</v>
      </c>
      <c r="I188" s="2" t="s">
        <v>943</v>
      </c>
      <c r="J188" s="2" t="s">
        <v>608</v>
      </c>
      <c r="K188" s="2" t="s">
        <v>298</v>
      </c>
      <c r="L188" s="2" t="n">
        <v>4</v>
      </c>
      <c r="M188" s="2"/>
    </row>
    <row r="189" customFormat="false" ht="46.25" hidden="false" customHeight="false" outlineLevel="0" collapsed="false">
      <c r="A189" s="2" t="s">
        <v>944</v>
      </c>
      <c r="B189" s="2" t="s">
        <v>14</v>
      </c>
      <c r="C189" s="2" t="s">
        <v>608</v>
      </c>
      <c r="D189" s="2" t="s">
        <v>945</v>
      </c>
      <c r="E189" s="2" t="s">
        <v>712</v>
      </c>
      <c r="F189" s="2" t="s">
        <v>682</v>
      </c>
      <c r="G189" s="2" t="s">
        <v>946</v>
      </c>
      <c r="H189" s="2" t="s">
        <v>226</v>
      </c>
      <c r="I189" s="2" t="s">
        <v>943</v>
      </c>
      <c r="J189" s="2" t="s">
        <v>608</v>
      </c>
      <c r="K189" s="2" t="s">
        <v>298</v>
      </c>
      <c r="L189" s="2" t="n">
        <v>3</v>
      </c>
      <c r="M189" s="2"/>
    </row>
    <row r="190" customFormat="false" ht="31.3" hidden="false" customHeight="false" outlineLevel="0" collapsed="false">
      <c r="A190" s="2" t="s">
        <v>947</v>
      </c>
      <c r="B190" s="2" t="s">
        <v>14</v>
      </c>
      <c r="C190" s="2" t="s">
        <v>621</v>
      </c>
      <c r="D190" s="2" t="s">
        <v>948</v>
      </c>
      <c r="E190" s="2" t="s">
        <v>942</v>
      </c>
      <c r="F190" s="2" t="s">
        <v>930</v>
      </c>
      <c r="G190" s="2" t="s">
        <v>941</v>
      </c>
      <c r="H190" s="2" t="s">
        <v>226</v>
      </c>
      <c r="I190" s="2" t="s">
        <v>949</v>
      </c>
      <c r="J190" s="2" t="s">
        <v>621</v>
      </c>
      <c r="K190" s="2" t="s">
        <v>298</v>
      </c>
      <c r="L190" s="2" t="n">
        <v>4</v>
      </c>
      <c r="M190" s="2"/>
    </row>
    <row r="191" customFormat="false" ht="31.3" hidden="false" customHeight="false" outlineLevel="0" collapsed="false">
      <c r="A191" s="2" t="s">
        <v>950</v>
      </c>
      <c r="B191" s="2" t="s">
        <v>14</v>
      </c>
      <c r="C191" s="2" t="s">
        <v>621</v>
      </c>
      <c r="D191" s="2" t="s">
        <v>951</v>
      </c>
      <c r="E191" s="2" t="s">
        <v>920</v>
      </c>
      <c r="F191" s="2" t="s">
        <v>919</v>
      </c>
      <c r="G191" s="2" t="s">
        <v>848</v>
      </c>
      <c r="H191" s="2" t="s">
        <v>20</v>
      </c>
      <c r="I191" s="2" t="s">
        <v>949</v>
      </c>
      <c r="J191" s="2" t="s">
        <v>621</v>
      </c>
      <c r="K191" s="2" t="s">
        <v>298</v>
      </c>
      <c r="L191" s="2" t="n">
        <v>3</v>
      </c>
      <c r="M191" s="2"/>
    </row>
    <row r="192" customFormat="false" ht="31.3" hidden="false" customHeight="false" outlineLevel="0" collapsed="false">
      <c r="A192" s="2" t="s">
        <v>952</v>
      </c>
      <c r="B192" s="2" t="s">
        <v>14</v>
      </c>
      <c r="C192" s="2" t="s">
        <v>628</v>
      </c>
      <c r="D192" s="2" t="s">
        <v>953</v>
      </c>
      <c r="E192" s="2" t="s">
        <v>954</v>
      </c>
      <c r="F192" s="2" t="s">
        <v>930</v>
      </c>
      <c r="G192" s="2" t="s">
        <v>923</v>
      </c>
      <c r="H192" s="2" t="s">
        <v>20</v>
      </c>
      <c r="I192" s="2" t="s">
        <v>955</v>
      </c>
      <c r="J192" s="2" t="s">
        <v>628</v>
      </c>
      <c r="K192" s="2" t="s">
        <v>298</v>
      </c>
      <c r="L192" s="2" t="n">
        <v>4</v>
      </c>
      <c r="M192" s="2"/>
    </row>
    <row r="193" customFormat="false" ht="31.3" hidden="false" customHeight="false" outlineLevel="0" collapsed="false">
      <c r="A193" s="2" t="s">
        <v>956</v>
      </c>
      <c r="B193" s="2" t="s">
        <v>14</v>
      </c>
      <c r="C193" s="2" t="s">
        <v>628</v>
      </c>
      <c r="D193" s="2" t="s">
        <v>957</v>
      </c>
      <c r="E193" s="2" t="s">
        <v>737</v>
      </c>
      <c r="F193" s="2" t="s">
        <v>927</v>
      </c>
      <c r="G193" s="2" t="s">
        <v>691</v>
      </c>
      <c r="H193" s="2" t="s">
        <v>28</v>
      </c>
      <c r="I193" s="2" t="s">
        <v>955</v>
      </c>
      <c r="J193" s="2" t="s">
        <v>628</v>
      </c>
      <c r="K193" s="2" t="s">
        <v>298</v>
      </c>
      <c r="L193" s="2" t="n">
        <v>3</v>
      </c>
      <c r="M193" s="2"/>
    </row>
    <row r="194" customFormat="false" ht="31.3" hidden="false" customHeight="false" outlineLevel="0" collapsed="false">
      <c r="A194" s="2" t="s">
        <v>958</v>
      </c>
      <c r="B194" s="2" t="s">
        <v>14</v>
      </c>
      <c r="C194" s="2" t="s">
        <v>635</v>
      </c>
      <c r="D194" s="2" t="s">
        <v>959</v>
      </c>
      <c r="E194" s="2" t="s">
        <v>930</v>
      </c>
      <c r="F194" s="2" t="s">
        <v>941</v>
      </c>
      <c r="G194" s="2" t="s">
        <v>960</v>
      </c>
      <c r="H194" s="2" t="s">
        <v>226</v>
      </c>
      <c r="I194" s="2" t="s">
        <v>961</v>
      </c>
      <c r="J194" s="2" t="s">
        <v>635</v>
      </c>
      <c r="K194" s="2" t="s">
        <v>298</v>
      </c>
      <c r="L194" s="2" t="n">
        <v>4</v>
      </c>
      <c r="M194" s="2"/>
    </row>
    <row r="195" customFormat="false" ht="31.3" hidden="false" customHeight="false" outlineLevel="0" collapsed="false">
      <c r="A195" s="2" t="s">
        <v>962</v>
      </c>
      <c r="B195" s="2" t="s">
        <v>14</v>
      </c>
      <c r="C195" s="2" t="s">
        <v>635</v>
      </c>
      <c r="D195" s="2" t="s">
        <v>963</v>
      </c>
      <c r="E195" s="2" t="s">
        <v>826</v>
      </c>
      <c r="F195" s="2" t="s">
        <v>927</v>
      </c>
      <c r="G195" s="2" t="s">
        <v>861</v>
      </c>
      <c r="H195" s="2" t="s">
        <v>20</v>
      </c>
      <c r="I195" s="2" t="s">
        <v>961</v>
      </c>
      <c r="J195" s="2" t="s">
        <v>635</v>
      </c>
      <c r="K195" s="2" t="s">
        <v>298</v>
      </c>
      <c r="L195" s="2" t="n">
        <v>3</v>
      </c>
      <c r="M195" s="2"/>
    </row>
    <row r="196" customFormat="false" ht="61.15" hidden="false" customHeight="false" outlineLevel="0" collapsed="false">
      <c r="A196" s="2" t="s">
        <v>964</v>
      </c>
      <c r="B196" s="2" t="s">
        <v>14</v>
      </c>
      <c r="C196" s="2" t="s">
        <v>292</v>
      </c>
      <c r="D196" s="2" t="s">
        <v>965</v>
      </c>
      <c r="E196" s="2" t="s">
        <v>966</v>
      </c>
      <c r="F196" s="2" t="s">
        <v>967</v>
      </c>
      <c r="G196" s="2" t="s">
        <v>968</v>
      </c>
      <c r="H196" s="2" t="s">
        <v>20</v>
      </c>
      <c r="I196" s="2" t="s">
        <v>969</v>
      </c>
      <c r="J196" s="2" t="s">
        <v>292</v>
      </c>
      <c r="K196" s="2" t="s">
        <v>298</v>
      </c>
      <c r="L196" s="2" t="n">
        <v>2</v>
      </c>
      <c r="M196" s="2"/>
    </row>
    <row r="197" customFormat="false" ht="91" hidden="false" customHeight="false" outlineLevel="0" collapsed="false">
      <c r="A197" s="2" t="s">
        <v>970</v>
      </c>
      <c r="B197" s="2" t="s">
        <v>14</v>
      </c>
      <c r="C197" s="2" t="s">
        <v>300</v>
      </c>
      <c r="D197" s="2" t="s">
        <v>971</v>
      </c>
      <c r="E197" s="2" t="s">
        <v>972</v>
      </c>
      <c r="F197" s="2" t="s">
        <v>973</v>
      </c>
      <c r="G197" s="2" t="s">
        <v>974</v>
      </c>
      <c r="H197" s="2" t="s">
        <v>20</v>
      </c>
      <c r="I197" s="2" t="s">
        <v>975</v>
      </c>
      <c r="J197" s="2" t="s">
        <v>300</v>
      </c>
      <c r="K197" s="2" t="s">
        <v>298</v>
      </c>
      <c r="L197" s="2" t="n">
        <v>2</v>
      </c>
      <c r="M197" s="2"/>
    </row>
    <row r="198" customFormat="false" ht="61.15" hidden="false" customHeight="false" outlineLevel="0" collapsed="false">
      <c r="A198" s="2" t="s">
        <v>976</v>
      </c>
      <c r="B198" s="2" t="s">
        <v>14</v>
      </c>
      <c r="C198" s="2" t="s">
        <v>313</v>
      </c>
      <c r="D198" s="2" t="s">
        <v>977</v>
      </c>
      <c r="E198" s="2" t="s">
        <v>978</v>
      </c>
      <c r="F198" s="2" t="s">
        <v>979</v>
      </c>
      <c r="G198" s="2" t="s">
        <v>980</v>
      </c>
      <c r="H198" s="2" t="s">
        <v>20</v>
      </c>
      <c r="I198" s="2" t="s">
        <v>981</v>
      </c>
      <c r="J198" s="2" t="s">
        <v>313</v>
      </c>
      <c r="K198" s="2" t="s">
        <v>298</v>
      </c>
      <c r="L198" s="2" t="n">
        <v>2</v>
      </c>
      <c r="M198" s="2"/>
    </row>
    <row r="199" customFormat="false" ht="91" hidden="false" customHeight="false" outlineLevel="0" collapsed="false">
      <c r="A199" s="2" t="s">
        <v>982</v>
      </c>
      <c r="B199" s="2" t="s">
        <v>14</v>
      </c>
      <c r="C199" s="2" t="s">
        <v>684</v>
      </c>
      <c r="D199" s="2" t="s">
        <v>983</v>
      </c>
      <c r="E199" s="2" t="s">
        <v>984</v>
      </c>
      <c r="F199" s="2" t="s">
        <v>985</v>
      </c>
      <c r="G199" s="2" t="s">
        <v>986</v>
      </c>
      <c r="H199" s="2" t="s">
        <v>20</v>
      </c>
      <c r="I199" s="2" t="s">
        <v>987</v>
      </c>
      <c r="J199" s="2" t="s">
        <v>684</v>
      </c>
      <c r="K199" s="2" t="s">
        <v>298</v>
      </c>
      <c r="L199" s="2" t="n">
        <v>2</v>
      </c>
      <c r="M199" s="2"/>
    </row>
    <row r="200" customFormat="false" ht="61.15" hidden="false" customHeight="false" outlineLevel="0" collapsed="false">
      <c r="A200" s="2" t="s">
        <v>988</v>
      </c>
      <c r="B200" s="2" t="s">
        <v>14</v>
      </c>
      <c r="C200" s="2" t="s">
        <v>339</v>
      </c>
      <c r="D200" s="2" t="s">
        <v>989</v>
      </c>
      <c r="E200" s="2" t="s">
        <v>990</v>
      </c>
      <c r="F200" s="2" t="s">
        <v>991</v>
      </c>
      <c r="G200" s="2" t="s">
        <v>992</v>
      </c>
      <c r="H200" s="2" t="s">
        <v>20</v>
      </c>
      <c r="I200" s="2" t="s">
        <v>993</v>
      </c>
      <c r="J200" s="2" t="s">
        <v>339</v>
      </c>
      <c r="K200" s="2" t="s">
        <v>298</v>
      </c>
      <c r="L200" s="2" t="n">
        <v>2</v>
      </c>
      <c r="M200" s="2"/>
    </row>
    <row r="201" customFormat="false" ht="76.1" hidden="false" customHeight="false" outlineLevel="0" collapsed="false">
      <c r="A201" s="2" t="s">
        <v>994</v>
      </c>
      <c r="B201" s="2" t="s">
        <v>14</v>
      </c>
      <c r="C201" s="2" t="s">
        <v>352</v>
      </c>
      <c r="D201" s="2" t="s">
        <v>995</v>
      </c>
      <c r="E201" s="2" t="s">
        <v>996</v>
      </c>
      <c r="F201" s="2" t="s">
        <v>997</v>
      </c>
      <c r="G201" s="2" t="s">
        <v>998</v>
      </c>
      <c r="H201" s="2" t="s">
        <v>20</v>
      </c>
      <c r="I201" s="2" t="s">
        <v>999</v>
      </c>
      <c r="J201" s="2" t="s">
        <v>352</v>
      </c>
      <c r="K201" s="2" t="s">
        <v>298</v>
      </c>
      <c r="L201" s="2" t="n">
        <v>2</v>
      </c>
      <c r="M201" s="2"/>
    </row>
    <row r="202" customFormat="false" ht="61.15" hidden="false" customHeight="false" outlineLevel="0" collapsed="false">
      <c r="A202" s="2" t="s">
        <v>1000</v>
      </c>
      <c r="B202" s="2" t="s">
        <v>14</v>
      </c>
      <c r="C202" s="2" t="s">
        <v>359</v>
      </c>
      <c r="D202" s="2" t="s">
        <v>1001</v>
      </c>
      <c r="E202" s="2" t="s">
        <v>1002</v>
      </c>
      <c r="F202" s="2" t="s">
        <v>1003</v>
      </c>
      <c r="G202" s="2" t="s">
        <v>1004</v>
      </c>
      <c r="H202" s="2" t="s">
        <v>20</v>
      </c>
      <c r="I202" s="2" t="s">
        <v>1005</v>
      </c>
      <c r="J202" s="2" t="s">
        <v>359</v>
      </c>
      <c r="K202" s="2" t="s">
        <v>298</v>
      </c>
      <c r="L202" s="2" t="n">
        <v>2</v>
      </c>
      <c r="M202" s="2"/>
    </row>
    <row r="203" customFormat="false" ht="61.15" hidden="false" customHeight="false" outlineLevel="0" collapsed="false">
      <c r="A203" s="2" t="s">
        <v>1006</v>
      </c>
      <c r="B203" s="2" t="s">
        <v>14</v>
      </c>
      <c r="C203" s="2" t="s">
        <v>378</v>
      </c>
      <c r="D203" s="2" t="s">
        <v>1007</v>
      </c>
      <c r="E203" s="2" t="s">
        <v>1008</v>
      </c>
      <c r="F203" s="2" t="s">
        <v>1009</v>
      </c>
      <c r="G203" s="2" t="s">
        <v>1010</v>
      </c>
      <c r="H203" s="2" t="s">
        <v>20</v>
      </c>
      <c r="I203" s="2" t="s">
        <v>1011</v>
      </c>
      <c r="J203" s="2" t="s">
        <v>378</v>
      </c>
      <c r="K203" s="2" t="s">
        <v>298</v>
      </c>
      <c r="L203" s="2" t="n">
        <v>2</v>
      </c>
      <c r="M203" s="2"/>
    </row>
    <row r="204" customFormat="false" ht="135.8" hidden="false" customHeight="false" outlineLevel="0" collapsed="false">
      <c r="A204" s="2" t="s">
        <v>1012</v>
      </c>
      <c r="B204" s="2" t="s">
        <v>14</v>
      </c>
      <c r="C204" s="2" t="s">
        <v>730</v>
      </c>
      <c r="D204" s="2" t="s">
        <v>1013</v>
      </c>
      <c r="E204" s="2" t="s">
        <v>1014</v>
      </c>
      <c r="F204" s="2" t="s">
        <v>1015</v>
      </c>
      <c r="G204" s="2" t="s">
        <v>1016</v>
      </c>
      <c r="H204" s="2" t="s">
        <v>20</v>
      </c>
      <c r="I204" s="2" t="s">
        <v>1017</v>
      </c>
      <c r="J204" s="2" t="s">
        <v>730</v>
      </c>
      <c r="K204" s="2" t="s">
        <v>298</v>
      </c>
      <c r="L204" s="2" t="n">
        <v>2</v>
      </c>
      <c r="M204" s="2"/>
    </row>
    <row r="205" customFormat="false" ht="91" hidden="false" customHeight="false" outlineLevel="0" collapsed="false">
      <c r="A205" s="2" t="s">
        <v>1018</v>
      </c>
      <c r="B205" s="2" t="s">
        <v>14</v>
      </c>
      <c r="C205" s="2" t="s">
        <v>416</v>
      </c>
      <c r="D205" s="2" t="s">
        <v>1019</v>
      </c>
      <c r="E205" s="2" t="s">
        <v>1020</v>
      </c>
      <c r="F205" s="2" t="s">
        <v>1021</v>
      </c>
      <c r="G205" s="2" t="s">
        <v>1022</v>
      </c>
      <c r="H205" s="2" t="s">
        <v>20</v>
      </c>
      <c r="I205" s="2" t="s">
        <v>1023</v>
      </c>
      <c r="J205" s="2" t="s">
        <v>416</v>
      </c>
      <c r="K205" s="2" t="s">
        <v>298</v>
      </c>
      <c r="L205" s="2" t="n">
        <v>2</v>
      </c>
      <c r="M205" s="2"/>
    </row>
    <row r="206" customFormat="false" ht="46.25" hidden="false" customHeight="false" outlineLevel="0" collapsed="false">
      <c r="A206" s="2" t="s">
        <v>1024</v>
      </c>
      <c r="B206" s="2" t="s">
        <v>14</v>
      </c>
      <c r="C206" s="2" t="s">
        <v>423</v>
      </c>
      <c r="D206" s="2" t="s">
        <v>1025</v>
      </c>
      <c r="E206" s="2" t="s">
        <v>1026</v>
      </c>
      <c r="F206" s="2" t="s">
        <v>1027</v>
      </c>
      <c r="G206" s="2" t="s">
        <v>1028</v>
      </c>
      <c r="H206" s="2" t="s">
        <v>20</v>
      </c>
      <c r="I206" s="2" t="s">
        <v>1029</v>
      </c>
      <c r="J206" s="2" t="s">
        <v>423</v>
      </c>
      <c r="K206" s="2" t="s">
        <v>298</v>
      </c>
      <c r="L206" s="2" t="n">
        <v>2</v>
      </c>
      <c r="M206" s="2"/>
    </row>
    <row r="207" customFormat="false" ht="91" hidden="false" customHeight="false" outlineLevel="0" collapsed="false">
      <c r="A207" s="2" t="s">
        <v>1030</v>
      </c>
      <c r="B207" s="2" t="s">
        <v>14</v>
      </c>
      <c r="C207" s="2" t="s">
        <v>760</v>
      </c>
      <c r="D207" s="2" t="s">
        <v>1031</v>
      </c>
      <c r="E207" s="2" t="s">
        <v>1032</v>
      </c>
      <c r="F207" s="2" t="s">
        <v>1033</v>
      </c>
      <c r="G207" s="2" t="s">
        <v>1034</v>
      </c>
      <c r="H207" s="2" t="s">
        <v>20</v>
      </c>
      <c r="I207" s="2" t="s">
        <v>1035</v>
      </c>
      <c r="J207" s="2" t="s">
        <v>760</v>
      </c>
      <c r="K207" s="2" t="s">
        <v>298</v>
      </c>
      <c r="L207" s="2" t="n">
        <v>2</v>
      </c>
      <c r="M207" s="2"/>
    </row>
    <row r="208" customFormat="false" ht="91" hidden="false" customHeight="false" outlineLevel="0" collapsed="false">
      <c r="A208" s="2" t="s">
        <v>1036</v>
      </c>
      <c r="B208" s="2" t="s">
        <v>14</v>
      </c>
      <c r="C208" s="2" t="s">
        <v>769</v>
      </c>
      <c r="D208" s="2" t="s">
        <v>1037</v>
      </c>
      <c r="E208" s="2" t="s">
        <v>1038</v>
      </c>
      <c r="F208" s="2" t="s">
        <v>1039</v>
      </c>
      <c r="G208" s="2" t="s">
        <v>1040</v>
      </c>
      <c r="H208" s="2" t="s">
        <v>20</v>
      </c>
      <c r="I208" s="2" t="s">
        <v>1041</v>
      </c>
      <c r="J208" s="2" t="s">
        <v>769</v>
      </c>
      <c r="K208" s="2" t="s">
        <v>298</v>
      </c>
      <c r="L208" s="2" t="n">
        <v>2</v>
      </c>
      <c r="M208" s="2"/>
    </row>
    <row r="209" customFormat="false" ht="46.25" hidden="false" customHeight="false" outlineLevel="0" collapsed="false">
      <c r="A209" s="2" t="s">
        <v>1042</v>
      </c>
      <c r="B209" s="2" t="s">
        <v>14</v>
      </c>
      <c r="C209" s="2" t="s">
        <v>785</v>
      </c>
      <c r="D209" s="2" t="s">
        <v>1043</v>
      </c>
      <c r="E209" s="2" t="s">
        <v>1044</v>
      </c>
      <c r="F209" s="2" t="s">
        <v>1045</v>
      </c>
      <c r="G209" s="2" t="s">
        <v>1046</v>
      </c>
      <c r="H209" s="2" t="s">
        <v>20</v>
      </c>
      <c r="I209" s="2" t="s">
        <v>1047</v>
      </c>
      <c r="J209" s="2" t="s">
        <v>785</v>
      </c>
      <c r="K209" s="2" t="s">
        <v>298</v>
      </c>
      <c r="L209" s="2" t="n">
        <v>2</v>
      </c>
      <c r="M209" s="2"/>
    </row>
    <row r="210" customFormat="false" ht="76.1" hidden="false" customHeight="false" outlineLevel="0" collapsed="false">
      <c r="A210" s="2" t="s">
        <v>1048</v>
      </c>
      <c r="B210" s="2" t="s">
        <v>14</v>
      </c>
      <c r="C210" s="2" t="s">
        <v>436</v>
      </c>
      <c r="D210" s="2" t="s">
        <v>1049</v>
      </c>
      <c r="E210" s="2" t="s">
        <v>1050</v>
      </c>
      <c r="F210" s="2" t="s">
        <v>1051</v>
      </c>
      <c r="G210" s="2" t="s">
        <v>1052</v>
      </c>
      <c r="H210" s="2" t="s">
        <v>20</v>
      </c>
      <c r="I210" s="2" t="s">
        <v>1053</v>
      </c>
      <c r="J210" s="2" t="s">
        <v>436</v>
      </c>
      <c r="K210" s="2" t="s">
        <v>298</v>
      </c>
      <c r="L210" s="2" t="n">
        <v>2</v>
      </c>
      <c r="M210" s="2"/>
    </row>
    <row r="211" customFormat="false" ht="76.1" hidden="false" customHeight="false" outlineLevel="0" collapsed="false">
      <c r="A211" s="2" t="s">
        <v>1054</v>
      </c>
      <c r="B211" s="2" t="s">
        <v>14</v>
      </c>
      <c r="C211" s="2" t="s">
        <v>799</v>
      </c>
      <c r="D211" s="2" t="s">
        <v>1055</v>
      </c>
      <c r="E211" s="2" t="s">
        <v>1056</v>
      </c>
      <c r="F211" s="2" t="s">
        <v>1057</v>
      </c>
      <c r="G211" s="2" t="s">
        <v>1058</v>
      </c>
      <c r="H211" s="2" t="s">
        <v>20</v>
      </c>
      <c r="I211" s="2" t="s">
        <v>1059</v>
      </c>
      <c r="J211" s="2" t="s">
        <v>799</v>
      </c>
      <c r="K211" s="2" t="s">
        <v>298</v>
      </c>
      <c r="L211" s="2" t="n">
        <v>2</v>
      </c>
      <c r="M211" s="2"/>
    </row>
    <row r="212" customFormat="false" ht="76.1" hidden="false" customHeight="false" outlineLevel="0" collapsed="false">
      <c r="A212" s="2" t="s">
        <v>1060</v>
      </c>
      <c r="B212" s="2" t="s">
        <v>14</v>
      </c>
      <c r="C212" s="2" t="s">
        <v>449</v>
      </c>
      <c r="D212" s="2" t="s">
        <v>1061</v>
      </c>
      <c r="E212" s="2" t="s">
        <v>1062</v>
      </c>
      <c r="F212" s="2" t="s">
        <v>1063</v>
      </c>
      <c r="G212" s="2" t="s">
        <v>1064</v>
      </c>
      <c r="H212" s="2" t="s">
        <v>20</v>
      </c>
      <c r="I212" s="2" t="s">
        <v>1065</v>
      </c>
      <c r="J212" s="2" t="s">
        <v>449</v>
      </c>
      <c r="K212" s="2" t="s">
        <v>298</v>
      </c>
      <c r="L212" s="2" t="n">
        <v>2</v>
      </c>
      <c r="M212" s="2"/>
    </row>
    <row r="213" customFormat="false" ht="61.15" hidden="false" customHeight="false" outlineLevel="0" collapsed="false">
      <c r="A213" s="2" t="s">
        <v>1066</v>
      </c>
      <c r="B213" s="2" t="s">
        <v>14</v>
      </c>
      <c r="C213" s="2" t="s">
        <v>814</v>
      </c>
      <c r="D213" s="2" t="s">
        <v>1067</v>
      </c>
      <c r="E213" s="2" t="s">
        <v>1068</v>
      </c>
      <c r="F213" s="2" t="s">
        <v>1069</v>
      </c>
      <c r="G213" s="2" t="s">
        <v>1070</v>
      </c>
      <c r="H213" s="2" t="s">
        <v>20</v>
      </c>
      <c r="I213" s="2" t="s">
        <v>1071</v>
      </c>
      <c r="J213" s="2" t="s">
        <v>814</v>
      </c>
      <c r="K213" s="2" t="s">
        <v>298</v>
      </c>
      <c r="L213" s="2" t="n">
        <v>2</v>
      </c>
      <c r="M213" s="2"/>
    </row>
    <row r="214" customFormat="false" ht="46.25" hidden="false" customHeight="false" outlineLevel="0" collapsed="false">
      <c r="A214" s="2" t="s">
        <v>1072</v>
      </c>
      <c r="B214" s="2" t="s">
        <v>14</v>
      </c>
      <c r="C214" s="2" t="s">
        <v>828</v>
      </c>
      <c r="D214" s="2" t="s">
        <v>1073</v>
      </c>
      <c r="E214" s="2" t="s">
        <v>1074</v>
      </c>
      <c r="F214" s="2" t="s">
        <v>1075</v>
      </c>
      <c r="G214" s="2" t="s">
        <v>1076</v>
      </c>
      <c r="H214" s="2" t="s">
        <v>20</v>
      </c>
      <c r="I214" s="2" t="s">
        <v>1077</v>
      </c>
      <c r="J214" s="2" t="s">
        <v>828</v>
      </c>
      <c r="K214" s="2" t="s">
        <v>298</v>
      </c>
      <c r="L214" s="2" t="n">
        <v>2</v>
      </c>
      <c r="M214" s="2"/>
    </row>
    <row r="215" customFormat="false" ht="76.1" hidden="false" customHeight="false" outlineLevel="0" collapsed="false">
      <c r="A215" s="2" t="s">
        <v>1078</v>
      </c>
      <c r="B215" s="2" t="s">
        <v>14</v>
      </c>
      <c r="C215" s="2" t="s">
        <v>485</v>
      </c>
      <c r="D215" s="2" t="s">
        <v>1079</v>
      </c>
      <c r="E215" s="2" t="s">
        <v>1080</v>
      </c>
      <c r="F215" s="2" t="s">
        <v>1081</v>
      </c>
      <c r="G215" s="2" t="s">
        <v>1082</v>
      </c>
      <c r="H215" s="2" t="s">
        <v>20</v>
      </c>
      <c r="I215" s="2" t="s">
        <v>1083</v>
      </c>
      <c r="J215" s="2" t="s">
        <v>485</v>
      </c>
      <c r="K215" s="2" t="s">
        <v>298</v>
      </c>
      <c r="L215" s="2" t="n">
        <v>2</v>
      </c>
      <c r="M215" s="2"/>
    </row>
    <row r="216" customFormat="false" ht="91" hidden="false" customHeight="false" outlineLevel="0" collapsed="false">
      <c r="A216" s="2" t="s">
        <v>1084</v>
      </c>
      <c r="B216" s="2" t="s">
        <v>14</v>
      </c>
      <c r="C216" s="2" t="s">
        <v>498</v>
      </c>
      <c r="D216" s="2" t="s">
        <v>1085</v>
      </c>
      <c r="E216" s="2" t="s">
        <v>1086</v>
      </c>
      <c r="F216" s="2" t="s">
        <v>1087</v>
      </c>
      <c r="G216" s="2" t="s">
        <v>1088</v>
      </c>
      <c r="H216" s="2" t="s">
        <v>20</v>
      </c>
      <c r="I216" s="2" t="s">
        <v>1089</v>
      </c>
      <c r="J216" s="2" t="s">
        <v>498</v>
      </c>
      <c r="K216" s="2" t="s">
        <v>298</v>
      </c>
      <c r="L216" s="2" t="n">
        <v>2</v>
      </c>
      <c r="M216" s="2"/>
    </row>
    <row r="217" customFormat="false" ht="76.1" hidden="false" customHeight="false" outlineLevel="0" collapsed="false">
      <c r="A217" s="2" t="s">
        <v>1090</v>
      </c>
      <c r="B217" s="2" t="s">
        <v>14</v>
      </c>
      <c r="C217" s="2" t="s">
        <v>505</v>
      </c>
      <c r="D217" s="2" t="s">
        <v>1091</v>
      </c>
      <c r="E217" s="2" t="s">
        <v>1092</v>
      </c>
      <c r="F217" s="2" t="s">
        <v>1093</v>
      </c>
      <c r="G217" s="2" t="s">
        <v>1094</v>
      </c>
      <c r="H217" s="2" t="s">
        <v>20</v>
      </c>
      <c r="I217" s="2" t="s">
        <v>1095</v>
      </c>
      <c r="J217" s="2" t="s">
        <v>505</v>
      </c>
      <c r="K217" s="2" t="s">
        <v>298</v>
      </c>
      <c r="L217" s="2" t="n">
        <v>2</v>
      </c>
      <c r="M217" s="2"/>
    </row>
    <row r="218" customFormat="false" ht="61.15" hidden="false" customHeight="false" outlineLevel="0" collapsed="false">
      <c r="A218" s="2" t="s">
        <v>1096</v>
      </c>
      <c r="B218" s="2" t="s">
        <v>14</v>
      </c>
      <c r="C218" s="2" t="s">
        <v>533</v>
      </c>
      <c r="D218" s="2" t="s">
        <v>1097</v>
      </c>
      <c r="E218" s="2" t="s">
        <v>1098</v>
      </c>
      <c r="F218" s="2" t="s">
        <v>52</v>
      </c>
      <c r="G218" s="2" t="s">
        <v>53</v>
      </c>
      <c r="H218" s="2" t="s">
        <v>20</v>
      </c>
      <c r="I218" s="2" t="s">
        <v>1099</v>
      </c>
      <c r="J218" s="2" t="s">
        <v>533</v>
      </c>
      <c r="K218" s="2" t="s">
        <v>298</v>
      </c>
      <c r="L218" s="2" t="n">
        <v>2</v>
      </c>
      <c r="M218" s="2"/>
    </row>
    <row r="219" customFormat="false" ht="91" hidden="false" customHeight="false" outlineLevel="0" collapsed="false">
      <c r="A219" s="2" t="s">
        <v>1100</v>
      </c>
      <c r="B219" s="2" t="s">
        <v>14</v>
      </c>
      <c r="C219" s="2" t="s">
        <v>546</v>
      </c>
      <c r="D219" s="2" t="s">
        <v>1101</v>
      </c>
      <c r="E219" s="2" t="s">
        <v>1102</v>
      </c>
      <c r="F219" s="2" t="s">
        <v>1103</v>
      </c>
      <c r="G219" s="2" t="s">
        <v>1104</v>
      </c>
      <c r="H219" s="2" t="s">
        <v>20</v>
      </c>
      <c r="I219" s="2" t="s">
        <v>1105</v>
      </c>
      <c r="J219" s="2" t="s">
        <v>546</v>
      </c>
      <c r="K219" s="2" t="s">
        <v>298</v>
      </c>
      <c r="L219" s="2" t="n">
        <v>2</v>
      </c>
      <c r="M219" s="2"/>
    </row>
    <row r="220" customFormat="false" ht="46.25" hidden="false" customHeight="false" outlineLevel="0" collapsed="false">
      <c r="A220" s="2" t="s">
        <v>1106</v>
      </c>
      <c r="B220" s="2" t="s">
        <v>14</v>
      </c>
      <c r="C220" s="2" t="s">
        <v>560</v>
      </c>
      <c r="D220" s="2" t="s">
        <v>1107</v>
      </c>
      <c r="E220" s="2" t="s">
        <v>1108</v>
      </c>
      <c r="F220" s="2" t="s">
        <v>1109</v>
      </c>
      <c r="G220" s="2" t="s">
        <v>1110</v>
      </c>
      <c r="H220" s="2" t="s">
        <v>20</v>
      </c>
      <c r="I220" s="2" t="s">
        <v>1111</v>
      </c>
      <c r="J220" s="2" t="s">
        <v>560</v>
      </c>
      <c r="K220" s="2" t="s">
        <v>298</v>
      </c>
      <c r="L220" s="2" t="n">
        <v>2</v>
      </c>
      <c r="M220" s="2"/>
    </row>
    <row r="221" customFormat="false" ht="91" hidden="false" customHeight="false" outlineLevel="0" collapsed="false">
      <c r="A221" s="2" t="s">
        <v>1112</v>
      </c>
      <c r="B221" s="2" t="s">
        <v>14</v>
      </c>
      <c r="C221" s="2" t="s">
        <v>902</v>
      </c>
      <c r="D221" s="2" t="s">
        <v>1113</v>
      </c>
      <c r="E221" s="2" t="s">
        <v>1114</v>
      </c>
      <c r="F221" s="2" t="s">
        <v>1115</v>
      </c>
      <c r="G221" s="2" t="s">
        <v>1116</v>
      </c>
      <c r="H221" s="2" t="s">
        <v>20</v>
      </c>
      <c r="I221" s="2" t="s">
        <v>1117</v>
      </c>
      <c r="J221" s="2" t="s">
        <v>902</v>
      </c>
      <c r="K221" s="2" t="s">
        <v>298</v>
      </c>
      <c r="L221" s="2" t="n">
        <v>2</v>
      </c>
      <c r="M221" s="2"/>
    </row>
    <row r="222" customFormat="false" ht="76.1" hidden="false" customHeight="false" outlineLevel="0" collapsed="false">
      <c r="A222" s="2" t="s">
        <v>1118</v>
      </c>
      <c r="B222" s="2" t="s">
        <v>14</v>
      </c>
      <c r="C222" s="2" t="s">
        <v>567</v>
      </c>
      <c r="D222" s="2" t="s">
        <v>1119</v>
      </c>
      <c r="E222" s="2" t="s">
        <v>1120</v>
      </c>
      <c r="F222" s="2" t="s">
        <v>1121</v>
      </c>
      <c r="G222" s="2" t="s">
        <v>1122</v>
      </c>
      <c r="H222" s="2" t="s">
        <v>20</v>
      </c>
      <c r="I222" s="2" t="s">
        <v>1123</v>
      </c>
      <c r="J222" s="2" t="s">
        <v>567</v>
      </c>
      <c r="K222" s="2" t="s">
        <v>298</v>
      </c>
      <c r="L222" s="2" t="n">
        <v>2</v>
      </c>
      <c r="M222" s="2"/>
    </row>
    <row r="223" customFormat="false" ht="46.25" hidden="false" customHeight="false" outlineLevel="0" collapsed="false">
      <c r="A223" s="2" t="s">
        <v>1124</v>
      </c>
      <c r="B223" s="2" t="s">
        <v>14</v>
      </c>
      <c r="C223" s="2" t="s">
        <v>574</v>
      </c>
      <c r="D223" s="2" t="s">
        <v>1125</v>
      </c>
      <c r="E223" s="2" t="s">
        <v>1126</v>
      </c>
      <c r="F223" s="2" t="s">
        <v>1127</v>
      </c>
      <c r="G223" s="2" t="s">
        <v>1128</v>
      </c>
      <c r="H223" s="2" t="s">
        <v>20</v>
      </c>
      <c r="I223" s="2" t="s">
        <v>1129</v>
      </c>
      <c r="J223" s="2" t="s">
        <v>574</v>
      </c>
      <c r="K223" s="2" t="s">
        <v>298</v>
      </c>
      <c r="L223" s="2" t="n">
        <v>2</v>
      </c>
      <c r="M223" s="2"/>
    </row>
    <row r="224" customFormat="false" ht="105.95" hidden="false" customHeight="false" outlineLevel="0" collapsed="false">
      <c r="A224" s="2" t="s">
        <v>1130</v>
      </c>
      <c r="B224" s="2" t="s">
        <v>14</v>
      </c>
      <c r="C224" s="2" t="s">
        <v>594</v>
      </c>
      <c r="D224" s="2" t="s">
        <v>1131</v>
      </c>
      <c r="E224" s="2" t="s">
        <v>1132</v>
      </c>
      <c r="F224" s="2" t="s">
        <v>1133</v>
      </c>
      <c r="G224" s="2" t="s">
        <v>1134</v>
      </c>
      <c r="H224" s="2" t="s">
        <v>20</v>
      </c>
      <c r="I224" s="2" t="s">
        <v>1135</v>
      </c>
      <c r="J224" s="2" t="s">
        <v>594</v>
      </c>
      <c r="K224" s="2" t="s">
        <v>298</v>
      </c>
      <c r="L224" s="2" t="n">
        <v>2</v>
      </c>
      <c r="M224" s="2"/>
    </row>
    <row r="225" customFormat="false" ht="76.1" hidden="false" customHeight="false" outlineLevel="0" collapsed="false">
      <c r="A225" s="2" t="s">
        <v>1136</v>
      </c>
      <c r="B225" s="2" t="s">
        <v>14</v>
      </c>
      <c r="C225" s="2" t="s">
        <v>601</v>
      </c>
      <c r="D225" s="2" t="s">
        <v>1137</v>
      </c>
      <c r="E225" s="2" t="s">
        <v>1138</v>
      </c>
      <c r="F225" s="2" t="s">
        <v>1139</v>
      </c>
      <c r="G225" s="2" t="s">
        <v>1140</v>
      </c>
      <c r="H225" s="2" t="s">
        <v>20</v>
      </c>
      <c r="I225" s="2" t="s">
        <v>1141</v>
      </c>
      <c r="J225" s="2" t="s">
        <v>601</v>
      </c>
      <c r="K225" s="2" t="s">
        <v>298</v>
      </c>
      <c r="L225" s="2" t="n">
        <v>2</v>
      </c>
      <c r="M225" s="2"/>
    </row>
    <row r="226" customFormat="false" ht="91" hidden="false" customHeight="false" outlineLevel="0" collapsed="false">
      <c r="A226" s="2" t="s">
        <v>1142</v>
      </c>
      <c r="B226" s="2" t="s">
        <v>14</v>
      </c>
      <c r="C226" s="2" t="s">
        <v>608</v>
      </c>
      <c r="D226" s="2" t="s">
        <v>1143</v>
      </c>
      <c r="E226" s="2" t="s">
        <v>1144</v>
      </c>
      <c r="F226" s="2" t="s">
        <v>1145</v>
      </c>
      <c r="G226" s="2" t="s">
        <v>1146</v>
      </c>
      <c r="H226" s="2" t="s">
        <v>20</v>
      </c>
      <c r="I226" s="2" t="s">
        <v>1147</v>
      </c>
      <c r="J226" s="2" t="s">
        <v>608</v>
      </c>
      <c r="K226" s="2" t="s">
        <v>298</v>
      </c>
      <c r="L226" s="2" t="n">
        <v>2</v>
      </c>
      <c r="M226" s="2"/>
    </row>
    <row r="227" customFormat="false" ht="91" hidden="false" customHeight="false" outlineLevel="0" collapsed="false">
      <c r="A227" s="2" t="s">
        <v>1148</v>
      </c>
      <c r="B227" s="2" t="s">
        <v>14</v>
      </c>
      <c r="C227" s="2" t="s">
        <v>628</v>
      </c>
      <c r="D227" s="2" t="s">
        <v>1149</v>
      </c>
      <c r="E227" s="2" t="s">
        <v>1150</v>
      </c>
      <c r="F227" s="2" t="s">
        <v>1151</v>
      </c>
      <c r="G227" s="2" t="s">
        <v>1152</v>
      </c>
      <c r="H227" s="2" t="s">
        <v>20</v>
      </c>
      <c r="I227" s="2" t="s">
        <v>1153</v>
      </c>
      <c r="J227" s="2" t="s">
        <v>628</v>
      </c>
      <c r="K227" s="2" t="s">
        <v>298</v>
      </c>
      <c r="L227" s="2" t="n">
        <v>2</v>
      </c>
      <c r="M227" s="2"/>
    </row>
    <row r="228" customFormat="false" ht="46.25" hidden="false" customHeight="false" outlineLevel="0" collapsed="false">
      <c r="A228" s="2" t="s">
        <v>1154</v>
      </c>
      <c r="B228" s="2" t="s">
        <v>14</v>
      </c>
      <c r="C228" s="2" t="s">
        <v>352</v>
      </c>
      <c r="D228" s="2" t="s">
        <v>1155</v>
      </c>
      <c r="E228" s="2" t="s">
        <v>1156</v>
      </c>
      <c r="F228" s="2" t="s">
        <v>1157</v>
      </c>
      <c r="G228" s="2" t="s">
        <v>1158</v>
      </c>
      <c r="H228" s="2" t="s">
        <v>20</v>
      </c>
      <c r="I228" s="2" t="s">
        <v>1159</v>
      </c>
      <c r="J228" s="2" t="s">
        <v>352</v>
      </c>
      <c r="K228" s="2" t="s">
        <v>298</v>
      </c>
      <c r="L228" s="2" t="n">
        <v>1</v>
      </c>
      <c r="M228" s="2"/>
    </row>
    <row r="229" customFormat="false" ht="61.15" hidden="false" customHeight="false" outlineLevel="0" collapsed="false">
      <c r="A229" s="2" t="s">
        <v>1160</v>
      </c>
      <c r="B229" s="2" t="s">
        <v>14</v>
      </c>
      <c r="C229" s="2" t="s">
        <v>730</v>
      </c>
      <c r="D229" s="2" t="s">
        <v>1161</v>
      </c>
      <c r="E229" s="2" t="s">
        <v>1162</v>
      </c>
      <c r="F229" s="2" t="s">
        <v>1163</v>
      </c>
      <c r="G229" s="2" t="s">
        <v>1164</v>
      </c>
      <c r="H229" s="2" t="s">
        <v>20</v>
      </c>
      <c r="I229" s="2" t="s">
        <v>1165</v>
      </c>
      <c r="J229" s="2" t="s">
        <v>730</v>
      </c>
      <c r="K229" s="2" t="s">
        <v>298</v>
      </c>
      <c r="L229" s="2" t="n">
        <v>1</v>
      </c>
      <c r="M229" s="2"/>
    </row>
    <row r="230" customFormat="false" ht="46.25" hidden="false" customHeight="false" outlineLevel="0" collapsed="false">
      <c r="A230" s="2" t="s">
        <v>1166</v>
      </c>
      <c r="B230" s="2" t="s">
        <v>14</v>
      </c>
      <c r="C230" s="2" t="s">
        <v>416</v>
      </c>
      <c r="D230" s="2" t="s">
        <v>1167</v>
      </c>
      <c r="E230" s="2" t="s">
        <v>1168</v>
      </c>
      <c r="F230" s="2" t="s">
        <v>1169</v>
      </c>
      <c r="G230" s="2" t="s">
        <v>1170</v>
      </c>
      <c r="H230" s="2" t="s">
        <v>20</v>
      </c>
      <c r="I230" s="2" t="s">
        <v>1171</v>
      </c>
      <c r="J230" s="2" t="s">
        <v>416</v>
      </c>
      <c r="K230" s="2" t="s">
        <v>298</v>
      </c>
      <c r="L230" s="2" t="n">
        <v>1</v>
      </c>
      <c r="M230" s="2"/>
    </row>
    <row r="231" customFormat="false" ht="61.15" hidden="false" customHeight="false" outlineLevel="0" collapsed="false">
      <c r="A231" s="2" t="s">
        <v>1172</v>
      </c>
      <c r="B231" s="2" t="s">
        <v>14</v>
      </c>
      <c r="C231" s="2" t="s">
        <v>466</v>
      </c>
      <c r="D231" s="2" t="s">
        <v>1173</v>
      </c>
      <c r="E231" s="2" t="s">
        <v>1174</v>
      </c>
      <c r="F231" s="2" t="s">
        <v>1175</v>
      </c>
      <c r="G231" s="2" t="s">
        <v>1176</v>
      </c>
      <c r="H231" s="2" t="s">
        <v>20</v>
      </c>
      <c r="I231" s="2" t="s">
        <v>1177</v>
      </c>
      <c r="J231" s="2" t="s">
        <v>466</v>
      </c>
      <c r="K231" s="2" t="s">
        <v>298</v>
      </c>
      <c r="L231" s="2" t="n">
        <v>2</v>
      </c>
      <c r="M231" s="2"/>
    </row>
    <row r="232" customFormat="false" ht="61.15" hidden="false" customHeight="false" outlineLevel="0" collapsed="false">
      <c r="A232" s="2" t="s">
        <v>1178</v>
      </c>
      <c r="B232" s="2" t="s">
        <v>14</v>
      </c>
      <c r="C232" s="2" t="s">
        <v>466</v>
      </c>
      <c r="D232" s="2" t="s">
        <v>1179</v>
      </c>
      <c r="E232" s="2" t="s">
        <v>1180</v>
      </c>
      <c r="F232" s="2" t="s">
        <v>1181</v>
      </c>
      <c r="G232" s="2" t="s">
        <v>1182</v>
      </c>
      <c r="H232" s="2" t="s">
        <v>20</v>
      </c>
      <c r="I232" s="2" t="s">
        <v>1183</v>
      </c>
      <c r="J232" s="2" t="s">
        <v>466</v>
      </c>
      <c r="K232" s="2" t="s">
        <v>298</v>
      </c>
      <c r="L232" s="2" t="n">
        <v>2</v>
      </c>
      <c r="M232" s="2"/>
    </row>
    <row r="233" customFormat="false" ht="91" hidden="false" customHeight="false" outlineLevel="0" collapsed="false">
      <c r="A233" s="2" t="s">
        <v>1184</v>
      </c>
      <c r="B233" s="2" t="s">
        <v>1185</v>
      </c>
      <c r="C233" s="2" t="s">
        <v>1186</v>
      </c>
      <c r="D233" s="2" t="s">
        <v>1187</v>
      </c>
      <c r="E233" s="2" t="s">
        <v>1188</v>
      </c>
      <c r="F233" s="2" t="s">
        <v>1189</v>
      </c>
      <c r="G233" s="2" t="s">
        <v>1190</v>
      </c>
      <c r="H233" s="2" t="s">
        <v>20</v>
      </c>
      <c r="I233" s="2" t="s">
        <v>1191</v>
      </c>
      <c r="J233" s="2" t="s">
        <v>1192</v>
      </c>
      <c r="K233" s="2" t="s">
        <v>1193</v>
      </c>
      <c r="L233" s="2" t="n">
        <v>2</v>
      </c>
      <c r="M233" s="2" t="n">
        <v>29</v>
      </c>
    </row>
    <row r="234" customFormat="false" ht="91" hidden="false" customHeight="false" outlineLevel="0" collapsed="false">
      <c r="A234" s="2" t="s">
        <v>1194</v>
      </c>
      <c r="B234" s="2" t="s">
        <v>1185</v>
      </c>
      <c r="C234" s="2" t="s">
        <v>1186</v>
      </c>
      <c r="D234" s="2" t="s">
        <v>1195</v>
      </c>
      <c r="E234" s="2" t="s">
        <v>1196</v>
      </c>
      <c r="F234" s="2" t="s">
        <v>1197</v>
      </c>
      <c r="G234" s="2" t="s">
        <v>1198</v>
      </c>
      <c r="H234" s="2" t="s">
        <v>20</v>
      </c>
      <c r="I234" s="2" t="s">
        <v>1199</v>
      </c>
      <c r="J234" s="2" t="s">
        <v>1200</v>
      </c>
      <c r="K234" s="2" t="s">
        <v>1193</v>
      </c>
      <c r="L234" s="2" t="n">
        <v>2</v>
      </c>
      <c r="M234" s="2" t="n">
        <v>27</v>
      </c>
    </row>
    <row r="235" customFormat="false" ht="61.15" hidden="false" customHeight="false" outlineLevel="0" collapsed="false">
      <c r="A235" s="2" t="s">
        <v>1201</v>
      </c>
      <c r="B235" s="2" t="s">
        <v>1185</v>
      </c>
      <c r="C235" s="2" t="s">
        <v>1186</v>
      </c>
      <c r="D235" s="2" t="s">
        <v>1202</v>
      </c>
      <c r="E235" s="2" t="s">
        <v>1203</v>
      </c>
      <c r="F235" s="2" t="s">
        <v>1204</v>
      </c>
      <c r="G235" s="2" t="s">
        <v>1205</v>
      </c>
      <c r="H235" s="2" t="s">
        <v>20</v>
      </c>
      <c r="I235" s="2" t="s">
        <v>1206</v>
      </c>
      <c r="J235" s="2" t="s">
        <v>1200</v>
      </c>
      <c r="K235" s="2" t="s">
        <v>1193</v>
      </c>
      <c r="L235" s="2" t="n">
        <v>2</v>
      </c>
      <c r="M235" s="2" t="n">
        <v>27</v>
      </c>
    </row>
    <row r="236" customFormat="false" ht="61.15" hidden="false" customHeight="false" outlineLevel="0" collapsed="false">
      <c r="A236" s="2" t="s">
        <v>1207</v>
      </c>
      <c r="B236" s="2" t="s">
        <v>1185</v>
      </c>
      <c r="C236" s="2" t="s">
        <v>1186</v>
      </c>
      <c r="D236" s="2" t="s">
        <v>1208</v>
      </c>
      <c r="E236" s="2" t="s">
        <v>1209</v>
      </c>
      <c r="F236" s="2" t="s">
        <v>1210</v>
      </c>
      <c r="G236" s="2" t="s">
        <v>1211</v>
      </c>
      <c r="H236" s="2" t="s">
        <v>20</v>
      </c>
      <c r="I236" s="2" t="s">
        <v>1212</v>
      </c>
      <c r="J236" s="2" t="s">
        <v>1200</v>
      </c>
      <c r="K236" s="2" t="s">
        <v>1193</v>
      </c>
      <c r="L236" s="2" t="n">
        <v>2</v>
      </c>
      <c r="M236" s="2" t="n">
        <v>27</v>
      </c>
    </row>
    <row r="237" customFormat="false" ht="61.15" hidden="false" customHeight="false" outlineLevel="0" collapsed="false">
      <c r="A237" s="2" t="s">
        <v>1213</v>
      </c>
      <c r="B237" s="2" t="s">
        <v>1185</v>
      </c>
      <c r="C237" s="2" t="s">
        <v>1186</v>
      </c>
      <c r="D237" s="2" t="s">
        <v>1214</v>
      </c>
      <c r="E237" s="2" t="s">
        <v>1215</v>
      </c>
      <c r="F237" s="2" t="s">
        <v>1216</v>
      </c>
      <c r="G237" s="2" t="s">
        <v>1217</v>
      </c>
      <c r="H237" s="2" t="s">
        <v>20</v>
      </c>
      <c r="I237" s="2" t="s">
        <v>1218</v>
      </c>
      <c r="J237" s="2" t="s">
        <v>1219</v>
      </c>
      <c r="K237" s="2" t="s">
        <v>1193</v>
      </c>
      <c r="L237" s="2" t="n">
        <v>2</v>
      </c>
      <c r="M237" s="2" t="n">
        <v>29</v>
      </c>
    </row>
    <row r="238" customFormat="false" ht="91" hidden="false" customHeight="false" outlineLevel="0" collapsed="false">
      <c r="A238" s="2" t="s">
        <v>1220</v>
      </c>
      <c r="B238" s="2" t="s">
        <v>1185</v>
      </c>
      <c r="C238" s="2" t="s">
        <v>1186</v>
      </c>
      <c r="D238" s="2" t="s">
        <v>1221</v>
      </c>
      <c r="E238" s="2" t="s">
        <v>1222</v>
      </c>
      <c r="F238" s="2" t="s">
        <v>1223</v>
      </c>
      <c r="G238" s="2" t="s">
        <v>1224</v>
      </c>
      <c r="H238" s="2" t="s">
        <v>20</v>
      </c>
      <c r="I238" s="2" t="s">
        <v>1225</v>
      </c>
      <c r="J238" s="2" t="s">
        <v>1219</v>
      </c>
      <c r="K238" s="2" t="s">
        <v>1193</v>
      </c>
      <c r="L238" s="2" t="n">
        <v>3</v>
      </c>
      <c r="M238" s="2" t="n">
        <v>29</v>
      </c>
    </row>
    <row r="239" customFormat="false" ht="46.25" hidden="false" customHeight="false" outlineLevel="0" collapsed="false">
      <c r="A239" s="2" t="s">
        <v>1226</v>
      </c>
      <c r="B239" s="2" t="s">
        <v>1185</v>
      </c>
      <c r="C239" s="2" t="s">
        <v>1186</v>
      </c>
      <c r="D239" s="2" t="s">
        <v>1227</v>
      </c>
      <c r="E239" s="2" t="s">
        <v>1228</v>
      </c>
      <c r="F239" s="2" t="s">
        <v>1229</v>
      </c>
      <c r="G239" s="2" t="s">
        <v>1230</v>
      </c>
      <c r="H239" s="2" t="s">
        <v>20</v>
      </c>
      <c r="I239" s="2" t="s">
        <v>1231</v>
      </c>
      <c r="J239" s="2" t="s">
        <v>1232</v>
      </c>
      <c r="K239" s="2" t="s">
        <v>1193</v>
      </c>
      <c r="L239" s="2" t="n">
        <v>2</v>
      </c>
      <c r="M239" s="2" t="n">
        <v>29</v>
      </c>
    </row>
    <row r="240" customFormat="false" ht="91" hidden="false" customHeight="false" outlineLevel="0" collapsed="false">
      <c r="A240" s="2" t="s">
        <v>1233</v>
      </c>
      <c r="B240" s="2" t="s">
        <v>1185</v>
      </c>
      <c r="C240" s="2" t="s">
        <v>1186</v>
      </c>
      <c r="D240" s="2" t="s">
        <v>1234</v>
      </c>
      <c r="E240" s="2" t="s">
        <v>1235</v>
      </c>
      <c r="F240" s="2" t="s">
        <v>1236</v>
      </c>
      <c r="G240" s="2" t="s">
        <v>1237</v>
      </c>
      <c r="H240" s="2" t="s">
        <v>20</v>
      </c>
      <c r="I240" s="2" t="s">
        <v>1238</v>
      </c>
      <c r="J240" s="2" t="s">
        <v>1239</v>
      </c>
      <c r="K240" s="2" t="s">
        <v>1193</v>
      </c>
      <c r="L240" s="2" t="n">
        <v>2</v>
      </c>
      <c r="M240" s="2" t="n">
        <v>27</v>
      </c>
    </row>
    <row r="241" customFormat="false" ht="46.25" hidden="false" customHeight="false" outlineLevel="0" collapsed="false">
      <c r="A241" s="2" t="s">
        <v>1240</v>
      </c>
      <c r="B241" s="2" t="s">
        <v>1185</v>
      </c>
      <c r="C241" s="2" t="s">
        <v>1186</v>
      </c>
      <c r="D241" s="2" t="s">
        <v>1241</v>
      </c>
      <c r="E241" s="2" t="s">
        <v>1242</v>
      </c>
      <c r="F241" s="2" t="s">
        <v>1243</v>
      </c>
      <c r="G241" s="2" t="s">
        <v>1244</v>
      </c>
      <c r="H241" s="2" t="s">
        <v>20</v>
      </c>
      <c r="I241" s="2" t="s">
        <v>1245</v>
      </c>
      <c r="J241" s="2" t="s">
        <v>1246</v>
      </c>
      <c r="K241" s="2" t="s">
        <v>1193</v>
      </c>
      <c r="L241" s="2" t="n">
        <v>1</v>
      </c>
      <c r="M241" s="2" t="n">
        <v>25</v>
      </c>
    </row>
    <row r="242" customFormat="false" ht="61.15" hidden="false" customHeight="false" outlineLevel="0" collapsed="false">
      <c r="A242" s="2" t="s">
        <v>1247</v>
      </c>
      <c r="B242" s="2" t="s">
        <v>1185</v>
      </c>
      <c r="C242" s="2" t="s">
        <v>1186</v>
      </c>
      <c r="D242" s="2" t="s">
        <v>1248</v>
      </c>
      <c r="E242" s="2" t="s">
        <v>1249</v>
      </c>
      <c r="F242" s="2" t="s">
        <v>1250</v>
      </c>
      <c r="G242" s="2" t="s">
        <v>1251</v>
      </c>
      <c r="H242" s="2" t="s">
        <v>20</v>
      </c>
      <c r="I242" s="2" t="s">
        <v>1252</v>
      </c>
      <c r="J242" s="2" t="s">
        <v>1246</v>
      </c>
      <c r="K242" s="2" t="s">
        <v>1193</v>
      </c>
      <c r="L242" s="2" t="n">
        <v>3</v>
      </c>
      <c r="M242" s="2" t="n">
        <v>25</v>
      </c>
    </row>
    <row r="243" customFormat="false" ht="61.15" hidden="false" customHeight="false" outlineLevel="0" collapsed="false">
      <c r="A243" s="2" t="s">
        <v>1253</v>
      </c>
      <c r="B243" s="2" t="s">
        <v>1185</v>
      </c>
      <c r="C243" s="2" t="s">
        <v>1186</v>
      </c>
      <c r="D243" s="2" t="s">
        <v>1254</v>
      </c>
      <c r="E243" s="2" t="s">
        <v>1255</v>
      </c>
      <c r="F243" s="2" t="s">
        <v>1256</v>
      </c>
      <c r="G243" s="2" t="s">
        <v>1257</v>
      </c>
      <c r="H243" s="2" t="s">
        <v>20</v>
      </c>
      <c r="I243" s="2" t="s">
        <v>1258</v>
      </c>
      <c r="J243" s="2" t="s">
        <v>1246</v>
      </c>
      <c r="K243" s="2" t="s">
        <v>1193</v>
      </c>
      <c r="L243" s="2" t="n">
        <v>3</v>
      </c>
      <c r="M243" s="2" t="n">
        <v>25</v>
      </c>
    </row>
    <row r="244" customFormat="false" ht="61.15" hidden="false" customHeight="false" outlineLevel="0" collapsed="false">
      <c r="A244" s="2" t="s">
        <v>1259</v>
      </c>
      <c r="B244" s="2" t="s">
        <v>1185</v>
      </c>
      <c r="C244" s="2" t="s">
        <v>1186</v>
      </c>
      <c r="D244" s="2" t="s">
        <v>1260</v>
      </c>
      <c r="E244" s="2" t="s">
        <v>1261</v>
      </c>
      <c r="F244" s="2" t="s">
        <v>1262</v>
      </c>
      <c r="G244" s="2" t="s">
        <v>1263</v>
      </c>
      <c r="H244" s="2" t="s">
        <v>20</v>
      </c>
      <c r="I244" s="2" t="s">
        <v>1264</v>
      </c>
      <c r="J244" s="2" t="s">
        <v>1265</v>
      </c>
      <c r="K244" s="2" t="s">
        <v>1193</v>
      </c>
      <c r="L244" s="2" t="n">
        <v>3</v>
      </c>
      <c r="M244" s="2" t="n">
        <v>25</v>
      </c>
    </row>
    <row r="245" customFormat="false" ht="46.25" hidden="false" customHeight="false" outlineLevel="0" collapsed="false">
      <c r="A245" s="2" t="s">
        <v>1266</v>
      </c>
      <c r="B245" s="2" t="s">
        <v>1185</v>
      </c>
      <c r="C245" s="2" t="s">
        <v>1186</v>
      </c>
      <c r="D245" s="2" t="s">
        <v>1267</v>
      </c>
      <c r="E245" s="2" t="s">
        <v>135</v>
      </c>
      <c r="F245" s="2" t="s">
        <v>1268</v>
      </c>
      <c r="G245" s="2" t="s">
        <v>151</v>
      </c>
      <c r="H245" s="2" t="s">
        <v>28</v>
      </c>
      <c r="I245" s="2" t="s">
        <v>1269</v>
      </c>
      <c r="J245" s="2" t="s">
        <v>1265</v>
      </c>
      <c r="K245" s="2" t="s">
        <v>1193</v>
      </c>
      <c r="L245" s="2" t="n">
        <v>1</v>
      </c>
      <c r="M245" s="2" t="n">
        <v>26</v>
      </c>
    </row>
    <row r="246" customFormat="false" ht="46.25" hidden="false" customHeight="false" outlineLevel="0" collapsed="false">
      <c r="A246" s="2" t="s">
        <v>1270</v>
      </c>
      <c r="B246" s="2" t="s">
        <v>1185</v>
      </c>
      <c r="C246" s="2" t="s">
        <v>1186</v>
      </c>
      <c r="D246" s="2" t="s">
        <v>1271</v>
      </c>
      <c r="E246" s="2" t="s">
        <v>1272</v>
      </c>
      <c r="F246" s="2" t="s">
        <v>1273</v>
      </c>
      <c r="G246" s="2" t="s">
        <v>1274</v>
      </c>
      <c r="H246" s="2" t="s">
        <v>20</v>
      </c>
      <c r="I246" s="2" t="s">
        <v>1275</v>
      </c>
      <c r="J246" s="2" t="s">
        <v>1265</v>
      </c>
      <c r="K246" s="2" t="s">
        <v>1193</v>
      </c>
      <c r="L246" s="2" t="n">
        <v>2</v>
      </c>
      <c r="M246" s="2" t="n">
        <v>26</v>
      </c>
    </row>
    <row r="247" customFormat="false" ht="61.15" hidden="false" customHeight="false" outlineLevel="0" collapsed="false">
      <c r="A247" s="2" t="s">
        <v>1276</v>
      </c>
      <c r="B247" s="2" t="s">
        <v>1185</v>
      </c>
      <c r="C247" s="2" t="s">
        <v>1186</v>
      </c>
      <c r="D247" s="2" t="s">
        <v>1277</v>
      </c>
      <c r="E247" s="2" t="s">
        <v>1278</v>
      </c>
      <c r="F247" s="2" t="s">
        <v>1279</v>
      </c>
      <c r="G247" s="2" t="s">
        <v>1280</v>
      </c>
      <c r="H247" s="2" t="s">
        <v>20</v>
      </c>
      <c r="I247" s="2" t="s">
        <v>1281</v>
      </c>
      <c r="J247" s="2" t="s">
        <v>1265</v>
      </c>
      <c r="K247" s="2" t="s">
        <v>1193</v>
      </c>
      <c r="L247" s="2" t="n">
        <v>3</v>
      </c>
      <c r="M247" s="2" t="n">
        <v>26</v>
      </c>
    </row>
    <row r="248" customFormat="false" ht="61.15" hidden="false" customHeight="false" outlineLevel="0" collapsed="false">
      <c r="A248" s="2" t="s">
        <v>1282</v>
      </c>
      <c r="B248" s="2" t="s">
        <v>1185</v>
      </c>
      <c r="C248" s="2" t="s">
        <v>1186</v>
      </c>
      <c r="D248" s="2" t="s">
        <v>1283</v>
      </c>
      <c r="E248" s="2" t="s">
        <v>1284</v>
      </c>
      <c r="F248" s="2" t="s">
        <v>1285</v>
      </c>
      <c r="G248" s="2" t="s">
        <v>1286</v>
      </c>
      <c r="H248" s="2" t="s">
        <v>20</v>
      </c>
      <c r="I248" s="2" t="s">
        <v>1287</v>
      </c>
      <c r="J248" s="2" t="s">
        <v>1265</v>
      </c>
      <c r="K248" s="2" t="s">
        <v>1193</v>
      </c>
      <c r="L248" s="2" t="n">
        <v>2</v>
      </c>
      <c r="M248" s="2" t="n">
        <v>25</v>
      </c>
    </row>
    <row r="249" customFormat="false" ht="46.25" hidden="false" customHeight="false" outlineLevel="0" collapsed="false">
      <c r="A249" s="2" t="s">
        <v>1288</v>
      </c>
      <c r="B249" s="2" t="s">
        <v>1185</v>
      </c>
      <c r="C249" s="2" t="s">
        <v>1186</v>
      </c>
      <c r="D249" s="2" t="s">
        <v>1289</v>
      </c>
      <c r="E249" s="2" t="s">
        <v>1290</v>
      </c>
      <c r="F249" s="2" t="s">
        <v>1291</v>
      </c>
      <c r="G249" s="2" t="s">
        <v>1292</v>
      </c>
      <c r="H249" s="2" t="s">
        <v>20</v>
      </c>
      <c r="I249" s="2" t="s">
        <v>1293</v>
      </c>
      <c r="J249" s="2" t="s">
        <v>1294</v>
      </c>
      <c r="K249" s="2" t="s">
        <v>1193</v>
      </c>
      <c r="L249" s="2" t="n">
        <v>1</v>
      </c>
      <c r="M249" s="2" t="n">
        <v>26</v>
      </c>
    </row>
    <row r="250" customFormat="false" ht="46.25" hidden="false" customHeight="false" outlineLevel="0" collapsed="false">
      <c r="A250" s="2" t="s">
        <v>1295</v>
      </c>
      <c r="B250" s="2" t="s">
        <v>1185</v>
      </c>
      <c r="C250" s="2" t="s">
        <v>1186</v>
      </c>
      <c r="D250" s="2" t="s">
        <v>1296</v>
      </c>
      <c r="E250" s="2" t="s">
        <v>1292</v>
      </c>
      <c r="F250" s="2" t="s">
        <v>1297</v>
      </c>
      <c r="G250" s="2" t="s">
        <v>1298</v>
      </c>
      <c r="H250" s="2" t="s">
        <v>20</v>
      </c>
      <c r="I250" s="2" t="s">
        <v>1299</v>
      </c>
      <c r="J250" s="2" t="s">
        <v>1294</v>
      </c>
      <c r="K250" s="2" t="s">
        <v>1193</v>
      </c>
      <c r="L250" s="2" t="n">
        <v>1</v>
      </c>
      <c r="M250" s="2" t="n">
        <v>26</v>
      </c>
    </row>
    <row r="251" customFormat="false" ht="61.15" hidden="false" customHeight="false" outlineLevel="0" collapsed="false">
      <c r="A251" s="2" t="s">
        <v>1300</v>
      </c>
      <c r="B251" s="2" t="s">
        <v>1185</v>
      </c>
      <c r="C251" s="2" t="s">
        <v>1186</v>
      </c>
      <c r="D251" s="2" t="s">
        <v>1301</v>
      </c>
      <c r="E251" s="2" t="s">
        <v>1302</v>
      </c>
      <c r="F251" s="2" t="s">
        <v>1303</v>
      </c>
      <c r="G251" s="2" t="s">
        <v>1304</v>
      </c>
      <c r="H251" s="2" t="s">
        <v>20</v>
      </c>
      <c r="I251" s="2" t="s">
        <v>1305</v>
      </c>
      <c r="J251" s="2" t="s">
        <v>1294</v>
      </c>
      <c r="K251" s="2" t="s">
        <v>1193</v>
      </c>
      <c r="L251" s="2" t="n">
        <v>4</v>
      </c>
      <c r="M251" s="2" t="n">
        <v>27</v>
      </c>
    </row>
    <row r="252" customFormat="false" ht="61.15" hidden="false" customHeight="false" outlineLevel="0" collapsed="false">
      <c r="A252" s="2" t="s">
        <v>1306</v>
      </c>
      <c r="B252" s="2" t="s">
        <v>1185</v>
      </c>
      <c r="C252" s="2" t="s">
        <v>1186</v>
      </c>
      <c r="D252" s="2" t="s">
        <v>1307</v>
      </c>
      <c r="E252" s="2" t="s">
        <v>1291</v>
      </c>
      <c r="F252" s="2" t="s">
        <v>1290</v>
      </c>
      <c r="G252" s="2" t="s">
        <v>1308</v>
      </c>
      <c r="H252" s="2" t="s">
        <v>20</v>
      </c>
      <c r="I252" s="2" t="s">
        <v>1309</v>
      </c>
      <c r="J252" s="2" t="s">
        <v>1310</v>
      </c>
      <c r="K252" s="2" t="s">
        <v>1193</v>
      </c>
      <c r="L252" s="2" t="n">
        <v>1</v>
      </c>
      <c r="M252" s="2" t="n">
        <v>26</v>
      </c>
    </row>
    <row r="253" customFormat="false" ht="61.15" hidden="false" customHeight="false" outlineLevel="0" collapsed="false">
      <c r="A253" s="2" t="s">
        <v>1311</v>
      </c>
      <c r="B253" s="2" t="s">
        <v>1185</v>
      </c>
      <c r="C253" s="2" t="s">
        <v>1186</v>
      </c>
      <c r="D253" s="2" t="s">
        <v>1312</v>
      </c>
      <c r="E253" s="2" t="s">
        <v>1297</v>
      </c>
      <c r="F253" s="2" t="s">
        <v>1292</v>
      </c>
      <c r="G253" s="2" t="s">
        <v>1313</v>
      </c>
      <c r="H253" s="2" t="s">
        <v>20</v>
      </c>
      <c r="I253" s="2" t="s">
        <v>1314</v>
      </c>
      <c r="J253" s="2" t="s">
        <v>1310</v>
      </c>
      <c r="K253" s="2" t="s">
        <v>1193</v>
      </c>
      <c r="L253" s="2" t="n">
        <v>1</v>
      </c>
      <c r="M253" s="2" t="n">
        <v>26</v>
      </c>
    </row>
    <row r="254" customFormat="false" ht="46.25" hidden="false" customHeight="false" outlineLevel="0" collapsed="false">
      <c r="A254" s="2" t="s">
        <v>1315</v>
      </c>
      <c r="B254" s="2" t="s">
        <v>1185</v>
      </c>
      <c r="C254" s="2" t="s">
        <v>1186</v>
      </c>
      <c r="D254" s="2" t="s">
        <v>1316</v>
      </c>
      <c r="E254" s="2" t="s">
        <v>1317</v>
      </c>
      <c r="F254" s="2" t="s">
        <v>1318</v>
      </c>
      <c r="G254" s="2" t="s">
        <v>1319</v>
      </c>
      <c r="H254" s="2" t="s">
        <v>20</v>
      </c>
      <c r="I254" s="2" t="s">
        <v>1320</v>
      </c>
      <c r="J254" s="2" t="s">
        <v>1294</v>
      </c>
      <c r="K254" s="2" t="s">
        <v>1193</v>
      </c>
      <c r="L254" s="2" t="n">
        <v>3</v>
      </c>
      <c r="M254" s="2" t="n">
        <v>26</v>
      </c>
    </row>
    <row r="255" customFormat="false" ht="46.25" hidden="false" customHeight="false" outlineLevel="0" collapsed="false">
      <c r="A255" s="2" t="s">
        <v>1321</v>
      </c>
      <c r="B255" s="2" t="s">
        <v>1185</v>
      </c>
      <c r="C255" s="2" t="s">
        <v>1186</v>
      </c>
      <c r="D255" s="2" t="s">
        <v>1322</v>
      </c>
      <c r="E255" s="2" t="s">
        <v>1323</v>
      </c>
      <c r="F255" s="2" t="s">
        <v>1324</v>
      </c>
      <c r="G255" s="2" t="s">
        <v>1325</v>
      </c>
      <c r="H255" s="2" t="s">
        <v>20</v>
      </c>
      <c r="I255" s="2" t="s">
        <v>1326</v>
      </c>
      <c r="J255" s="2" t="s">
        <v>1294</v>
      </c>
      <c r="K255" s="2" t="s">
        <v>1193</v>
      </c>
      <c r="L255" s="2" t="n">
        <v>3</v>
      </c>
      <c r="M255" s="2" t="n">
        <v>26</v>
      </c>
    </row>
    <row r="256" customFormat="false" ht="46.25" hidden="false" customHeight="false" outlineLevel="0" collapsed="false">
      <c r="A256" s="2" t="s">
        <v>1327</v>
      </c>
      <c r="B256" s="2" t="s">
        <v>1185</v>
      </c>
      <c r="C256" s="2" t="s">
        <v>1186</v>
      </c>
      <c r="D256" s="2" t="s">
        <v>1328</v>
      </c>
      <c r="E256" s="2" t="s">
        <v>1329</v>
      </c>
      <c r="F256" s="2" t="s">
        <v>1330</v>
      </c>
      <c r="G256" s="2" t="s">
        <v>1331</v>
      </c>
      <c r="H256" s="2" t="s">
        <v>20</v>
      </c>
      <c r="I256" s="2" t="s">
        <v>1332</v>
      </c>
      <c r="J256" s="2" t="s">
        <v>1333</v>
      </c>
      <c r="K256" s="2" t="s">
        <v>1193</v>
      </c>
      <c r="L256" s="2" t="n">
        <v>1</v>
      </c>
      <c r="M256" s="2" t="n">
        <v>27</v>
      </c>
    </row>
    <row r="257" customFormat="false" ht="46.25" hidden="false" customHeight="false" outlineLevel="0" collapsed="false">
      <c r="A257" s="2" t="s">
        <v>1334</v>
      </c>
      <c r="B257" s="2" t="s">
        <v>1185</v>
      </c>
      <c r="C257" s="2" t="s">
        <v>1186</v>
      </c>
      <c r="D257" s="2" t="s">
        <v>1335</v>
      </c>
      <c r="E257" s="2" t="s">
        <v>1336</v>
      </c>
      <c r="F257" s="2" t="s">
        <v>1337</v>
      </c>
      <c r="G257" s="2" t="s">
        <v>1338</v>
      </c>
      <c r="H257" s="2" t="s">
        <v>20</v>
      </c>
      <c r="I257" s="2" t="s">
        <v>1339</v>
      </c>
      <c r="J257" s="2" t="s">
        <v>1333</v>
      </c>
      <c r="K257" s="2" t="s">
        <v>1193</v>
      </c>
      <c r="L257" s="2" t="n">
        <v>2</v>
      </c>
      <c r="M257" s="2" t="n">
        <v>26</v>
      </c>
    </row>
    <row r="258" customFormat="false" ht="46.25" hidden="false" customHeight="false" outlineLevel="0" collapsed="false">
      <c r="A258" s="2" t="s">
        <v>1340</v>
      </c>
      <c r="B258" s="2" t="s">
        <v>1185</v>
      </c>
      <c r="C258" s="2" t="s">
        <v>1186</v>
      </c>
      <c r="D258" s="2" t="s">
        <v>1341</v>
      </c>
      <c r="E258" s="2" t="s">
        <v>1330</v>
      </c>
      <c r="F258" s="2" t="s">
        <v>1329</v>
      </c>
      <c r="G258" s="2" t="s">
        <v>1342</v>
      </c>
      <c r="H258" s="2" t="s">
        <v>20</v>
      </c>
      <c r="I258" s="2" t="s">
        <v>1343</v>
      </c>
      <c r="J258" s="2" t="s">
        <v>1344</v>
      </c>
      <c r="K258" s="2" t="s">
        <v>1193</v>
      </c>
      <c r="L258" s="2" t="n">
        <v>1</v>
      </c>
      <c r="M258" s="2" t="n">
        <v>27</v>
      </c>
    </row>
    <row r="259" customFormat="false" ht="31.3" hidden="false" customHeight="false" outlineLevel="0" collapsed="false">
      <c r="A259" s="2" t="s">
        <v>1345</v>
      </c>
      <c r="B259" s="2" t="s">
        <v>1185</v>
      </c>
      <c r="C259" s="2" t="s">
        <v>1186</v>
      </c>
      <c r="D259" s="2" t="s">
        <v>1346</v>
      </c>
      <c r="E259" s="2" t="s">
        <v>1347</v>
      </c>
      <c r="F259" s="2" t="s">
        <v>1348</v>
      </c>
      <c r="G259" s="2" t="s">
        <v>1349</v>
      </c>
      <c r="H259" s="2" t="s">
        <v>20</v>
      </c>
      <c r="I259" s="2" t="s">
        <v>1350</v>
      </c>
      <c r="J259" s="2" t="s">
        <v>1344</v>
      </c>
      <c r="K259" s="2" t="s">
        <v>1193</v>
      </c>
      <c r="L259" s="2" t="n">
        <v>1</v>
      </c>
      <c r="M259" s="2" t="n">
        <v>27</v>
      </c>
    </row>
    <row r="260" customFormat="false" ht="46.25" hidden="false" customHeight="false" outlineLevel="0" collapsed="false">
      <c r="A260" s="2" t="s">
        <v>1351</v>
      </c>
      <c r="B260" s="2" t="s">
        <v>1185</v>
      </c>
      <c r="C260" s="2" t="s">
        <v>1186</v>
      </c>
      <c r="D260" s="2" t="s">
        <v>1352</v>
      </c>
      <c r="E260" s="2" t="s">
        <v>1338</v>
      </c>
      <c r="F260" s="2" t="s">
        <v>1353</v>
      </c>
      <c r="G260" s="2" t="s">
        <v>1336</v>
      </c>
      <c r="H260" s="2" t="s">
        <v>20</v>
      </c>
      <c r="I260" s="2" t="s">
        <v>1354</v>
      </c>
      <c r="J260" s="2" t="s">
        <v>1344</v>
      </c>
      <c r="K260" s="2" t="s">
        <v>1193</v>
      </c>
      <c r="L260" s="2" t="n">
        <v>2</v>
      </c>
      <c r="M260" s="2" t="n">
        <v>27</v>
      </c>
    </row>
    <row r="261" customFormat="false" ht="46.25" hidden="false" customHeight="false" outlineLevel="0" collapsed="false">
      <c r="A261" s="2" t="s">
        <v>1355</v>
      </c>
      <c r="B261" s="2" t="s">
        <v>1185</v>
      </c>
      <c r="C261" s="2" t="s">
        <v>1186</v>
      </c>
      <c r="D261" s="2" t="s">
        <v>1356</v>
      </c>
      <c r="E261" s="2" t="s">
        <v>1357</v>
      </c>
      <c r="F261" s="2" t="s">
        <v>1358</v>
      </c>
      <c r="G261" s="2" t="s">
        <v>1359</v>
      </c>
      <c r="H261" s="2" t="s">
        <v>20</v>
      </c>
      <c r="I261" s="2" t="s">
        <v>1360</v>
      </c>
      <c r="J261" s="2" t="s">
        <v>1361</v>
      </c>
      <c r="K261" s="2" t="s">
        <v>1193</v>
      </c>
      <c r="L261" s="2" t="n">
        <v>1</v>
      </c>
      <c r="M261" s="2" t="n">
        <v>27</v>
      </c>
    </row>
    <row r="262" customFormat="false" ht="46.25" hidden="false" customHeight="false" outlineLevel="0" collapsed="false">
      <c r="A262" s="2" t="s">
        <v>1362</v>
      </c>
      <c r="B262" s="2" t="s">
        <v>1185</v>
      </c>
      <c r="C262" s="2" t="s">
        <v>1186</v>
      </c>
      <c r="D262" s="2" t="s">
        <v>1363</v>
      </c>
      <c r="E262" s="2" t="s">
        <v>1364</v>
      </c>
      <c r="F262" s="2" t="s">
        <v>1365</v>
      </c>
      <c r="G262" s="2" t="s">
        <v>1366</v>
      </c>
      <c r="H262" s="2" t="s">
        <v>20</v>
      </c>
      <c r="I262" s="2" t="s">
        <v>1367</v>
      </c>
      <c r="J262" s="2" t="s">
        <v>1368</v>
      </c>
      <c r="K262" s="2" t="s">
        <v>1193</v>
      </c>
      <c r="L262" s="2" t="n">
        <v>1</v>
      </c>
      <c r="M262" s="2" t="n">
        <v>27</v>
      </c>
    </row>
    <row r="263" customFormat="false" ht="46.25" hidden="false" customHeight="false" outlineLevel="0" collapsed="false">
      <c r="A263" s="2" t="s">
        <v>1369</v>
      </c>
      <c r="B263" s="2" t="s">
        <v>1185</v>
      </c>
      <c r="C263" s="2" t="s">
        <v>1186</v>
      </c>
      <c r="D263" s="2" t="s">
        <v>1370</v>
      </c>
      <c r="E263" s="2" t="s">
        <v>1371</v>
      </c>
      <c r="F263" s="2" t="s">
        <v>1372</v>
      </c>
      <c r="G263" s="2" t="s">
        <v>1373</v>
      </c>
      <c r="H263" s="2" t="s">
        <v>20</v>
      </c>
      <c r="I263" s="2" t="s">
        <v>1374</v>
      </c>
      <c r="J263" s="2" t="s">
        <v>1368</v>
      </c>
      <c r="K263" s="2" t="s">
        <v>1193</v>
      </c>
      <c r="L263" s="2" t="n">
        <v>2</v>
      </c>
      <c r="M263" s="2" t="n">
        <v>27</v>
      </c>
    </row>
    <row r="264" customFormat="false" ht="46.25" hidden="false" customHeight="false" outlineLevel="0" collapsed="false">
      <c r="A264" s="2" t="s">
        <v>1375</v>
      </c>
      <c r="B264" s="2" t="s">
        <v>1185</v>
      </c>
      <c r="C264" s="2" t="s">
        <v>1186</v>
      </c>
      <c r="D264" s="2" t="s">
        <v>1376</v>
      </c>
      <c r="E264" s="2" t="s">
        <v>1377</v>
      </c>
      <c r="F264" s="2" t="s">
        <v>1378</v>
      </c>
      <c r="G264" s="2" t="s">
        <v>1379</v>
      </c>
      <c r="H264" s="2" t="s">
        <v>20</v>
      </c>
      <c r="I264" s="2" t="s">
        <v>1380</v>
      </c>
      <c r="J264" s="2" t="s">
        <v>1368</v>
      </c>
      <c r="K264" s="2" t="s">
        <v>1193</v>
      </c>
      <c r="L264" s="2" t="n">
        <v>2</v>
      </c>
      <c r="M264" s="2" t="n">
        <v>27</v>
      </c>
    </row>
    <row r="265" customFormat="false" ht="61.15" hidden="false" customHeight="false" outlineLevel="0" collapsed="false">
      <c r="A265" s="2" t="s">
        <v>1381</v>
      </c>
      <c r="B265" s="2" t="s">
        <v>1185</v>
      </c>
      <c r="C265" s="2" t="s">
        <v>1186</v>
      </c>
      <c r="D265" s="2" t="s">
        <v>1382</v>
      </c>
      <c r="E265" s="2" t="s">
        <v>1383</v>
      </c>
      <c r="F265" s="2" t="s">
        <v>1384</v>
      </c>
      <c r="G265" s="2" t="s">
        <v>1385</v>
      </c>
      <c r="H265" s="2" t="s">
        <v>20</v>
      </c>
      <c r="I265" s="2" t="s">
        <v>1386</v>
      </c>
      <c r="J265" s="2" t="s">
        <v>1368</v>
      </c>
      <c r="K265" s="2" t="s">
        <v>1193</v>
      </c>
      <c r="L265" s="2" t="n">
        <v>3</v>
      </c>
      <c r="M265" s="2" t="n">
        <v>27</v>
      </c>
    </row>
    <row r="266" customFormat="false" ht="46.25" hidden="false" customHeight="false" outlineLevel="0" collapsed="false">
      <c r="A266" s="2" t="s">
        <v>1387</v>
      </c>
      <c r="B266" s="2" t="s">
        <v>1185</v>
      </c>
      <c r="C266" s="2" t="s">
        <v>1186</v>
      </c>
      <c r="D266" s="2" t="s">
        <v>1388</v>
      </c>
      <c r="E266" s="2" t="s">
        <v>1338</v>
      </c>
      <c r="F266" s="2" t="s">
        <v>1353</v>
      </c>
      <c r="G266" s="2" t="s">
        <v>1337</v>
      </c>
      <c r="H266" s="2" t="s">
        <v>20</v>
      </c>
      <c r="I266" s="2" t="s">
        <v>1389</v>
      </c>
      <c r="J266" s="2" t="s">
        <v>1265</v>
      </c>
      <c r="K266" s="2" t="s">
        <v>1193</v>
      </c>
      <c r="L266" s="2" t="n">
        <v>1</v>
      </c>
      <c r="M266" s="2" t="n">
        <v>26</v>
      </c>
    </row>
    <row r="267" customFormat="false" ht="61.15" hidden="false" customHeight="false" outlineLevel="0" collapsed="false">
      <c r="A267" s="2" t="s">
        <v>1390</v>
      </c>
      <c r="B267" s="2" t="s">
        <v>1185</v>
      </c>
      <c r="C267" s="2" t="s">
        <v>1186</v>
      </c>
      <c r="D267" s="2" t="s">
        <v>1391</v>
      </c>
      <c r="E267" s="2" t="s">
        <v>1338</v>
      </c>
      <c r="F267" s="2" t="s">
        <v>1392</v>
      </c>
      <c r="G267" s="2" t="s">
        <v>1336</v>
      </c>
      <c r="H267" s="2" t="s">
        <v>20</v>
      </c>
      <c r="I267" s="2" t="s">
        <v>1393</v>
      </c>
      <c r="J267" s="2" t="s">
        <v>1265</v>
      </c>
      <c r="K267" s="2" t="s">
        <v>1193</v>
      </c>
      <c r="L267" s="2" t="n">
        <v>3</v>
      </c>
      <c r="M267" s="2" t="n">
        <v>26</v>
      </c>
    </row>
    <row r="268" customFormat="false" ht="31.3" hidden="false" customHeight="false" outlineLevel="0" collapsed="false">
      <c r="A268" s="2" t="s">
        <v>1394</v>
      </c>
      <c r="B268" s="2" t="s">
        <v>1185</v>
      </c>
      <c r="C268" s="2" t="s">
        <v>1186</v>
      </c>
      <c r="D268" s="2" t="s">
        <v>1395</v>
      </c>
      <c r="E268" s="2" t="s">
        <v>1396</v>
      </c>
      <c r="F268" s="2" t="s">
        <v>1397</v>
      </c>
      <c r="G268" s="2" t="s">
        <v>1398</v>
      </c>
      <c r="H268" s="2" t="s">
        <v>20</v>
      </c>
      <c r="I268" s="2" t="s">
        <v>1399</v>
      </c>
      <c r="J268" s="2" t="s">
        <v>1239</v>
      </c>
      <c r="K268" s="2" t="s">
        <v>1193</v>
      </c>
      <c r="L268" s="2" t="n">
        <v>2</v>
      </c>
      <c r="M268" s="2" t="n">
        <v>27</v>
      </c>
    </row>
    <row r="269" customFormat="false" ht="31.3" hidden="false" customHeight="false" outlineLevel="0" collapsed="false">
      <c r="A269" s="2" t="s">
        <v>1400</v>
      </c>
      <c r="B269" s="2" t="s">
        <v>1185</v>
      </c>
      <c r="C269" s="2" t="s">
        <v>1186</v>
      </c>
      <c r="D269" s="2" t="s">
        <v>1401</v>
      </c>
      <c r="E269" s="2" t="s">
        <v>1402</v>
      </c>
      <c r="F269" s="2" t="s">
        <v>1403</v>
      </c>
      <c r="G269" s="2" t="s">
        <v>1404</v>
      </c>
      <c r="H269" s="2" t="s">
        <v>20</v>
      </c>
      <c r="I269" s="2" t="s">
        <v>1405</v>
      </c>
      <c r="J269" s="2" t="s">
        <v>1239</v>
      </c>
      <c r="K269" s="2" t="s">
        <v>1193</v>
      </c>
      <c r="L269" s="2" t="n">
        <v>2</v>
      </c>
      <c r="M269" s="2" t="n">
        <v>27</v>
      </c>
    </row>
    <row r="270" customFormat="false" ht="46.25" hidden="false" customHeight="false" outlineLevel="0" collapsed="false">
      <c r="A270" s="2" t="s">
        <v>1406</v>
      </c>
      <c r="B270" s="2" t="s">
        <v>1185</v>
      </c>
      <c r="C270" s="2" t="s">
        <v>1186</v>
      </c>
      <c r="D270" s="2" t="s">
        <v>1407</v>
      </c>
      <c r="E270" s="2" t="s">
        <v>1408</v>
      </c>
      <c r="F270" s="2" t="s">
        <v>1409</v>
      </c>
      <c r="G270" s="2" t="s">
        <v>1410</v>
      </c>
      <c r="H270" s="2" t="s">
        <v>20</v>
      </c>
      <c r="I270" s="2" t="s">
        <v>1411</v>
      </c>
      <c r="J270" s="2" t="s">
        <v>1239</v>
      </c>
      <c r="K270" s="2" t="s">
        <v>1193</v>
      </c>
      <c r="L270" s="2" t="n">
        <v>2</v>
      </c>
      <c r="M270" s="2" t="n">
        <v>27</v>
      </c>
    </row>
    <row r="271" customFormat="false" ht="76.1" hidden="false" customHeight="false" outlineLevel="0" collapsed="false">
      <c r="A271" s="2" t="s">
        <v>1412</v>
      </c>
      <c r="B271" s="2" t="s">
        <v>1185</v>
      </c>
      <c r="C271" s="2" t="s">
        <v>1186</v>
      </c>
      <c r="D271" s="2" t="s">
        <v>1413</v>
      </c>
      <c r="E271" s="2" t="s">
        <v>1414</v>
      </c>
      <c r="F271" s="2" t="s">
        <v>1415</v>
      </c>
      <c r="G271" s="2" t="s">
        <v>1416</v>
      </c>
      <c r="H271" s="2" t="s">
        <v>20</v>
      </c>
      <c r="I271" s="2" t="s">
        <v>1417</v>
      </c>
      <c r="J271" s="2" t="s">
        <v>1239</v>
      </c>
      <c r="K271" s="2" t="s">
        <v>1193</v>
      </c>
      <c r="L271" s="2" t="n">
        <v>3</v>
      </c>
      <c r="M271" s="2" t="n">
        <v>27</v>
      </c>
    </row>
    <row r="272" customFormat="false" ht="61.15" hidden="false" customHeight="false" outlineLevel="0" collapsed="false">
      <c r="A272" s="2" t="s">
        <v>1418</v>
      </c>
      <c r="B272" s="2" t="s">
        <v>1185</v>
      </c>
      <c r="C272" s="2" t="s">
        <v>1186</v>
      </c>
      <c r="D272" s="2" t="s">
        <v>1419</v>
      </c>
      <c r="E272" s="2" t="s">
        <v>1420</v>
      </c>
      <c r="F272" s="2" t="s">
        <v>1421</v>
      </c>
      <c r="G272" s="2" t="s">
        <v>1422</v>
      </c>
      <c r="H272" s="2" t="s">
        <v>20</v>
      </c>
      <c r="I272" s="2" t="s">
        <v>1423</v>
      </c>
      <c r="J272" s="2" t="s">
        <v>1239</v>
      </c>
      <c r="K272" s="2" t="s">
        <v>1193</v>
      </c>
      <c r="L272" s="2" t="n">
        <v>3</v>
      </c>
      <c r="M272" s="2" t="n">
        <v>27</v>
      </c>
    </row>
    <row r="273" customFormat="false" ht="61.15" hidden="false" customHeight="false" outlineLevel="0" collapsed="false">
      <c r="A273" s="2" t="s">
        <v>1424</v>
      </c>
      <c r="B273" s="2" t="s">
        <v>1185</v>
      </c>
      <c r="C273" s="2" t="s">
        <v>1186</v>
      </c>
      <c r="D273" s="2" t="s">
        <v>1425</v>
      </c>
      <c r="E273" s="2" t="s">
        <v>1426</v>
      </c>
      <c r="F273" s="2" t="s">
        <v>1427</v>
      </c>
      <c r="G273" s="2" t="s">
        <v>1428</v>
      </c>
      <c r="H273" s="2" t="s">
        <v>20</v>
      </c>
      <c r="I273" s="2" t="s">
        <v>1429</v>
      </c>
      <c r="J273" s="2" t="s">
        <v>1239</v>
      </c>
      <c r="K273" s="2" t="s">
        <v>1193</v>
      </c>
      <c r="L273" s="2" t="n">
        <v>2</v>
      </c>
      <c r="M273" s="2" t="n">
        <v>27</v>
      </c>
    </row>
    <row r="274" customFormat="false" ht="31.3" hidden="false" customHeight="false" outlineLevel="0" collapsed="false">
      <c r="A274" s="2" t="s">
        <v>1430</v>
      </c>
      <c r="B274" s="2" t="s">
        <v>1185</v>
      </c>
      <c r="C274" s="2" t="s">
        <v>1186</v>
      </c>
      <c r="D274" s="2" t="s">
        <v>1431</v>
      </c>
      <c r="E274" s="2" t="s">
        <v>1432</v>
      </c>
      <c r="F274" s="2" t="s">
        <v>1433</v>
      </c>
      <c r="G274" s="2" t="s">
        <v>1434</v>
      </c>
      <c r="H274" s="2" t="s">
        <v>20</v>
      </c>
      <c r="I274" s="2" t="s">
        <v>1435</v>
      </c>
      <c r="J274" s="2" t="s">
        <v>1200</v>
      </c>
      <c r="K274" s="2" t="s">
        <v>1193</v>
      </c>
      <c r="L274" s="2" t="n">
        <v>1</v>
      </c>
      <c r="M274" s="2" t="n">
        <v>26</v>
      </c>
    </row>
    <row r="275" customFormat="false" ht="31.3" hidden="false" customHeight="false" outlineLevel="0" collapsed="false">
      <c r="A275" s="2" t="s">
        <v>1436</v>
      </c>
      <c r="B275" s="2" t="s">
        <v>1185</v>
      </c>
      <c r="C275" s="2" t="s">
        <v>1186</v>
      </c>
      <c r="D275" s="2" t="s">
        <v>1437</v>
      </c>
      <c r="E275" s="2" t="s">
        <v>1438</v>
      </c>
      <c r="F275" s="2" t="s">
        <v>1439</v>
      </c>
      <c r="G275" s="2" t="s">
        <v>1440</v>
      </c>
      <c r="H275" s="2" t="s">
        <v>20</v>
      </c>
      <c r="I275" s="2" t="s">
        <v>1441</v>
      </c>
      <c r="J275" s="2" t="s">
        <v>1200</v>
      </c>
      <c r="K275" s="2" t="s">
        <v>1193</v>
      </c>
      <c r="L275" s="2" t="n">
        <v>1</v>
      </c>
      <c r="M275" s="2" t="n">
        <v>28</v>
      </c>
    </row>
    <row r="276" customFormat="false" ht="31.3" hidden="false" customHeight="false" outlineLevel="0" collapsed="false">
      <c r="A276" s="2" t="s">
        <v>1442</v>
      </c>
      <c r="B276" s="2" t="s">
        <v>1185</v>
      </c>
      <c r="C276" s="2" t="s">
        <v>1186</v>
      </c>
      <c r="D276" s="2" t="s">
        <v>1443</v>
      </c>
      <c r="E276" s="2" t="s">
        <v>1268</v>
      </c>
      <c r="F276" s="2" t="s">
        <v>135</v>
      </c>
      <c r="G276" s="2" t="s">
        <v>151</v>
      </c>
      <c r="H276" s="2" t="s">
        <v>20</v>
      </c>
      <c r="I276" s="2" t="s">
        <v>1444</v>
      </c>
      <c r="J276" s="2" t="s">
        <v>1200</v>
      </c>
      <c r="K276" s="2" t="s">
        <v>1193</v>
      </c>
      <c r="L276" s="2" t="n">
        <v>2</v>
      </c>
      <c r="M276" s="2" t="n">
        <v>28</v>
      </c>
    </row>
    <row r="277" customFormat="false" ht="61.15" hidden="false" customHeight="false" outlineLevel="0" collapsed="false">
      <c r="A277" s="2" t="s">
        <v>1445</v>
      </c>
      <c r="B277" s="2" t="s">
        <v>1185</v>
      </c>
      <c r="C277" s="2" t="s">
        <v>1186</v>
      </c>
      <c r="D277" s="2" t="s">
        <v>1446</v>
      </c>
      <c r="E277" s="2" t="s">
        <v>1447</v>
      </c>
      <c r="F277" s="2" t="s">
        <v>1448</v>
      </c>
      <c r="G277" s="2" t="s">
        <v>1449</v>
      </c>
      <c r="H277" s="2" t="s">
        <v>20</v>
      </c>
      <c r="I277" s="2" t="s">
        <v>1450</v>
      </c>
      <c r="J277" s="2" t="s">
        <v>1200</v>
      </c>
      <c r="K277" s="2" t="s">
        <v>1193</v>
      </c>
      <c r="L277" s="2" t="n">
        <v>3</v>
      </c>
      <c r="M277" s="2" t="n">
        <v>27</v>
      </c>
    </row>
    <row r="278" customFormat="false" ht="46.25" hidden="false" customHeight="false" outlineLevel="0" collapsed="false">
      <c r="A278" s="2" t="s">
        <v>1451</v>
      </c>
      <c r="B278" s="2" t="s">
        <v>1185</v>
      </c>
      <c r="C278" s="2" t="s">
        <v>1186</v>
      </c>
      <c r="D278" s="2" t="s">
        <v>1452</v>
      </c>
      <c r="E278" s="2" t="s">
        <v>1453</v>
      </c>
      <c r="F278" s="2" t="s">
        <v>1454</v>
      </c>
      <c r="G278" s="2" t="s">
        <v>1455</v>
      </c>
      <c r="H278" s="2" t="s">
        <v>20</v>
      </c>
      <c r="I278" s="2" t="s">
        <v>1456</v>
      </c>
      <c r="J278" s="2" t="s">
        <v>1200</v>
      </c>
      <c r="K278" s="2" t="s">
        <v>1193</v>
      </c>
      <c r="L278" s="2" t="n">
        <v>2</v>
      </c>
      <c r="M278" s="2" t="n">
        <v>28</v>
      </c>
    </row>
    <row r="279" customFormat="false" ht="46.25" hidden="false" customHeight="false" outlineLevel="0" collapsed="false">
      <c r="A279" s="2" t="s">
        <v>1457</v>
      </c>
      <c r="B279" s="2" t="s">
        <v>1185</v>
      </c>
      <c r="C279" s="2" t="s">
        <v>1186</v>
      </c>
      <c r="D279" s="2" t="s">
        <v>1458</v>
      </c>
      <c r="E279" s="2" t="s">
        <v>1459</v>
      </c>
      <c r="F279" s="2" t="s">
        <v>1460</v>
      </c>
      <c r="G279" s="2" t="s">
        <v>1461</v>
      </c>
      <c r="H279" s="2" t="s">
        <v>20</v>
      </c>
      <c r="I279" s="2" t="s">
        <v>1462</v>
      </c>
      <c r="J279" s="2" t="s">
        <v>1200</v>
      </c>
      <c r="K279" s="2" t="s">
        <v>1193</v>
      </c>
      <c r="L279" s="2" t="n">
        <v>2</v>
      </c>
      <c r="M279" s="2" t="n">
        <v>28</v>
      </c>
    </row>
    <row r="280" customFormat="false" ht="61.15" hidden="false" customHeight="false" outlineLevel="0" collapsed="false">
      <c r="A280" s="2" t="s">
        <v>1463</v>
      </c>
      <c r="B280" s="2" t="s">
        <v>1185</v>
      </c>
      <c r="C280" s="2" t="s">
        <v>1186</v>
      </c>
      <c r="D280" s="2" t="s">
        <v>1464</v>
      </c>
      <c r="E280" s="2" t="s">
        <v>1465</v>
      </c>
      <c r="F280" s="2" t="s">
        <v>1466</v>
      </c>
      <c r="G280" s="2" t="s">
        <v>1467</v>
      </c>
      <c r="H280" s="2" t="s">
        <v>20</v>
      </c>
      <c r="I280" s="2" t="s">
        <v>1468</v>
      </c>
      <c r="J280" s="2" t="s">
        <v>1200</v>
      </c>
      <c r="K280" s="2" t="s">
        <v>1193</v>
      </c>
      <c r="L280" s="2" t="n">
        <v>3</v>
      </c>
      <c r="M280" s="2" t="n">
        <v>28</v>
      </c>
    </row>
    <row r="281" customFormat="false" ht="61.15" hidden="false" customHeight="false" outlineLevel="0" collapsed="false">
      <c r="A281" s="2" t="s">
        <v>1469</v>
      </c>
      <c r="B281" s="2" t="s">
        <v>1185</v>
      </c>
      <c r="C281" s="2" t="s">
        <v>1186</v>
      </c>
      <c r="D281" s="2" t="s">
        <v>1470</v>
      </c>
      <c r="E281" s="2" t="s">
        <v>1471</v>
      </c>
      <c r="F281" s="2" t="s">
        <v>1472</v>
      </c>
      <c r="G281" s="2" t="s">
        <v>1473</v>
      </c>
      <c r="H281" s="2" t="s">
        <v>20</v>
      </c>
      <c r="I281" s="2" t="s">
        <v>1474</v>
      </c>
      <c r="J281" s="2" t="s">
        <v>1200</v>
      </c>
      <c r="K281" s="2" t="s">
        <v>1193</v>
      </c>
      <c r="L281" s="2" t="n">
        <v>2</v>
      </c>
      <c r="M281" s="2" t="n">
        <v>28</v>
      </c>
    </row>
    <row r="282" customFormat="false" ht="91" hidden="false" customHeight="false" outlineLevel="0" collapsed="false">
      <c r="A282" s="2" t="s">
        <v>1475</v>
      </c>
      <c r="B282" s="2" t="s">
        <v>1185</v>
      </c>
      <c r="C282" s="2" t="s">
        <v>1186</v>
      </c>
      <c r="D282" s="2" t="s">
        <v>1476</v>
      </c>
      <c r="E282" s="2" t="s">
        <v>1477</v>
      </c>
      <c r="F282" s="2" t="s">
        <v>1478</v>
      </c>
      <c r="G282" s="2" t="s">
        <v>1479</v>
      </c>
      <c r="H282" s="2" t="s">
        <v>20</v>
      </c>
      <c r="I282" s="2" t="s">
        <v>1480</v>
      </c>
      <c r="J282" s="2" t="s">
        <v>1200</v>
      </c>
      <c r="K282" s="2" t="s">
        <v>1193</v>
      </c>
      <c r="L282" s="2" t="n">
        <v>2</v>
      </c>
      <c r="M282" s="2" t="n">
        <v>28</v>
      </c>
    </row>
    <row r="283" customFormat="false" ht="61.15" hidden="false" customHeight="false" outlineLevel="0" collapsed="false">
      <c r="A283" s="2" t="s">
        <v>1481</v>
      </c>
      <c r="B283" s="2" t="s">
        <v>1185</v>
      </c>
      <c r="C283" s="2" t="s">
        <v>1186</v>
      </c>
      <c r="D283" s="2" t="s">
        <v>1482</v>
      </c>
      <c r="E283" s="2" t="s">
        <v>1483</v>
      </c>
      <c r="F283" s="2" t="s">
        <v>1484</v>
      </c>
      <c r="G283" s="2" t="s">
        <v>1485</v>
      </c>
      <c r="H283" s="2" t="s">
        <v>20</v>
      </c>
      <c r="I283" s="2" t="s">
        <v>1486</v>
      </c>
      <c r="J283" s="2" t="s">
        <v>1200</v>
      </c>
      <c r="K283" s="2" t="s">
        <v>1193</v>
      </c>
      <c r="L283" s="2" t="n">
        <v>2</v>
      </c>
      <c r="M283" s="2" t="n">
        <v>28</v>
      </c>
    </row>
    <row r="284" customFormat="false" ht="46.25" hidden="false" customHeight="false" outlineLevel="0" collapsed="false">
      <c r="A284" s="2" t="s">
        <v>1487</v>
      </c>
      <c r="B284" s="2" t="s">
        <v>1185</v>
      </c>
      <c r="C284" s="2" t="s">
        <v>1186</v>
      </c>
      <c r="D284" s="2" t="s">
        <v>1488</v>
      </c>
      <c r="E284" s="2" t="s">
        <v>1489</v>
      </c>
      <c r="F284" s="2" t="s">
        <v>1490</v>
      </c>
      <c r="G284" s="2" t="s">
        <v>1491</v>
      </c>
      <c r="H284" s="2" t="s">
        <v>20</v>
      </c>
      <c r="I284" s="2" t="s">
        <v>1492</v>
      </c>
      <c r="J284" s="2" t="s">
        <v>1200</v>
      </c>
      <c r="K284" s="2" t="s">
        <v>1193</v>
      </c>
      <c r="L284" s="2" t="n">
        <v>1</v>
      </c>
      <c r="M284" s="2" t="n">
        <v>28</v>
      </c>
    </row>
    <row r="285" customFormat="false" ht="61.15" hidden="false" customHeight="false" outlineLevel="0" collapsed="false">
      <c r="A285" s="2" t="s">
        <v>1493</v>
      </c>
      <c r="B285" s="2" t="s">
        <v>1185</v>
      </c>
      <c r="C285" s="2" t="s">
        <v>1186</v>
      </c>
      <c r="D285" s="2" t="s">
        <v>1494</v>
      </c>
      <c r="E285" s="2" t="s">
        <v>1495</v>
      </c>
      <c r="F285" s="2" t="s">
        <v>1496</v>
      </c>
      <c r="G285" s="2" t="s">
        <v>1497</v>
      </c>
      <c r="H285" s="2" t="s">
        <v>20</v>
      </c>
      <c r="I285" s="2" t="s">
        <v>1498</v>
      </c>
      <c r="J285" s="2" t="s">
        <v>1219</v>
      </c>
      <c r="K285" s="2" t="s">
        <v>1193</v>
      </c>
      <c r="L285" s="2" t="n">
        <v>1</v>
      </c>
      <c r="M285" s="2" t="n">
        <v>28</v>
      </c>
    </row>
    <row r="286" customFormat="false" ht="61.15" hidden="false" customHeight="false" outlineLevel="0" collapsed="false">
      <c r="A286" s="2" t="s">
        <v>1499</v>
      </c>
      <c r="B286" s="2" t="s">
        <v>1185</v>
      </c>
      <c r="C286" s="2" t="s">
        <v>1186</v>
      </c>
      <c r="D286" s="2" t="s">
        <v>1500</v>
      </c>
      <c r="E286" s="2" t="s">
        <v>1501</v>
      </c>
      <c r="F286" s="2" t="s">
        <v>1502</v>
      </c>
      <c r="G286" s="2" t="s">
        <v>1503</v>
      </c>
      <c r="H286" s="2" t="s">
        <v>20</v>
      </c>
      <c r="I286" s="2" t="s">
        <v>1504</v>
      </c>
      <c r="J286" s="2" t="s">
        <v>1219</v>
      </c>
      <c r="K286" s="2" t="s">
        <v>1193</v>
      </c>
      <c r="L286" s="2" t="n">
        <v>2</v>
      </c>
      <c r="M286" s="2" t="n">
        <v>28</v>
      </c>
    </row>
    <row r="287" customFormat="false" ht="61.15" hidden="false" customHeight="false" outlineLevel="0" collapsed="false">
      <c r="A287" s="2" t="s">
        <v>1505</v>
      </c>
      <c r="B287" s="2" t="s">
        <v>1185</v>
      </c>
      <c r="C287" s="2" t="s">
        <v>1186</v>
      </c>
      <c r="D287" s="2" t="s">
        <v>1506</v>
      </c>
      <c r="E287" s="2" t="s">
        <v>1507</v>
      </c>
      <c r="F287" s="2" t="s">
        <v>1508</v>
      </c>
      <c r="G287" s="2" t="s">
        <v>1509</v>
      </c>
      <c r="H287" s="2" t="s">
        <v>20</v>
      </c>
      <c r="I287" s="2" t="s">
        <v>1510</v>
      </c>
      <c r="J287" s="2" t="s">
        <v>1219</v>
      </c>
      <c r="K287" s="2" t="s">
        <v>1193</v>
      </c>
      <c r="L287" s="2" t="n">
        <v>1</v>
      </c>
      <c r="M287" s="2" t="n">
        <v>28</v>
      </c>
    </row>
    <row r="288" customFormat="false" ht="61.15" hidden="false" customHeight="false" outlineLevel="0" collapsed="false">
      <c r="A288" s="2" t="s">
        <v>1511</v>
      </c>
      <c r="B288" s="2" t="s">
        <v>1185</v>
      </c>
      <c r="C288" s="2" t="s">
        <v>1186</v>
      </c>
      <c r="D288" s="2" t="s">
        <v>1512</v>
      </c>
      <c r="E288" s="2" t="s">
        <v>1513</v>
      </c>
      <c r="F288" s="2" t="s">
        <v>1514</v>
      </c>
      <c r="G288" s="2" t="s">
        <v>1515</v>
      </c>
      <c r="H288" s="2" t="s">
        <v>20</v>
      </c>
      <c r="I288" s="2" t="s">
        <v>1516</v>
      </c>
      <c r="J288" s="2" t="s">
        <v>1219</v>
      </c>
      <c r="K288" s="2" t="s">
        <v>1193</v>
      </c>
      <c r="L288" s="2" t="n">
        <v>3</v>
      </c>
      <c r="M288" s="2" t="n">
        <v>28</v>
      </c>
    </row>
    <row r="289" customFormat="false" ht="61.15" hidden="false" customHeight="false" outlineLevel="0" collapsed="false">
      <c r="A289" s="2" t="s">
        <v>1517</v>
      </c>
      <c r="B289" s="2" t="s">
        <v>1185</v>
      </c>
      <c r="C289" s="2" t="s">
        <v>1186</v>
      </c>
      <c r="D289" s="2" t="s">
        <v>1518</v>
      </c>
      <c r="E289" s="2" t="s">
        <v>1519</v>
      </c>
      <c r="F289" s="2" t="s">
        <v>1520</v>
      </c>
      <c r="G289" s="2" t="s">
        <v>1521</v>
      </c>
      <c r="H289" s="2" t="s">
        <v>20</v>
      </c>
      <c r="I289" s="2" t="s">
        <v>1522</v>
      </c>
      <c r="J289" s="2" t="s">
        <v>1219</v>
      </c>
      <c r="K289" s="2" t="s">
        <v>1193</v>
      </c>
      <c r="L289" s="2" t="n">
        <v>3</v>
      </c>
      <c r="M289" s="2" t="n">
        <v>29</v>
      </c>
    </row>
    <row r="290" customFormat="false" ht="61.15" hidden="false" customHeight="false" outlineLevel="0" collapsed="false">
      <c r="A290" s="2" t="s">
        <v>1523</v>
      </c>
      <c r="B290" s="2" t="s">
        <v>1185</v>
      </c>
      <c r="C290" s="2" t="s">
        <v>1186</v>
      </c>
      <c r="D290" s="2" t="s">
        <v>1524</v>
      </c>
      <c r="E290" s="2" t="s">
        <v>1525</v>
      </c>
      <c r="F290" s="2" t="s">
        <v>1526</v>
      </c>
      <c r="G290" s="2" t="s">
        <v>1527</v>
      </c>
      <c r="H290" s="2" t="s">
        <v>20</v>
      </c>
      <c r="I290" s="2" t="s">
        <v>1528</v>
      </c>
      <c r="J290" s="2" t="s">
        <v>1219</v>
      </c>
      <c r="K290" s="2" t="s">
        <v>1193</v>
      </c>
      <c r="L290" s="2" t="n">
        <v>2</v>
      </c>
      <c r="M290" s="2" t="n">
        <v>29</v>
      </c>
    </row>
    <row r="291" customFormat="false" ht="46.25" hidden="false" customHeight="false" outlineLevel="0" collapsed="false">
      <c r="A291" s="2" t="s">
        <v>1529</v>
      </c>
      <c r="B291" s="2" t="s">
        <v>1185</v>
      </c>
      <c r="C291" s="2" t="s">
        <v>1186</v>
      </c>
      <c r="D291" s="2" t="s">
        <v>1530</v>
      </c>
      <c r="E291" s="2" t="s">
        <v>1531</v>
      </c>
      <c r="F291" s="2" t="s">
        <v>1532</v>
      </c>
      <c r="G291" s="2" t="s">
        <v>1533</v>
      </c>
      <c r="H291" s="2" t="s">
        <v>20</v>
      </c>
      <c r="I291" s="2" t="s">
        <v>1534</v>
      </c>
      <c r="J291" s="2" t="s">
        <v>1232</v>
      </c>
      <c r="K291" s="2" t="s">
        <v>1193</v>
      </c>
      <c r="L291" s="2" t="n">
        <v>1</v>
      </c>
      <c r="M291" s="2" t="n">
        <v>29</v>
      </c>
    </row>
    <row r="292" customFormat="false" ht="61.15" hidden="false" customHeight="false" outlineLevel="0" collapsed="false">
      <c r="A292" s="2" t="s">
        <v>1535</v>
      </c>
      <c r="B292" s="2" t="s">
        <v>1185</v>
      </c>
      <c r="C292" s="2" t="s">
        <v>1186</v>
      </c>
      <c r="D292" s="2" t="s">
        <v>1536</v>
      </c>
      <c r="E292" s="2" t="s">
        <v>1537</v>
      </c>
      <c r="F292" s="2" t="s">
        <v>1538</v>
      </c>
      <c r="G292" s="2" t="s">
        <v>1539</v>
      </c>
      <c r="H292" s="2" t="s">
        <v>20</v>
      </c>
      <c r="I292" s="2" t="s">
        <v>1540</v>
      </c>
      <c r="J292" s="2" t="s">
        <v>1232</v>
      </c>
      <c r="K292" s="2" t="s">
        <v>1193</v>
      </c>
      <c r="L292" s="2" t="n">
        <v>2</v>
      </c>
      <c r="M292" s="2" t="n">
        <v>29</v>
      </c>
    </row>
    <row r="293" customFormat="false" ht="76.1" hidden="false" customHeight="false" outlineLevel="0" collapsed="false">
      <c r="A293" s="2" t="s">
        <v>1541</v>
      </c>
      <c r="B293" s="2" t="s">
        <v>1185</v>
      </c>
      <c r="C293" s="2" t="s">
        <v>1186</v>
      </c>
      <c r="D293" s="2" t="s">
        <v>1542</v>
      </c>
      <c r="E293" s="2" t="s">
        <v>1543</v>
      </c>
      <c r="F293" s="2" t="s">
        <v>1544</v>
      </c>
      <c r="G293" s="2" t="s">
        <v>1545</v>
      </c>
      <c r="H293" s="2" t="s">
        <v>20</v>
      </c>
      <c r="I293" s="2" t="s">
        <v>1546</v>
      </c>
      <c r="J293" s="2" t="s">
        <v>1232</v>
      </c>
      <c r="K293" s="2" t="s">
        <v>1193</v>
      </c>
      <c r="L293" s="2" t="n">
        <v>3</v>
      </c>
      <c r="M293" s="2" t="n">
        <v>29</v>
      </c>
    </row>
    <row r="294" customFormat="false" ht="46.25" hidden="false" customHeight="false" outlineLevel="0" collapsed="false">
      <c r="A294" s="2" t="s">
        <v>1547</v>
      </c>
      <c r="B294" s="2" t="s">
        <v>1185</v>
      </c>
      <c r="C294" s="2" t="s">
        <v>1186</v>
      </c>
      <c r="D294" s="2" t="s">
        <v>1548</v>
      </c>
      <c r="E294" s="2" t="s">
        <v>1392</v>
      </c>
      <c r="F294" s="2" t="s">
        <v>1336</v>
      </c>
      <c r="G294" s="2" t="s">
        <v>1338</v>
      </c>
      <c r="H294" s="2" t="s">
        <v>20</v>
      </c>
      <c r="I294" s="2" t="s">
        <v>1549</v>
      </c>
      <c r="J294" s="2" t="s">
        <v>1232</v>
      </c>
      <c r="K294" s="2" t="s">
        <v>1193</v>
      </c>
      <c r="L294" s="2" t="n">
        <v>2</v>
      </c>
      <c r="M294" s="2" t="n">
        <v>29</v>
      </c>
    </row>
    <row r="295" customFormat="false" ht="46.25" hidden="false" customHeight="false" outlineLevel="0" collapsed="false">
      <c r="A295" s="2" t="s">
        <v>1550</v>
      </c>
      <c r="B295" s="2" t="s">
        <v>1185</v>
      </c>
      <c r="C295" s="2" t="s">
        <v>1186</v>
      </c>
      <c r="D295" s="2" t="s">
        <v>1551</v>
      </c>
      <c r="E295" s="2" t="s">
        <v>1552</v>
      </c>
      <c r="F295" s="2" t="s">
        <v>1553</v>
      </c>
      <c r="G295" s="2" t="s">
        <v>1554</v>
      </c>
      <c r="H295" s="2" t="s">
        <v>20</v>
      </c>
      <c r="I295" s="2" t="s">
        <v>1555</v>
      </c>
      <c r="J295" s="2" t="s">
        <v>1232</v>
      </c>
      <c r="K295" s="2" t="s">
        <v>1193</v>
      </c>
      <c r="L295" s="2" t="n">
        <v>2</v>
      </c>
      <c r="M295" s="2" t="n">
        <v>29</v>
      </c>
    </row>
    <row r="296" customFormat="false" ht="46.25" hidden="false" customHeight="false" outlineLevel="0" collapsed="false">
      <c r="A296" s="2" t="s">
        <v>1556</v>
      </c>
      <c r="B296" s="2" t="s">
        <v>1185</v>
      </c>
      <c r="C296" s="2" t="s">
        <v>1186</v>
      </c>
      <c r="D296" s="2" t="s">
        <v>1557</v>
      </c>
      <c r="E296" s="2" t="s">
        <v>1558</v>
      </c>
      <c r="F296" s="2" t="s">
        <v>1559</v>
      </c>
      <c r="G296" s="2" t="s">
        <v>1560</v>
      </c>
      <c r="H296" s="2" t="s">
        <v>20</v>
      </c>
      <c r="I296" s="2" t="s">
        <v>1561</v>
      </c>
      <c r="J296" s="2" t="s">
        <v>1232</v>
      </c>
      <c r="K296" s="2" t="s">
        <v>1193</v>
      </c>
      <c r="L296" s="2" t="n">
        <v>3</v>
      </c>
      <c r="M296" s="2" t="n">
        <v>29</v>
      </c>
    </row>
    <row r="297" customFormat="false" ht="46.25" hidden="false" customHeight="false" outlineLevel="0" collapsed="false">
      <c r="A297" s="2" t="s">
        <v>1562</v>
      </c>
      <c r="B297" s="2" t="s">
        <v>1185</v>
      </c>
      <c r="C297" s="2" t="s">
        <v>1186</v>
      </c>
      <c r="D297" s="2" t="s">
        <v>1563</v>
      </c>
      <c r="E297" s="2" t="s">
        <v>1564</v>
      </c>
      <c r="F297" s="2" t="s">
        <v>1565</v>
      </c>
      <c r="G297" s="2" t="s">
        <v>1566</v>
      </c>
      <c r="H297" s="2" t="s">
        <v>20</v>
      </c>
      <c r="I297" s="2" t="s">
        <v>1567</v>
      </c>
      <c r="J297" s="2" t="s">
        <v>1232</v>
      </c>
      <c r="K297" s="2" t="s">
        <v>1193</v>
      </c>
      <c r="L297" s="2" t="n">
        <v>2</v>
      </c>
      <c r="M297" s="2" t="n">
        <v>29</v>
      </c>
    </row>
    <row r="298" customFormat="false" ht="91" hidden="false" customHeight="false" outlineLevel="0" collapsed="false">
      <c r="A298" s="2" t="s">
        <v>1568</v>
      </c>
      <c r="B298" s="2" t="s">
        <v>1185</v>
      </c>
      <c r="C298" s="2" t="s">
        <v>1186</v>
      </c>
      <c r="D298" s="2" t="s">
        <v>1569</v>
      </c>
      <c r="E298" s="2" t="s">
        <v>1570</v>
      </c>
      <c r="F298" s="2" t="s">
        <v>1571</v>
      </c>
      <c r="G298" s="2" t="s">
        <v>1572</v>
      </c>
      <c r="H298" s="2" t="s">
        <v>20</v>
      </c>
      <c r="I298" s="2" t="s">
        <v>1573</v>
      </c>
      <c r="J298" s="2" t="s">
        <v>1574</v>
      </c>
      <c r="K298" s="2" t="s">
        <v>1193</v>
      </c>
      <c r="L298" s="2" t="n">
        <v>2</v>
      </c>
      <c r="M298" s="2" t="n">
        <v>29</v>
      </c>
    </row>
    <row r="299" customFormat="false" ht="76.1" hidden="false" customHeight="false" outlineLevel="0" collapsed="false">
      <c r="A299" s="2" t="s">
        <v>1575</v>
      </c>
      <c r="B299" s="2" t="s">
        <v>1185</v>
      </c>
      <c r="C299" s="2" t="s">
        <v>1186</v>
      </c>
      <c r="D299" s="2" t="s">
        <v>1576</v>
      </c>
      <c r="E299" s="2" t="s">
        <v>1577</v>
      </c>
      <c r="F299" s="2" t="s">
        <v>1578</v>
      </c>
      <c r="G299" s="2" t="s">
        <v>1579</v>
      </c>
      <c r="H299" s="2" t="s">
        <v>20</v>
      </c>
      <c r="I299" s="2" t="s">
        <v>1580</v>
      </c>
      <c r="J299" s="2" t="s">
        <v>1574</v>
      </c>
      <c r="K299" s="2" t="s">
        <v>1193</v>
      </c>
      <c r="L299" s="2" t="n">
        <v>2</v>
      </c>
      <c r="M299" s="2" t="n">
        <v>29</v>
      </c>
    </row>
    <row r="300" customFormat="false" ht="61.15" hidden="false" customHeight="false" outlineLevel="0" collapsed="false">
      <c r="A300" s="2" t="s">
        <v>1581</v>
      </c>
      <c r="B300" s="2" t="s">
        <v>1185</v>
      </c>
      <c r="C300" s="2" t="s">
        <v>1186</v>
      </c>
      <c r="D300" s="2" t="s">
        <v>1582</v>
      </c>
      <c r="E300" s="2" t="s">
        <v>1583</v>
      </c>
      <c r="F300" s="2" t="s">
        <v>1584</v>
      </c>
      <c r="G300" s="2" t="s">
        <v>1585</v>
      </c>
      <c r="H300" s="2" t="s">
        <v>20</v>
      </c>
      <c r="I300" s="2" t="s">
        <v>1586</v>
      </c>
      <c r="J300" s="2" t="s">
        <v>1192</v>
      </c>
      <c r="K300" s="2" t="s">
        <v>1193</v>
      </c>
      <c r="L300" s="2" t="n">
        <v>1</v>
      </c>
      <c r="M300" s="2" t="n">
        <v>29</v>
      </c>
    </row>
    <row r="301" customFormat="false" ht="61.15" hidden="false" customHeight="false" outlineLevel="0" collapsed="false">
      <c r="A301" s="2" t="s">
        <v>1587</v>
      </c>
      <c r="B301" s="2" t="s">
        <v>1185</v>
      </c>
      <c r="C301" s="2" t="s">
        <v>1186</v>
      </c>
      <c r="D301" s="2" t="s">
        <v>1588</v>
      </c>
      <c r="E301" s="2" t="s">
        <v>1589</v>
      </c>
      <c r="F301" s="2" t="s">
        <v>1590</v>
      </c>
      <c r="G301" s="2" t="s">
        <v>1591</v>
      </c>
      <c r="H301" s="2" t="s">
        <v>20</v>
      </c>
      <c r="I301" s="2" t="s">
        <v>1592</v>
      </c>
      <c r="J301" s="2" t="s">
        <v>1192</v>
      </c>
      <c r="K301" s="2" t="s">
        <v>1193</v>
      </c>
      <c r="L301" s="2" t="n">
        <v>2</v>
      </c>
      <c r="M301" s="2" t="n">
        <v>29</v>
      </c>
    </row>
    <row r="302" customFormat="false" ht="76.1" hidden="false" customHeight="false" outlineLevel="0" collapsed="false">
      <c r="A302" s="2" t="s">
        <v>1593</v>
      </c>
      <c r="B302" s="2" t="s">
        <v>1185</v>
      </c>
      <c r="C302" s="2" t="s">
        <v>1186</v>
      </c>
      <c r="D302" s="2" t="s">
        <v>1594</v>
      </c>
      <c r="E302" s="2" t="s">
        <v>1595</v>
      </c>
      <c r="F302" s="2" t="s">
        <v>1596</v>
      </c>
      <c r="G302" s="2" t="s">
        <v>1597</v>
      </c>
      <c r="H302" s="2" t="s">
        <v>20</v>
      </c>
      <c r="I302" s="2" t="s">
        <v>1598</v>
      </c>
      <c r="J302" s="2" t="s">
        <v>1192</v>
      </c>
      <c r="K302" s="2" t="s">
        <v>1193</v>
      </c>
      <c r="L302" s="2" t="n">
        <v>2</v>
      </c>
      <c r="M302" s="2" t="n">
        <v>29</v>
      </c>
    </row>
    <row r="303" customFormat="false" ht="61.15" hidden="false" customHeight="false" outlineLevel="0" collapsed="false">
      <c r="A303" s="2" t="s">
        <v>1599</v>
      </c>
      <c r="B303" s="2" t="s">
        <v>1185</v>
      </c>
      <c r="C303" s="2" t="s">
        <v>1186</v>
      </c>
      <c r="D303" s="2" t="s">
        <v>1600</v>
      </c>
      <c r="E303" s="2" t="s">
        <v>1601</v>
      </c>
      <c r="F303" s="2" t="s">
        <v>1602</v>
      </c>
      <c r="G303" s="2" t="s">
        <v>1603</v>
      </c>
      <c r="H303" s="2" t="s">
        <v>20</v>
      </c>
      <c r="I303" s="2" t="s">
        <v>1604</v>
      </c>
      <c r="J303" s="2" t="s">
        <v>1192</v>
      </c>
      <c r="K303" s="2" t="s">
        <v>1193</v>
      </c>
      <c r="L303" s="2" t="n">
        <v>2</v>
      </c>
      <c r="M303" s="2" t="n">
        <v>29</v>
      </c>
    </row>
    <row r="304" customFormat="false" ht="61.15" hidden="false" customHeight="false" outlineLevel="0" collapsed="false">
      <c r="A304" s="2" t="s">
        <v>1605</v>
      </c>
      <c r="B304" s="2" t="s">
        <v>1185</v>
      </c>
      <c r="C304" s="2" t="s">
        <v>1186</v>
      </c>
      <c r="D304" s="2" t="s">
        <v>1606</v>
      </c>
      <c r="E304" s="2" t="s">
        <v>1607</v>
      </c>
      <c r="F304" s="2" t="s">
        <v>1608</v>
      </c>
      <c r="G304" s="2" t="s">
        <v>1609</v>
      </c>
      <c r="H304" s="2" t="s">
        <v>20</v>
      </c>
      <c r="I304" s="2" t="s">
        <v>1610</v>
      </c>
      <c r="J304" s="2" t="s">
        <v>1192</v>
      </c>
      <c r="K304" s="2" t="s">
        <v>1193</v>
      </c>
      <c r="L304" s="2" t="n">
        <v>3</v>
      </c>
      <c r="M304" s="2" t="n">
        <v>29</v>
      </c>
    </row>
    <row r="305" customFormat="false" ht="46.25" hidden="false" customHeight="false" outlineLevel="0" collapsed="false">
      <c r="A305" s="2" t="s">
        <v>1611</v>
      </c>
      <c r="B305" s="2" t="s">
        <v>1185</v>
      </c>
      <c r="C305" s="2" t="s">
        <v>1186</v>
      </c>
      <c r="D305" s="2" t="s">
        <v>1612</v>
      </c>
      <c r="E305" s="2" t="s">
        <v>1613</v>
      </c>
      <c r="F305" s="2" t="s">
        <v>1614</v>
      </c>
      <c r="G305" s="2" t="s">
        <v>1615</v>
      </c>
      <c r="H305" s="2" t="s">
        <v>20</v>
      </c>
      <c r="I305" s="2" t="s">
        <v>1616</v>
      </c>
      <c r="J305" s="2" t="s">
        <v>1617</v>
      </c>
      <c r="K305" s="2" t="s">
        <v>1193</v>
      </c>
      <c r="L305" s="2" t="n">
        <v>2</v>
      </c>
      <c r="M305" s="2" t="n">
        <v>29</v>
      </c>
    </row>
    <row r="306" customFormat="false" ht="46.25" hidden="false" customHeight="false" outlineLevel="0" collapsed="false">
      <c r="A306" s="2" t="s">
        <v>1618</v>
      </c>
      <c r="B306" s="2" t="s">
        <v>1185</v>
      </c>
      <c r="C306" s="2" t="s">
        <v>1186</v>
      </c>
      <c r="D306" s="2" t="s">
        <v>1619</v>
      </c>
      <c r="E306" s="2" t="s">
        <v>1620</v>
      </c>
      <c r="F306" s="2" t="s">
        <v>1621</v>
      </c>
      <c r="G306" s="2" t="s">
        <v>1622</v>
      </c>
      <c r="H306" s="2" t="s">
        <v>20</v>
      </c>
      <c r="I306" s="2" t="s">
        <v>1623</v>
      </c>
      <c r="J306" s="2" t="s">
        <v>1617</v>
      </c>
      <c r="K306" s="2" t="s">
        <v>1193</v>
      </c>
      <c r="L306" s="2" t="n">
        <v>1</v>
      </c>
      <c r="M306" s="2" t="n">
        <v>29</v>
      </c>
    </row>
    <row r="307" customFormat="false" ht="46.25" hidden="false" customHeight="false" outlineLevel="0" collapsed="false">
      <c r="A307" s="2" t="s">
        <v>1624</v>
      </c>
      <c r="B307" s="2" t="s">
        <v>1185</v>
      </c>
      <c r="C307" s="2" t="s">
        <v>1186</v>
      </c>
      <c r="D307" s="2" t="s">
        <v>1625</v>
      </c>
      <c r="E307" s="2" t="s">
        <v>1626</v>
      </c>
      <c r="F307" s="2" t="s">
        <v>1627</v>
      </c>
      <c r="G307" s="2" t="s">
        <v>1628</v>
      </c>
      <c r="H307" s="2" t="s">
        <v>28</v>
      </c>
      <c r="I307" s="2" t="s">
        <v>1629</v>
      </c>
      <c r="J307" s="2" t="s">
        <v>1186</v>
      </c>
      <c r="K307" s="2" t="s">
        <v>1193</v>
      </c>
      <c r="L307" s="2" t="n">
        <v>1</v>
      </c>
      <c r="M307" s="2" t="n">
        <v>26</v>
      </c>
    </row>
    <row r="308" customFormat="false" ht="105.95" hidden="false" customHeight="false" outlineLevel="0" collapsed="false">
      <c r="A308" s="2" t="s">
        <v>1630</v>
      </c>
      <c r="B308" s="2" t="s">
        <v>1185</v>
      </c>
      <c r="C308" s="2" t="s">
        <v>1186</v>
      </c>
      <c r="D308" s="2" t="s">
        <v>1631</v>
      </c>
      <c r="E308" s="2" t="s">
        <v>1632</v>
      </c>
      <c r="F308" s="2" t="s">
        <v>1633</v>
      </c>
      <c r="G308" s="2" t="s">
        <v>1634</v>
      </c>
      <c r="H308" s="2" t="s">
        <v>28</v>
      </c>
      <c r="I308" s="2" t="s">
        <v>1635</v>
      </c>
      <c r="J308" s="2" t="s">
        <v>1186</v>
      </c>
      <c r="K308" s="2" t="s">
        <v>1193</v>
      </c>
      <c r="L308" s="2" t="n">
        <v>2</v>
      </c>
      <c r="M308" s="2" t="n">
        <v>28</v>
      </c>
    </row>
    <row r="309" customFormat="false" ht="46.25" hidden="false" customHeight="false" outlineLevel="0" collapsed="false">
      <c r="A309" s="2" t="s">
        <v>1636</v>
      </c>
      <c r="B309" s="2" t="s">
        <v>1185</v>
      </c>
      <c r="C309" s="2" t="s">
        <v>1186</v>
      </c>
      <c r="D309" s="2" t="s">
        <v>1637</v>
      </c>
      <c r="E309" s="2" t="s">
        <v>1638</v>
      </c>
      <c r="F309" s="2" t="s">
        <v>1639</v>
      </c>
      <c r="G309" s="2" t="s">
        <v>1640</v>
      </c>
      <c r="H309" s="2" t="s">
        <v>20</v>
      </c>
      <c r="I309" s="2" t="s">
        <v>1641</v>
      </c>
      <c r="J309" s="2" t="s">
        <v>1186</v>
      </c>
      <c r="K309" s="2" t="s">
        <v>1193</v>
      </c>
      <c r="L309" s="2" t="n">
        <v>1</v>
      </c>
      <c r="M309" s="2" t="n">
        <v>29</v>
      </c>
    </row>
    <row r="310" customFormat="false" ht="46.25" hidden="false" customHeight="false" outlineLevel="0" collapsed="false">
      <c r="A310" s="2" t="s">
        <v>1642</v>
      </c>
      <c r="B310" s="2" t="s">
        <v>1185</v>
      </c>
      <c r="C310" s="2" t="s">
        <v>1186</v>
      </c>
      <c r="D310" s="2" t="s">
        <v>1643</v>
      </c>
      <c r="E310" s="2" t="s">
        <v>1644</v>
      </c>
      <c r="F310" s="2" t="s">
        <v>1645</v>
      </c>
      <c r="G310" s="2" t="s">
        <v>1646</v>
      </c>
      <c r="H310" s="2" t="s">
        <v>20</v>
      </c>
      <c r="I310" s="2" t="s">
        <v>1647</v>
      </c>
      <c r="J310" s="2" t="s">
        <v>1186</v>
      </c>
      <c r="K310" s="2" t="s">
        <v>1193</v>
      </c>
      <c r="L310" s="2" t="n">
        <v>1</v>
      </c>
      <c r="M310" s="2" t="n">
        <v>26</v>
      </c>
    </row>
    <row r="311" customFormat="false" ht="76.1" hidden="false" customHeight="false" outlineLevel="0" collapsed="false">
      <c r="A311" s="2" t="s">
        <v>1648</v>
      </c>
      <c r="B311" s="2" t="s">
        <v>1185</v>
      </c>
      <c r="C311" s="2" t="s">
        <v>1186</v>
      </c>
      <c r="D311" s="2" t="s">
        <v>1649</v>
      </c>
      <c r="E311" s="2" t="s">
        <v>1650</v>
      </c>
      <c r="F311" s="2" t="s">
        <v>1651</v>
      </c>
      <c r="G311" s="2" t="s">
        <v>1652</v>
      </c>
      <c r="H311" s="2" t="s">
        <v>20</v>
      </c>
      <c r="I311" s="2" t="s">
        <v>1653</v>
      </c>
      <c r="J311" s="2" t="s">
        <v>1186</v>
      </c>
      <c r="K311" s="2" t="s">
        <v>1193</v>
      </c>
      <c r="L311" s="2" t="n">
        <v>1</v>
      </c>
      <c r="M311" s="2" t="n">
        <v>26</v>
      </c>
    </row>
    <row r="312" customFormat="false" ht="61.15" hidden="false" customHeight="false" outlineLevel="0" collapsed="false">
      <c r="A312" s="2" t="s">
        <v>1654</v>
      </c>
      <c r="B312" s="2" t="s">
        <v>1185</v>
      </c>
      <c r="C312" s="2" t="s">
        <v>1186</v>
      </c>
      <c r="D312" s="2" t="s">
        <v>1655</v>
      </c>
      <c r="E312" s="2" t="s">
        <v>1656</v>
      </c>
      <c r="F312" s="2" t="s">
        <v>1657</v>
      </c>
      <c r="G312" s="2" t="s">
        <v>1658</v>
      </c>
      <c r="H312" s="2" t="s">
        <v>20</v>
      </c>
      <c r="I312" s="2" t="s">
        <v>1659</v>
      </c>
      <c r="J312" s="2" t="s">
        <v>1186</v>
      </c>
      <c r="K312" s="2" t="s">
        <v>1193</v>
      </c>
      <c r="L312" s="2" t="n">
        <v>2</v>
      </c>
      <c r="M312" s="2" t="n">
        <v>29</v>
      </c>
    </row>
    <row r="313" customFormat="false" ht="61.15" hidden="false" customHeight="false" outlineLevel="0" collapsed="false">
      <c r="A313" s="2" t="s">
        <v>1660</v>
      </c>
      <c r="B313" s="2" t="s">
        <v>1185</v>
      </c>
      <c r="C313" s="2" t="s">
        <v>1186</v>
      </c>
      <c r="D313" s="2" t="s">
        <v>1661</v>
      </c>
      <c r="E313" s="2" t="s">
        <v>1662</v>
      </c>
      <c r="F313" s="2" t="s">
        <v>1663</v>
      </c>
      <c r="G313" s="2" t="s">
        <v>1664</v>
      </c>
      <c r="H313" s="2" t="s">
        <v>20</v>
      </c>
      <c r="I313" s="2" t="s">
        <v>1665</v>
      </c>
      <c r="J313" s="2" t="s">
        <v>1186</v>
      </c>
      <c r="K313" s="2" t="s">
        <v>1193</v>
      </c>
      <c r="L313" s="2" t="n">
        <v>3</v>
      </c>
      <c r="M313" s="2" t="n">
        <v>27</v>
      </c>
    </row>
    <row r="314" customFormat="false" ht="61.15" hidden="false" customHeight="false" outlineLevel="0" collapsed="false">
      <c r="A314" s="2" t="s">
        <v>1666</v>
      </c>
      <c r="B314" s="2" t="s">
        <v>1185</v>
      </c>
      <c r="C314" s="2" t="s">
        <v>1186</v>
      </c>
      <c r="D314" s="2" t="s">
        <v>1667</v>
      </c>
      <c r="E314" s="2" t="s">
        <v>1668</v>
      </c>
      <c r="F314" s="2" t="s">
        <v>1669</v>
      </c>
      <c r="G314" s="2" t="s">
        <v>1670</v>
      </c>
      <c r="H314" s="2" t="s">
        <v>20</v>
      </c>
      <c r="I314" s="2" t="s">
        <v>1671</v>
      </c>
      <c r="J314" s="2" t="s">
        <v>1186</v>
      </c>
      <c r="K314" s="2" t="s">
        <v>1193</v>
      </c>
      <c r="L314" s="2" t="n">
        <v>2</v>
      </c>
      <c r="M314" s="2" t="n">
        <v>25</v>
      </c>
    </row>
    <row r="315" customFormat="false" ht="61.15" hidden="false" customHeight="false" outlineLevel="0" collapsed="false">
      <c r="A315" s="2" t="s">
        <v>1672</v>
      </c>
      <c r="B315" s="2" t="s">
        <v>1185</v>
      </c>
      <c r="C315" s="2" t="s">
        <v>1186</v>
      </c>
      <c r="D315" s="2" t="s">
        <v>1673</v>
      </c>
      <c r="E315" s="2" t="s">
        <v>1674</v>
      </c>
      <c r="F315" s="2" t="s">
        <v>1675</v>
      </c>
      <c r="G315" s="2" t="s">
        <v>1676</v>
      </c>
      <c r="H315" s="2" t="s">
        <v>20</v>
      </c>
      <c r="I315" s="2" t="s">
        <v>1677</v>
      </c>
      <c r="J315" s="2" t="s">
        <v>1186</v>
      </c>
      <c r="K315" s="2" t="s">
        <v>1193</v>
      </c>
      <c r="L315" s="2" t="n">
        <v>2</v>
      </c>
      <c r="M315" s="2" t="n">
        <v>29</v>
      </c>
    </row>
    <row r="316" customFormat="false" ht="61.15" hidden="false" customHeight="false" outlineLevel="0" collapsed="false">
      <c r="A316" s="2" t="s">
        <v>1678</v>
      </c>
      <c r="B316" s="2" t="s">
        <v>1185</v>
      </c>
      <c r="C316" s="2" t="s">
        <v>1186</v>
      </c>
      <c r="D316" s="2" t="s">
        <v>1679</v>
      </c>
      <c r="E316" s="2" t="s">
        <v>1680</v>
      </c>
      <c r="F316" s="2" t="s">
        <v>1681</v>
      </c>
      <c r="G316" s="2" t="s">
        <v>1682</v>
      </c>
      <c r="H316" s="2" t="s">
        <v>20</v>
      </c>
      <c r="I316" s="2" t="s">
        <v>1683</v>
      </c>
      <c r="J316" s="2" t="s">
        <v>1186</v>
      </c>
      <c r="K316" s="2" t="s">
        <v>1193</v>
      </c>
      <c r="L316" s="2" t="n">
        <v>2</v>
      </c>
      <c r="M316" s="2" t="n">
        <v>26</v>
      </c>
    </row>
    <row r="317" customFormat="false" ht="61.15" hidden="false" customHeight="false" outlineLevel="0" collapsed="false">
      <c r="A317" s="2" t="s">
        <v>1684</v>
      </c>
      <c r="B317" s="2" t="s">
        <v>1185</v>
      </c>
      <c r="C317" s="2" t="s">
        <v>1186</v>
      </c>
      <c r="D317" s="2" t="s">
        <v>1685</v>
      </c>
      <c r="E317" s="2" t="s">
        <v>1686</v>
      </c>
      <c r="F317" s="2" t="s">
        <v>1687</v>
      </c>
      <c r="G317" s="2" t="s">
        <v>1688</v>
      </c>
      <c r="H317" s="2" t="s">
        <v>20</v>
      </c>
      <c r="I317" s="2" t="s">
        <v>1689</v>
      </c>
      <c r="J317" s="2" t="s">
        <v>1186</v>
      </c>
      <c r="K317" s="2" t="s">
        <v>1193</v>
      </c>
      <c r="L317" s="2" t="n">
        <v>2</v>
      </c>
      <c r="M317" s="2" t="n">
        <v>29</v>
      </c>
    </row>
    <row r="318" customFormat="false" ht="61.15" hidden="false" customHeight="false" outlineLevel="0" collapsed="false">
      <c r="A318" s="2" t="s">
        <v>1690</v>
      </c>
      <c r="B318" s="2" t="s">
        <v>1185</v>
      </c>
      <c r="C318" s="2" t="s">
        <v>1186</v>
      </c>
      <c r="D318" s="2" t="s">
        <v>1691</v>
      </c>
      <c r="E318" s="2" t="s">
        <v>1692</v>
      </c>
      <c r="F318" s="2" t="s">
        <v>1693</v>
      </c>
      <c r="G318" s="2" t="s">
        <v>1694</v>
      </c>
      <c r="H318" s="2" t="s">
        <v>20</v>
      </c>
      <c r="I318" s="2" t="s">
        <v>1695</v>
      </c>
      <c r="J318" s="2" t="s">
        <v>1186</v>
      </c>
      <c r="K318" s="2" t="s">
        <v>1193</v>
      </c>
      <c r="L318" s="2" t="n">
        <v>3</v>
      </c>
      <c r="M318" s="2" t="n">
        <v>29</v>
      </c>
    </row>
    <row r="319" customFormat="false" ht="46.25" hidden="false" customHeight="false" outlineLevel="0" collapsed="false">
      <c r="A319" s="2" t="s">
        <v>1696</v>
      </c>
      <c r="B319" s="2" t="s">
        <v>1185</v>
      </c>
      <c r="C319" s="2" t="s">
        <v>1186</v>
      </c>
      <c r="D319" s="2" t="s">
        <v>1697</v>
      </c>
      <c r="E319" s="2" t="s">
        <v>1698</v>
      </c>
      <c r="F319" s="2" t="s">
        <v>1699</v>
      </c>
      <c r="G319" s="2" t="s">
        <v>1700</v>
      </c>
      <c r="H319" s="2" t="s">
        <v>20</v>
      </c>
      <c r="I319" s="2" t="s">
        <v>1701</v>
      </c>
      <c r="J319" s="2" t="s">
        <v>1186</v>
      </c>
      <c r="K319" s="2" t="s">
        <v>1193</v>
      </c>
      <c r="L319" s="2" t="n">
        <v>2</v>
      </c>
      <c r="M319" s="2" t="n">
        <v>27</v>
      </c>
    </row>
    <row r="320" customFormat="false" ht="46.25" hidden="false" customHeight="false" outlineLevel="0" collapsed="false">
      <c r="A320" s="2" t="s">
        <v>1702</v>
      </c>
      <c r="B320" s="2" t="s">
        <v>1185</v>
      </c>
      <c r="C320" s="2" t="s">
        <v>1186</v>
      </c>
      <c r="D320" s="2" t="s">
        <v>1703</v>
      </c>
      <c r="E320" s="2" t="s">
        <v>1704</v>
      </c>
      <c r="F320" s="2" t="s">
        <v>1705</v>
      </c>
      <c r="G320" s="2" t="s">
        <v>1706</v>
      </c>
      <c r="H320" s="2" t="s">
        <v>20</v>
      </c>
      <c r="I320" s="2" t="s">
        <v>1707</v>
      </c>
      <c r="J320" s="2" t="s">
        <v>1186</v>
      </c>
      <c r="K320" s="2" t="s">
        <v>1193</v>
      </c>
      <c r="L320" s="2" t="n">
        <v>2</v>
      </c>
      <c r="M320" s="2" t="n">
        <v>29</v>
      </c>
    </row>
    <row r="321" customFormat="false" ht="46.25" hidden="false" customHeight="false" outlineLevel="0" collapsed="false">
      <c r="A321" s="2" t="s">
        <v>1708</v>
      </c>
      <c r="B321" s="2" t="s">
        <v>1185</v>
      </c>
      <c r="C321" s="2" t="s">
        <v>1186</v>
      </c>
      <c r="D321" s="2" t="s">
        <v>1709</v>
      </c>
      <c r="E321" s="2" t="s">
        <v>1710</v>
      </c>
      <c r="F321" s="2" t="s">
        <v>1711</v>
      </c>
      <c r="G321" s="2" t="s">
        <v>1712</v>
      </c>
      <c r="H321" s="2" t="s">
        <v>20</v>
      </c>
      <c r="I321" s="2" t="s">
        <v>1713</v>
      </c>
      <c r="J321" s="2" t="s">
        <v>1186</v>
      </c>
      <c r="K321" s="2" t="s">
        <v>1193</v>
      </c>
      <c r="L321" s="2" t="n">
        <v>2</v>
      </c>
      <c r="M321" s="2" t="n">
        <v>29</v>
      </c>
    </row>
    <row r="322" customFormat="false" ht="46.25" hidden="false" customHeight="false" outlineLevel="0" collapsed="false">
      <c r="A322" s="2" t="s">
        <v>1714</v>
      </c>
      <c r="B322" s="2" t="s">
        <v>1185</v>
      </c>
      <c r="C322" s="2" t="s">
        <v>1186</v>
      </c>
      <c r="D322" s="2" t="s">
        <v>1715</v>
      </c>
      <c r="E322" s="2" t="s">
        <v>1716</v>
      </c>
      <c r="F322" s="2" t="s">
        <v>1717</v>
      </c>
      <c r="G322" s="2" t="s">
        <v>1718</v>
      </c>
      <c r="H322" s="2" t="s">
        <v>20</v>
      </c>
      <c r="I322" s="2" t="s">
        <v>1360</v>
      </c>
      <c r="J322" s="2" t="s">
        <v>1186</v>
      </c>
      <c r="K322" s="2" t="s">
        <v>1193</v>
      </c>
      <c r="L322" s="2" t="n">
        <v>2</v>
      </c>
      <c r="M322" s="2" t="n">
        <v>29</v>
      </c>
    </row>
    <row r="323" customFormat="false" ht="76.1" hidden="false" customHeight="false" outlineLevel="0" collapsed="false">
      <c r="A323" s="2" t="s">
        <v>1719</v>
      </c>
      <c r="B323" s="2" t="s">
        <v>1185</v>
      </c>
      <c r="C323" s="2" t="s">
        <v>1186</v>
      </c>
      <c r="D323" s="2" t="s">
        <v>1720</v>
      </c>
      <c r="E323" s="2" t="s">
        <v>1721</v>
      </c>
      <c r="F323" s="2" t="s">
        <v>1722</v>
      </c>
      <c r="G323" s="2" t="s">
        <v>1723</v>
      </c>
      <c r="H323" s="2" t="s">
        <v>20</v>
      </c>
      <c r="I323" s="2" t="s">
        <v>1724</v>
      </c>
      <c r="J323" s="2" t="s">
        <v>1186</v>
      </c>
      <c r="K323" s="2" t="s">
        <v>1193</v>
      </c>
      <c r="L323" s="2" t="n">
        <v>2</v>
      </c>
      <c r="M323" s="2" t="n">
        <v>29</v>
      </c>
    </row>
    <row r="324" customFormat="false" ht="76.1" hidden="false" customHeight="false" outlineLevel="0" collapsed="false">
      <c r="A324" s="2" t="s">
        <v>1725</v>
      </c>
      <c r="B324" s="2" t="s">
        <v>1185</v>
      </c>
      <c r="C324" s="2" t="s">
        <v>1186</v>
      </c>
      <c r="D324" s="2" t="s">
        <v>1726</v>
      </c>
      <c r="E324" s="2" t="s">
        <v>1727</v>
      </c>
      <c r="F324" s="2" t="s">
        <v>1728</v>
      </c>
      <c r="G324" s="2" t="s">
        <v>1729</v>
      </c>
      <c r="H324" s="2" t="s">
        <v>20</v>
      </c>
      <c r="I324" s="2" t="s">
        <v>1730</v>
      </c>
      <c r="J324" s="2" t="s">
        <v>1186</v>
      </c>
      <c r="K324" s="2" t="s">
        <v>1193</v>
      </c>
      <c r="L324" s="2" t="n">
        <v>2</v>
      </c>
      <c r="M324" s="2" t="n">
        <v>26</v>
      </c>
    </row>
    <row r="325" customFormat="false" ht="61.15" hidden="false" customHeight="false" outlineLevel="0" collapsed="false">
      <c r="A325" s="2" t="s">
        <v>1731</v>
      </c>
      <c r="B325" s="2" t="s">
        <v>1185</v>
      </c>
      <c r="C325" s="2" t="s">
        <v>1186</v>
      </c>
      <c r="D325" s="2" t="s">
        <v>1732</v>
      </c>
      <c r="E325" s="2" t="s">
        <v>1733</v>
      </c>
      <c r="F325" s="2" t="s">
        <v>1734</v>
      </c>
      <c r="G325" s="2" t="s">
        <v>1735</v>
      </c>
      <c r="H325" s="2" t="s">
        <v>20</v>
      </c>
      <c r="I325" s="2" t="s">
        <v>1736</v>
      </c>
      <c r="J325" s="2" t="s">
        <v>1186</v>
      </c>
      <c r="K325" s="2" t="s">
        <v>1193</v>
      </c>
      <c r="L325" s="2" t="n">
        <v>2</v>
      </c>
      <c r="M325" s="2" t="n">
        <v>29</v>
      </c>
    </row>
    <row r="326" customFormat="false" ht="76.1" hidden="false" customHeight="false" outlineLevel="0" collapsed="false">
      <c r="A326" s="2" t="s">
        <v>1737</v>
      </c>
      <c r="B326" s="2" t="s">
        <v>1185</v>
      </c>
      <c r="C326" s="2" t="s">
        <v>1186</v>
      </c>
      <c r="D326" s="2" t="s">
        <v>1738</v>
      </c>
      <c r="E326" s="2" t="s">
        <v>1739</v>
      </c>
      <c r="F326" s="2" t="s">
        <v>1740</v>
      </c>
      <c r="G326" s="2" t="s">
        <v>1741</v>
      </c>
      <c r="H326" s="2" t="s">
        <v>20</v>
      </c>
      <c r="I326" s="2" t="s">
        <v>1742</v>
      </c>
      <c r="J326" s="2" t="s">
        <v>1186</v>
      </c>
      <c r="K326" s="2" t="s">
        <v>1193</v>
      </c>
      <c r="L326" s="2" t="n">
        <v>3</v>
      </c>
      <c r="M326" s="2" t="n">
        <v>26</v>
      </c>
    </row>
    <row r="327" customFormat="false" ht="61.15" hidden="false" customHeight="false" outlineLevel="0" collapsed="false">
      <c r="A327" s="2" t="s">
        <v>1743</v>
      </c>
      <c r="B327" s="2" t="s">
        <v>1185</v>
      </c>
      <c r="C327" s="2" t="s">
        <v>1186</v>
      </c>
      <c r="D327" s="2" t="s">
        <v>1744</v>
      </c>
      <c r="E327" s="2" t="s">
        <v>1745</v>
      </c>
      <c r="F327" s="2" t="s">
        <v>1746</v>
      </c>
      <c r="G327" s="2" t="s">
        <v>1747</v>
      </c>
      <c r="H327" s="2" t="s">
        <v>20</v>
      </c>
      <c r="I327" s="2" t="s">
        <v>1748</v>
      </c>
      <c r="J327" s="2" t="s">
        <v>1186</v>
      </c>
      <c r="K327" s="2" t="s">
        <v>1193</v>
      </c>
      <c r="L327" s="2" t="n">
        <v>3</v>
      </c>
      <c r="M327" s="2" t="n">
        <v>29</v>
      </c>
    </row>
    <row r="328" customFormat="false" ht="76.1" hidden="false" customHeight="false" outlineLevel="0" collapsed="false">
      <c r="A328" s="2" t="s">
        <v>1749</v>
      </c>
      <c r="B328" s="2" t="s">
        <v>1185</v>
      </c>
      <c r="C328" s="2" t="s">
        <v>1186</v>
      </c>
      <c r="D328" s="2" t="s">
        <v>1750</v>
      </c>
      <c r="E328" s="2" t="s">
        <v>1751</v>
      </c>
      <c r="F328" s="2" t="s">
        <v>1752</v>
      </c>
      <c r="G328" s="2" t="s">
        <v>1753</v>
      </c>
      <c r="H328" s="2" t="s">
        <v>20</v>
      </c>
      <c r="I328" s="2" t="s">
        <v>1754</v>
      </c>
      <c r="J328" s="2" t="s">
        <v>1186</v>
      </c>
      <c r="K328" s="2" t="s">
        <v>1193</v>
      </c>
      <c r="L328" s="2" t="n">
        <v>3</v>
      </c>
      <c r="M328" s="2" t="n">
        <v>29</v>
      </c>
    </row>
    <row r="329" customFormat="false" ht="91" hidden="false" customHeight="false" outlineLevel="0" collapsed="false">
      <c r="A329" s="2" t="s">
        <v>1755</v>
      </c>
      <c r="B329" s="2" t="s">
        <v>1185</v>
      </c>
      <c r="C329" s="2" t="s">
        <v>1186</v>
      </c>
      <c r="D329" s="2" t="s">
        <v>1756</v>
      </c>
      <c r="E329" s="2" t="s">
        <v>1757</v>
      </c>
      <c r="F329" s="2" t="s">
        <v>1758</v>
      </c>
      <c r="G329" s="2" t="s">
        <v>1759</v>
      </c>
      <c r="H329" s="2" t="s">
        <v>20</v>
      </c>
      <c r="I329" s="2" t="s">
        <v>1760</v>
      </c>
      <c r="J329" s="2" t="s">
        <v>1186</v>
      </c>
      <c r="K329" s="2" t="s">
        <v>1193</v>
      </c>
      <c r="L329" s="2" t="n">
        <v>3</v>
      </c>
      <c r="M329" s="2" t="n">
        <v>25</v>
      </c>
    </row>
    <row r="330" customFormat="false" ht="46.25" hidden="false" customHeight="false" outlineLevel="0" collapsed="false">
      <c r="A330" s="2" t="s">
        <v>1761</v>
      </c>
      <c r="B330" s="2" t="s">
        <v>1185</v>
      </c>
      <c r="C330" s="2" t="s">
        <v>1762</v>
      </c>
      <c r="D330" s="2" t="s">
        <v>1763</v>
      </c>
      <c r="E330" s="2" t="s">
        <v>1764</v>
      </c>
      <c r="F330" s="2" t="s">
        <v>1765</v>
      </c>
      <c r="G330" s="2" t="s">
        <v>1766</v>
      </c>
      <c r="H330" s="2" t="s">
        <v>20</v>
      </c>
      <c r="I330" s="2" t="s">
        <v>1767</v>
      </c>
      <c r="J330" s="2" t="s">
        <v>1762</v>
      </c>
      <c r="K330" s="2" t="s">
        <v>1193</v>
      </c>
      <c r="L330" s="2" t="n">
        <v>1</v>
      </c>
      <c r="M330" s="2" t="n">
        <v>31</v>
      </c>
    </row>
    <row r="331" customFormat="false" ht="46.25" hidden="false" customHeight="false" outlineLevel="0" collapsed="false">
      <c r="A331" s="2" t="s">
        <v>1768</v>
      </c>
      <c r="B331" s="2" t="s">
        <v>1185</v>
      </c>
      <c r="C331" s="2" t="s">
        <v>1762</v>
      </c>
      <c r="D331" s="2" t="s">
        <v>1769</v>
      </c>
      <c r="E331" s="2" t="s">
        <v>1770</v>
      </c>
      <c r="F331" s="2" t="s">
        <v>1771</v>
      </c>
      <c r="G331" s="2" t="s">
        <v>1772</v>
      </c>
      <c r="H331" s="2" t="s">
        <v>20</v>
      </c>
      <c r="I331" s="2" t="s">
        <v>1773</v>
      </c>
      <c r="J331" s="2" t="s">
        <v>1774</v>
      </c>
      <c r="K331" s="2" t="s">
        <v>1193</v>
      </c>
      <c r="L331" s="2" t="n">
        <v>1</v>
      </c>
      <c r="M331" s="2" t="n">
        <v>30</v>
      </c>
    </row>
    <row r="332" customFormat="false" ht="46.25" hidden="false" customHeight="false" outlineLevel="0" collapsed="false">
      <c r="A332" s="2" t="s">
        <v>1775</v>
      </c>
      <c r="B332" s="2" t="s">
        <v>1185</v>
      </c>
      <c r="C332" s="2" t="s">
        <v>1762</v>
      </c>
      <c r="D332" s="2" t="s">
        <v>1776</v>
      </c>
      <c r="E332" s="2" t="s">
        <v>1777</v>
      </c>
      <c r="F332" s="2" t="s">
        <v>1778</v>
      </c>
      <c r="G332" s="2" t="s">
        <v>1779</v>
      </c>
      <c r="H332" s="2" t="s">
        <v>20</v>
      </c>
      <c r="I332" s="2" t="s">
        <v>1780</v>
      </c>
      <c r="J332" s="2" t="s">
        <v>1774</v>
      </c>
      <c r="K332" s="2" t="s">
        <v>1193</v>
      </c>
      <c r="L332" s="2" t="n">
        <v>1</v>
      </c>
      <c r="M332" s="2" t="n">
        <v>30</v>
      </c>
    </row>
    <row r="333" customFormat="false" ht="46.25" hidden="false" customHeight="false" outlineLevel="0" collapsed="false">
      <c r="A333" s="2" t="s">
        <v>1781</v>
      </c>
      <c r="B333" s="2" t="s">
        <v>1185</v>
      </c>
      <c r="C333" s="2" t="s">
        <v>1762</v>
      </c>
      <c r="D333" s="2" t="s">
        <v>1782</v>
      </c>
      <c r="E333" s="2" t="s">
        <v>1783</v>
      </c>
      <c r="F333" s="2" t="s">
        <v>1784</v>
      </c>
      <c r="G333" s="2" t="s">
        <v>1785</v>
      </c>
      <c r="H333" s="2" t="s">
        <v>20</v>
      </c>
      <c r="I333" s="2" t="s">
        <v>1786</v>
      </c>
      <c r="J333" s="2" t="s">
        <v>1774</v>
      </c>
      <c r="K333" s="2" t="s">
        <v>1193</v>
      </c>
      <c r="L333" s="2" t="n">
        <v>2</v>
      </c>
      <c r="M333" s="2" t="n">
        <v>30</v>
      </c>
    </row>
    <row r="334" customFormat="false" ht="46.25" hidden="false" customHeight="false" outlineLevel="0" collapsed="false">
      <c r="A334" s="2" t="s">
        <v>1787</v>
      </c>
      <c r="B334" s="2" t="s">
        <v>1185</v>
      </c>
      <c r="C334" s="2" t="s">
        <v>1762</v>
      </c>
      <c r="D334" s="2" t="s">
        <v>1788</v>
      </c>
      <c r="E334" s="2" t="s">
        <v>1789</v>
      </c>
      <c r="F334" s="2" t="s">
        <v>1790</v>
      </c>
      <c r="G334" s="2" t="s">
        <v>1791</v>
      </c>
      <c r="H334" s="2" t="s">
        <v>20</v>
      </c>
      <c r="I334" s="2" t="s">
        <v>1792</v>
      </c>
      <c r="J334" s="2" t="s">
        <v>1774</v>
      </c>
      <c r="K334" s="2" t="s">
        <v>1193</v>
      </c>
      <c r="L334" s="2" t="n">
        <v>3</v>
      </c>
      <c r="M334" s="2" t="n">
        <v>30</v>
      </c>
    </row>
    <row r="335" customFormat="false" ht="76.1" hidden="false" customHeight="false" outlineLevel="0" collapsed="false">
      <c r="A335" s="2" t="s">
        <v>1793</v>
      </c>
      <c r="B335" s="2" t="s">
        <v>1185</v>
      </c>
      <c r="C335" s="2" t="s">
        <v>1762</v>
      </c>
      <c r="D335" s="2" t="s">
        <v>1794</v>
      </c>
      <c r="E335" s="2" t="s">
        <v>1795</v>
      </c>
      <c r="F335" s="2" t="s">
        <v>1796</v>
      </c>
      <c r="G335" s="2" t="s">
        <v>1797</v>
      </c>
      <c r="H335" s="2" t="s">
        <v>20</v>
      </c>
      <c r="I335" s="2" t="s">
        <v>1798</v>
      </c>
      <c r="J335" s="2" t="s">
        <v>1774</v>
      </c>
      <c r="K335" s="2" t="s">
        <v>1193</v>
      </c>
      <c r="L335" s="2" t="n">
        <v>3</v>
      </c>
      <c r="M335" s="2" t="n">
        <v>30</v>
      </c>
    </row>
    <row r="336" customFormat="false" ht="61.15" hidden="false" customHeight="false" outlineLevel="0" collapsed="false">
      <c r="A336" s="2" t="s">
        <v>1799</v>
      </c>
      <c r="B336" s="2" t="s">
        <v>1185</v>
      </c>
      <c r="C336" s="2" t="s">
        <v>1762</v>
      </c>
      <c r="D336" s="2" t="s">
        <v>1800</v>
      </c>
      <c r="E336" s="2" t="s">
        <v>1801</v>
      </c>
      <c r="F336" s="2" t="s">
        <v>1802</v>
      </c>
      <c r="G336" s="2" t="s">
        <v>1803</v>
      </c>
      <c r="H336" s="2" t="s">
        <v>20</v>
      </c>
      <c r="I336" s="2" t="s">
        <v>1804</v>
      </c>
      <c r="J336" s="2" t="s">
        <v>1774</v>
      </c>
      <c r="K336" s="2" t="s">
        <v>1193</v>
      </c>
      <c r="L336" s="2" t="n">
        <v>3</v>
      </c>
      <c r="M336" s="2" t="n">
        <v>30</v>
      </c>
    </row>
    <row r="337" customFormat="false" ht="61.15" hidden="false" customHeight="false" outlineLevel="0" collapsed="false">
      <c r="A337" s="2" t="s">
        <v>1805</v>
      </c>
      <c r="B337" s="2" t="s">
        <v>1185</v>
      </c>
      <c r="C337" s="2" t="s">
        <v>1762</v>
      </c>
      <c r="D337" s="2" t="s">
        <v>1806</v>
      </c>
      <c r="E337" s="2" t="s">
        <v>1807</v>
      </c>
      <c r="F337" s="2" t="s">
        <v>1808</v>
      </c>
      <c r="G337" s="2" t="s">
        <v>1809</v>
      </c>
      <c r="H337" s="2" t="s">
        <v>20</v>
      </c>
      <c r="I337" s="2" t="s">
        <v>1810</v>
      </c>
      <c r="J337" s="2" t="s">
        <v>1774</v>
      </c>
      <c r="K337" s="2" t="s">
        <v>1193</v>
      </c>
      <c r="L337" s="2" t="n">
        <v>2</v>
      </c>
      <c r="M337" s="2" t="n">
        <v>30</v>
      </c>
    </row>
    <row r="338" customFormat="false" ht="61.15" hidden="false" customHeight="false" outlineLevel="0" collapsed="false">
      <c r="A338" s="2" t="s">
        <v>1811</v>
      </c>
      <c r="B338" s="2" t="s">
        <v>1185</v>
      </c>
      <c r="C338" s="2" t="s">
        <v>1762</v>
      </c>
      <c r="D338" s="2" t="s">
        <v>1812</v>
      </c>
      <c r="E338" s="2" t="s">
        <v>1813</v>
      </c>
      <c r="F338" s="2" t="s">
        <v>1814</v>
      </c>
      <c r="G338" s="2" t="s">
        <v>1815</v>
      </c>
      <c r="H338" s="2" t="s">
        <v>20</v>
      </c>
      <c r="I338" s="2" t="s">
        <v>1816</v>
      </c>
      <c r="J338" s="2" t="s">
        <v>1774</v>
      </c>
      <c r="K338" s="2" t="s">
        <v>1193</v>
      </c>
      <c r="L338" s="2" t="n">
        <v>3</v>
      </c>
      <c r="M338" s="2" t="n">
        <v>30</v>
      </c>
    </row>
    <row r="339" customFormat="false" ht="46.25" hidden="false" customHeight="false" outlineLevel="0" collapsed="false">
      <c r="A339" s="2" t="s">
        <v>1817</v>
      </c>
      <c r="B339" s="2" t="s">
        <v>1185</v>
      </c>
      <c r="C339" s="2" t="s">
        <v>1762</v>
      </c>
      <c r="D339" s="2" t="s">
        <v>1818</v>
      </c>
      <c r="E339" s="2" t="s">
        <v>1408</v>
      </c>
      <c r="F339" s="2" t="s">
        <v>1819</v>
      </c>
      <c r="G339" s="2" t="s">
        <v>1820</v>
      </c>
      <c r="H339" s="2" t="s">
        <v>20</v>
      </c>
      <c r="I339" s="2" t="s">
        <v>1821</v>
      </c>
      <c r="J339" s="2" t="s">
        <v>1774</v>
      </c>
      <c r="K339" s="2" t="s">
        <v>1193</v>
      </c>
      <c r="L339" s="2" t="n">
        <v>2</v>
      </c>
      <c r="M339" s="2" t="n">
        <v>30</v>
      </c>
    </row>
    <row r="340" customFormat="false" ht="61.15" hidden="false" customHeight="false" outlineLevel="0" collapsed="false">
      <c r="A340" s="2" t="s">
        <v>1822</v>
      </c>
      <c r="B340" s="2" t="s">
        <v>1185</v>
      </c>
      <c r="C340" s="2" t="s">
        <v>1762</v>
      </c>
      <c r="D340" s="2" t="s">
        <v>1823</v>
      </c>
      <c r="E340" s="2" t="s">
        <v>1824</v>
      </c>
      <c r="F340" s="2" t="s">
        <v>1825</v>
      </c>
      <c r="G340" s="2" t="s">
        <v>1826</v>
      </c>
      <c r="H340" s="2" t="s">
        <v>20</v>
      </c>
      <c r="I340" s="2" t="s">
        <v>1827</v>
      </c>
      <c r="J340" s="2" t="s">
        <v>1828</v>
      </c>
      <c r="K340" s="2" t="s">
        <v>1193</v>
      </c>
      <c r="L340" s="2" t="n">
        <v>1</v>
      </c>
      <c r="M340" s="2" t="n">
        <v>31</v>
      </c>
    </row>
    <row r="341" customFormat="false" ht="91" hidden="false" customHeight="false" outlineLevel="0" collapsed="false">
      <c r="A341" s="2" t="s">
        <v>1829</v>
      </c>
      <c r="B341" s="2" t="s">
        <v>1185</v>
      </c>
      <c r="C341" s="2" t="s">
        <v>1762</v>
      </c>
      <c r="D341" s="2" t="s">
        <v>1830</v>
      </c>
      <c r="E341" s="2" t="s">
        <v>1831</v>
      </c>
      <c r="F341" s="2" t="s">
        <v>1832</v>
      </c>
      <c r="G341" s="2" t="s">
        <v>1833</v>
      </c>
      <c r="H341" s="2" t="s">
        <v>20</v>
      </c>
      <c r="I341" s="2" t="s">
        <v>1834</v>
      </c>
      <c r="J341" s="2" t="s">
        <v>1828</v>
      </c>
      <c r="K341" s="2" t="s">
        <v>1193</v>
      </c>
      <c r="L341" s="2" t="n">
        <v>3</v>
      </c>
      <c r="M341" s="2" t="n">
        <v>31</v>
      </c>
    </row>
    <row r="342" customFormat="false" ht="61.15" hidden="false" customHeight="false" outlineLevel="0" collapsed="false">
      <c r="A342" s="2" t="s">
        <v>1835</v>
      </c>
      <c r="B342" s="2" t="s">
        <v>1185</v>
      </c>
      <c r="C342" s="2" t="s">
        <v>1762</v>
      </c>
      <c r="D342" s="2" t="s">
        <v>1836</v>
      </c>
      <c r="E342" s="2" t="s">
        <v>1837</v>
      </c>
      <c r="F342" s="2" t="s">
        <v>1838</v>
      </c>
      <c r="G342" s="2" t="s">
        <v>1839</v>
      </c>
      <c r="H342" s="2" t="s">
        <v>20</v>
      </c>
      <c r="I342" s="2" t="s">
        <v>1840</v>
      </c>
      <c r="J342" s="2" t="s">
        <v>1828</v>
      </c>
      <c r="K342" s="2" t="s">
        <v>1193</v>
      </c>
      <c r="L342" s="2" t="n">
        <v>2</v>
      </c>
      <c r="M342" s="2" t="n">
        <v>31</v>
      </c>
    </row>
    <row r="343" customFormat="false" ht="61.15" hidden="false" customHeight="false" outlineLevel="0" collapsed="false">
      <c r="A343" s="2" t="s">
        <v>1841</v>
      </c>
      <c r="B343" s="2" t="s">
        <v>1185</v>
      </c>
      <c r="C343" s="2" t="s">
        <v>1762</v>
      </c>
      <c r="D343" s="2" t="s">
        <v>1842</v>
      </c>
      <c r="E343" s="2" t="s">
        <v>1843</v>
      </c>
      <c r="F343" s="2" t="s">
        <v>1844</v>
      </c>
      <c r="G343" s="2" t="s">
        <v>1845</v>
      </c>
      <c r="H343" s="2" t="s">
        <v>20</v>
      </c>
      <c r="I343" s="2" t="s">
        <v>1846</v>
      </c>
      <c r="J343" s="2" t="s">
        <v>1847</v>
      </c>
      <c r="K343" s="2" t="s">
        <v>1193</v>
      </c>
      <c r="L343" s="2" t="n">
        <v>2</v>
      </c>
      <c r="M343" s="2" t="n">
        <v>31</v>
      </c>
    </row>
    <row r="344" customFormat="false" ht="61.15" hidden="false" customHeight="false" outlineLevel="0" collapsed="false">
      <c r="A344" s="2" t="s">
        <v>1848</v>
      </c>
      <c r="B344" s="2" t="s">
        <v>1185</v>
      </c>
      <c r="C344" s="2" t="s">
        <v>1762</v>
      </c>
      <c r="D344" s="2" t="s">
        <v>1849</v>
      </c>
      <c r="E344" s="2" t="s">
        <v>1850</v>
      </c>
      <c r="F344" s="2" t="s">
        <v>1851</v>
      </c>
      <c r="G344" s="2" t="s">
        <v>1852</v>
      </c>
      <c r="H344" s="2" t="s">
        <v>20</v>
      </c>
      <c r="I344" s="2" t="s">
        <v>1853</v>
      </c>
      <c r="J344" s="2" t="s">
        <v>1854</v>
      </c>
      <c r="K344" s="2" t="s">
        <v>1193</v>
      </c>
      <c r="L344" s="2" t="n">
        <v>2</v>
      </c>
      <c r="M344" s="2" t="n">
        <v>31</v>
      </c>
    </row>
    <row r="345" customFormat="false" ht="105.95" hidden="false" customHeight="false" outlineLevel="0" collapsed="false">
      <c r="A345" s="2" t="s">
        <v>1855</v>
      </c>
      <c r="B345" s="2" t="s">
        <v>1185</v>
      </c>
      <c r="C345" s="2" t="s">
        <v>1762</v>
      </c>
      <c r="D345" s="2" t="s">
        <v>1856</v>
      </c>
      <c r="E345" s="2" t="s">
        <v>1857</v>
      </c>
      <c r="F345" s="2" t="s">
        <v>1858</v>
      </c>
      <c r="G345" s="2" t="s">
        <v>1859</v>
      </c>
      <c r="H345" s="2" t="s">
        <v>20</v>
      </c>
      <c r="I345" s="2" t="s">
        <v>1860</v>
      </c>
      <c r="J345" s="2" t="s">
        <v>1774</v>
      </c>
      <c r="K345" s="2" t="s">
        <v>1193</v>
      </c>
      <c r="L345" s="2" t="n">
        <v>2</v>
      </c>
      <c r="M345" s="2" t="n">
        <v>30</v>
      </c>
    </row>
    <row r="346" customFormat="false" ht="46.25" hidden="false" customHeight="false" outlineLevel="0" collapsed="false">
      <c r="A346" s="2" t="s">
        <v>1861</v>
      </c>
      <c r="B346" s="2" t="s">
        <v>1185</v>
      </c>
      <c r="C346" s="2" t="s">
        <v>1762</v>
      </c>
      <c r="D346" s="2" t="s">
        <v>1862</v>
      </c>
      <c r="E346" s="2" t="s">
        <v>1863</v>
      </c>
      <c r="F346" s="2" t="s">
        <v>1864</v>
      </c>
      <c r="G346" s="2" t="s">
        <v>1865</v>
      </c>
      <c r="H346" s="2" t="s">
        <v>20</v>
      </c>
      <c r="I346" s="2" t="s">
        <v>1866</v>
      </c>
      <c r="J346" s="2" t="s">
        <v>1762</v>
      </c>
      <c r="K346" s="2" t="s">
        <v>1193</v>
      </c>
      <c r="L346" s="2" t="n">
        <v>1</v>
      </c>
      <c r="M346" s="2" t="n">
        <v>31</v>
      </c>
    </row>
    <row r="347" customFormat="false" ht="61.15" hidden="false" customHeight="false" outlineLevel="0" collapsed="false">
      <c r="A347" s="2" t="s">
        <v>1867</v>
      </c>
      <c r="B347" s="2" t="s">
        <v>1185</v>
      </c>
      <c r="C347" s="2" t="s">
        <v>1762</v>
      </c>
      <c r="D347" s="2" t="s">
        <v>1868</v>
      </c>
      <c r="E347" s="2" t="s">
        <v>1869</v>
      </c>
      <c r="F347" s="2" t="s">
        <v>1870</v>
      </c>
      <c r="G347" s="2" t="s">
        <v>1871</v>
      </c>
      <c r="H347" s="2" t="s">
        <v>20</v>
      </c>
      <c r="I347" s="2" t="s">
        <v>1872</v>
      </c>
      <c r="J347" s="2" t="s">
        <v>1762</v>
      </c>
      <c r="K347" s="2" t="s">
        <v>1193</v>
      </c>
      <c r="L347" s="2" t="n">
        <v>2</v>
      </c>
      <c r="M347" s="2" t="n">
        <v>30</v>
      </c>
    </row>
    <row r="348" customFormat="false" ht="46.25" hidden="false" customHeight="false" outlineLevel="0" collapsed="false">
      <c r="A348" s="2" t="s">
        <v>1873</v>
      </c>
      <c r="B348" s="2" t="s">
        <v>1185</v>
      </c>
      <c r="C348" s="2" t="s">
        <v>1762</v>
      </c>
      <c r="D348" s="2" t="s">
        <v>1874</v>
      </c>
      <c r="E348" s="2" t="s">
        <v>1875</v>
      </c>
      <c r="F348" s="2" t="s">
        <v>1876</v>
      </c>
      <c r="G348" s="2" t="s">
        <v>1877</v>
      </c>
      <c r="H348" s="2" t="s">
        <v>20</v>
      </c>
      <c r="I348" s="2" t="s">
        <v>1878</v>
      </c>
      <c r="J348" s="2" t="s">
        <v>1762</v>
      </c>
      <c r="K348" s="2" t="s">
        <v>1193</v>
      </c>
      <c r="L348" s="2" t="n">
        <v>2</v>
      </c>
      <c r="M348" s="2" t="n">
        <v>30</v>
      </c>
    </row>
    <row r="349" customFormat="false" ht="61.15" hidden="false" customHeight="false" outlineLevel="0" collapsed="false">
      <c r="A349" s="2" t="s">
        <v>1879</v>
      </c>
      <c r="B349" s="2" t="s">
        <v>1185</v>
      </c>
      <c r="C349" s="2" t="s">
        <v>1762</v>
      </c>
      <c r="D349" s="2" t="s">
        <v>1880</v>
      </c>
      <c r="E349" s="2" t="s">
        <v>1881</v>
      </c>
      <c r="F349" s="2" t="s">
        <v>1882</v>
      </c>
      <c r="G349" s="2" t="s">
        <v>1883</v>
      </c>
      <c r="H349" s="2" t="s">
        <v>20</v>
      </c>
      <c r="I349" s="2" t="s">
        <v>1884</v>
      </c>
      <c r="J349" s="2" t="s">
        <v>1762</v>
      </c>
      <c r="K349" s="2" t="s">
        <v>1193</v>
      </c>
      <c r="L349" s="2" t="n">
        <v>1</v>
      </c>
      <c r="M349" s="2" t="n">
        <v>31</v>
      </c>
    </row>
    <row r="350" customFormat="false" ht="46.25" hidden="false" customHeight="false" outlineLevel="0" collapsed="false">
      <c r="A350" s="2" t="s">
        <v>1885</v>
      </c>
      <c r="B350" s="2" t="s">
        <v>1185</v>
      </c>
      <c r="C350" s="2" t="s">
        <v>1762</v>
      </c>
      <c r="D350" s="2" t="s">
        <v>1886</v>
      </c>
      <c r="E350" s="2" t="s">
        <v>1887</v>
      </c>
      <c r="F350" s="2" t="s">
        <v>1888</v>
      </c>
      <c r="G350" s="2" t="s">
        <v>1889</v>
      </c>
      <c r="H350" s="2" t="s">
        <v>20</v>
      </c>
      <c r="I350" s="2" t="s">
        <v>1890</v>
      </c>
      <c r="J350" s="2" t="s">
        <v>1762</v>
      </c>
      <c r="K350" s="2" t="s">
        <v>1193</v>
      </c>
      <c r="L350" s="2" t="n">
        <v>1</v>
      </c>
      <c r="M350" s="2" t="n">
        <v>31</v>
      </c>
    </row>
    <row r="351" customFormat="false" ht="61.15" hidden="false" customHeight="false" outlineLevel="0" collapsed="false">
      <c r="A351" s="2" t="s">
        <v>1891</v>
      </c>
      <c r="B351" s="2" t="s">
        <v>1185</v>
      </c>
      <c r="C351" s="2" t="s">
        <v>1762</v>
      </c>
      <c r="D351" s="2" t="s">
        <v>1892</v>
      </c>
      <c r="E351" s="2" t="s">
        <v>1893</v>
      </c>
      <c r="F351" s="2" t="s">
        <v>1894</v>
      </c>
      <c r="G351" s="2" t="s">
        <v>1895</v>
      </c>
      <c r="H351" s="2" t="s">
        <v>20</v>
      </c>
      <c r="I351" s="2" t="s">
        <v>1896</v>
      </c>
      <c r="J351" s="2" t="s">
        <v>1762</v>
      </c>
      <c r="K351" s="2" t="s">
        <v>1193</v>
      </c>
      <c r="L351" s="2" t="n">
        <v>2</v>
      </c>
      <c r="M351" s="2" t="n">
        <v>31</v>
      </c>
    </row>
    <row r="352" customFormat="false" ht="46.25" hidden="false" customHeight="false" outlineLevel="0" collapsed="false">
      <c r="A352" s="2" t="s">
        <v>1897</v>
      </c>
      <c r="B352" s="2" t="s">
        <v>1185</v>
      </c>
      <c r="C352" s="2" t="s">
        <v>1762</v>
      </c>
      <c r="D352" s="2" t="s">
        <v>1898</v>
      </c>
      <c r="E352" s="2" t="s">
        <v>1899</v>
      </c>
      <c r="F352" s="2" t="s">
        <v>1900</v>
      </c>
      <c r="G352" s="2" t="s">
        <v>1901</v>
      </c>
      <c r="H352" s="2" t="s">
        <v>20</v>
      </c>
      <c r="I352" s="2" t="s">
        <v>1902</v>
      </c>
      <c r="J352" s="2" t="s">
        <v>1762</v>
      </c>
      <c r="K352" s="2" t="s">
        <v>1193</v>
      </c>
      <c r="L352" s="2" t="n">
        <v>2</v>
      </c>
      <c r="M352" s="2" t="n">
        <v>31</v>
      </c>
    </row>
    <row r="353" customFormat="false" ht="46.25" hidden="false" customHeight="false" outlineLevel="0" collapsed="false">
      <c r="A353" s="2" t="s">
        <v>1903</v>
      </c>
      <c r="B353" s="2" t="s">
        <v>1185</v>
      </c>
      <c r="C353" s="2" t="s">
        <v>1762</v>
      </c>
      <c r="D353" s="2" t="s">
        <v>1904</v>
      </c>
      <c r="E353" s="2" t="s">
        <v>1905</v>
      </c>
      <c r="F353" s="2" t="s">
        <v>1906</v>
      </c>
      <c r="G353" s="2" t="s">
        <v>1907</v>
      </c>
      <c r="H353" s="2" t="s">
        <v>20</v>
      </c>
      <c r="I353" s="2" t="s">
        <v>1908</v>
      </c>
      <c r="J353" s="2" t="s">
        <v>1762</v>
      </c>
      <c r="K353" s="2" t="s">
        <v>1193</v>
      </c>
      <c r="L353" s="2" t="n">
        <v>2</v>
      </c>
      <c r="M353" s="2" t="n">
        <v>31</v>
      </c>
    </row>
    <row r="354" customFormat="false" ht="46.25" hidden="false" customHeight="false" outlineLevel="0" collapsed="false">
      <c r="A354" s="2" t="s">
        <v>1909</v>
      </c>
      <c r="B354" s="2" t="s">
        <v>1185</v>
      </c>
      <c r="C354" s="2" t="s">
        <v>1762</v>
      </c>
      <c r="D354" s="2" t="s">
        <v>1910</v>
      </c>
      <c r="E354" s="2" t="s">
        <v>1911</v>
      </c>
      <c r="F354" s="2" t="s">
        <v>1912</v>
      </c>
      <c r="G354" s="2" t="s">
        <v>1913</v>
      </c>
      <c r="H354" s="2" t="s">
        <v>20</v>
      </c>
      <c r="I354" s="2" t="s">
        <v>1914</v>
      </c>
      <c r="J354" s="2" t="s">
        <v>1762</v>
      </c>
      <c r="K354" s="2" t="s">
        <v>1193</v>
      </c>
      <c r="L354" s="2" t="n">
        <v>1</v>
      </c>
      <c r="M354" s="2" t="n">
        <v>31</v>
      </c>
    </row>
    <row r="355" customFormat="false" ht="61.15" hidden="false" customHeight="false" outlineLevel="0" collapsed="false">
      <c r="A355" s="2" t="s">
        <v>1915</v>
      </c>
      <c r="B355" s="2" t="s">
        <v>1185</v>
      </c>
      <c r="C355" s="2" t="s">
        <v>1762</v>
      </c>
      <c r="D355" s="2" t="s">
        <v>1916</v>
      </c>
      <c r="E355" s="2" t="s">
        <v>1917</v>
      </c>
      <c r="F355" s="2" t="s">
        <v>1918</v>
      </c>
      <c r="G355" s="2" t="s">
        <v>1919</v>
      </c>
      <c r="H355" s="2" t="s">
        <v>20</v>
      </c>
      <c r="I355" s="2" t="s">
        <v>1920</v>
      </c>
      <c r="J355" s="2" t="s">
        <v>1762</v>
      </c>
      <c r="K355" s="2" t="s">
        <v>1193</v>
      </c>
      <c r="L355" s="2" t="n">
        <v>2</v>
      </c>
      <c r="M355" s="2" t="n">
        <v>30</v>
      </c>
    </row>
    <row r="356" customFormat="false" ht="76.1" hidden="false" customHeight="false" outlineLevel="0" collapsed="false">
      <c r="A356" s="2" t="s">
        <v>1921</v>
      </c>
      <c r="B356" s="2" t="s">
        <v>1185</v>
      </c>
      <c r="C356" s="2" t="s">
        <v>1762</v>
      </c>
      <c r="D356" s="2" t="s">
        <v>1922</v>
      </c>
      <c r="E356" s="2" t="s">
        <v>1923</v>
      </c>
      <c r="F356" s="2" t="s">
        <v>1924</v>
      </c>
      <c r="G356" s="2" t="s">
        <v>1925</v>
      </c>
      <c r="H356" s="2" t="s">
        <v>20</v>
      </c>
      <c r="I356" s="2" t="s">
        <v>1926</v>
      </c>
      <c r="J356" s="2" t="s">
        <v>1927</v>
      </c>
      <c r="K356" s="2" t="s">
        <v>1193</v>
      </c>
      <c r="L356" s="2" t="n">
        <v>2</v>
      </c>
      <c r="M356" s="2" t="n">
        <v>30</v>
      </c>
    </row>
    <row r="357" customFormat="false" ht="61.15" hidden="false" customHeight="false" outlineLevel="0" collapsed="false">
      <c r="A357" s="2" t="s">
        <v>1928</v>
      </c>
      <c r="B357" s="2" t="s">
        <v>1185</v>
      </c>
      <c r="C357" s="2" t="s">
        <v>1762</v>
      </c>
      <c r="D357" s="2" t="s">
        <v>1929</v>
      </c>
      <c r="E357" s="2" t="s">
        <v>1930</v>
      </c>
      <c r="F357" s="2" t="s">
        <v>1931</v>
      </c>
      <c r="G357" s="2" t="s">
        <v>1932</v>
      </c>
      <c r="H357" s="2" t="s">
        <v>20</v>
      </c>
      <c r="I357" s="2" t="s">
        <v>1933</v>
      </c>
      <c r="J357" s="2" t="s">
        <v>1762</v>
      </c>
      <c r="K357" s="2" t="s">
        <v>1193</v>
      </c>
      <c r="L357" s="2" t="n">
        <v>2</v>
      </c>
      <c r="M357" s="2" t="n">
        <v>30</v>
      </c>
    </row>
    <row r="358" customFormat="false" ht="61.15" hidden="false" customHeight="false" outlineLevel="0" collapsed="false">
      <c r="A358" s="2" t="s">
        <v>1934</v>
      </c>
      <c r="B358" s="2" t="s">
        <v>1185</v>
      </c>
      <c r="C358" s="2" t="s">
        <v>1762</v>
      </c>
      <c r="D358" s="2" t="s">
        <v>1935</v>
      </c>
      <c r="E358" s="2" t="s">
        <v>1936</v>
      </c>
      <c r="F358" s="2" t="s">
        <v>1937</v>
      </c>
      <c r="G358" s="2" t="s">
        <v>1938</v>
      </c>
      <c r="H358" s="2" t="s">
        <v>20</v>
      </c>
      <c r="I358" s="2" t="s">
        <v>1939</v>
      </c>
      <c r="J358" s="2" t="s">
        <v>1762</v>
      </c>
      <c r="K358" s="2" t="s">
        <v>1193</v>
      </c>
      <c r="L358" s="2" t="n">
        <v>3</v>
      </c>
      <c r="M358" s="2" t="n">
        <v>30</v>
      </c>
    </row>
    <row r="359" customFormat="false" ht="76.1" hidden="false" customHeight="false" outlineLevel="0" collapsed="false">
      <c r="A359" s="2" t="s">
        <v>1940</v>
      </c>
      <c r="B359" s="2" t="s">
        <v>1185</v>
      </c>
      <c r="C359" s="2" t="s">
        <v>1762</v>
      </c>
      <c r="D359" s="2" t="s">
        <v>1941</v>
      </c>
      <c r="E359" s="2" t="s">
        <v>1942</v>
      </c>
      <c r="F359" s="2" t="s">
        <v>1943</v>
      </c>
      <c r="G359" s="2" t="s">
        <v>1944</v>
      </c>
      <c r="H359" s="2" t="s">
        <v>20</v>
      </c>
      <c r="I359" s="2" t="s">
        <v>1945</v>
      </c>
      <c r="J359" s="2" t="s">
        <v>1762</v>
      </c>
      <c r="K359" s="2" t="s">
        <v>1193</v>
      </c>
      <c r="L359" s="2" t="n">
        <v>3</v>
      </c>
      <c r="M359" s="2" t="n">
        <v>30</v>
      </c>
    </row>
    <row r="360" customFormat="false" ht="61.15" hidden="false" customHeight="false" outlineLevel="0" collapsed="false">
      <c r="A360" s="2" t="s">
        <v>1946</v>
      </c>
      <c r="B360" s="2" t="s">
        <v>1185</v>
      </c>
      <c r="C360" s="2" t="s">
        <v>1762</v>
      </c>
      <c r="D360" s="2" t="s">
        <v>1947</v>
      </c>
      <c r="E360" s="2" t="s">
        <v>1948</v>
      </c>
      <c r="F360" s="2" t="s">
        <v>1949</v>
      </c>
      <c r="G360" s="2" t="s">
        <v>1950</v>
      </c>
      <c r="H360" s="2" t="s">
        <v>20</v>
      </c>
      <c r="I360" s="2" t="s">
        <v>1951</v>
      </c>
      <c r="J360" s="2" t="s">
        <v>1762</v>
      </c>
      <c r="K360" s="2" t="s">
        <v>1193</v>
      </c>
      <c r="L360" s="2" t="n">
        <v>3</v>
      </c>
      <c r="M360" s="2" t="n">
        <v>31</v>
      </c>
    </row>
    <row r="361" customFormat="false" ht="91" hidden="false" customHeight="false" outlineLevel="0" collapsed="false">
      <c r="A361" s="2" t="s">
        <v>1952</v>
      </c>
      <c r="B361" s="2" t="s">
        <v>1185</v>
      </c>
      <c r="C361" s="2" t="s">
        <v>1762</v>
      </c>
      <c r="D361" s="2" t="s">
        <v>1953</v>
      </c>
      <c r="E361" s="2" t="s">
        <v>1954</v>
      </c>
      <c r="F361" s="2" t="s">
        <v>1955</v>
      </c>
      <c r="G361" s="2" t="s">
        <v>1956</v>
      </c>
      <c r="H361" s="2" t="s">
        <v>20</v>
      </c>
      <c r="I361" s="2" t="s">
        <v>1957</v>
      </c>
      <c r="J361" s="2" t="s">
        <v>1762</v>
      </c>
      <c r="K361" s="2" t="s">
        <v>1193</v>
      </c>
      <c r="L361" s="2" t="n">
        <v>3</v>
      </c>
      <c r="M361" s="2" t="n">
        <v>30</v>
      </c>
    </row>
    <row r="362" customFormat="false" ht="76.1" hidden="false" customHeight="false" outlineLevel="0" collapsed="false">
      <c r="A362" s="2" t="s">
        <v>1958</v>
      </c>
      <c r="B362" s="2" t="s">
        <v>1185</v>
      </c>
      <c r="C362" s="2" t="s">
        <v>1959</v>
      </c>
      <c r="D362" s="2" t="s">
        <v>1960</v>
      </c>
      <c r="E362" s="2" t="s">
        <v>1961</v>
      </c>
      <c r="F362" s="2" t="s">
        <v>1962</v>
      </c>
      <c r="G362" s="2" t="s">
        <v>1963</v>
      </c>
      <c r="H362" s="2" t="s">
        <v>20</v>
      </c>
      <c r="I362" s="2" t="s">
        <v>1964</v>
      </c>
      <c r="J362" s="2" t="s">
        <v>1959</v>
      </c>
      <c r="K362" s="2" t="s">
        <v>1193</v>
      </c>
      <c r="L362" s="2" t="n">
        <v>4</v>
      </c>
      <c r="M362" s="2" t="n">
        <v>35</v>
      </c>
    </row>
    <row r="363" customFormat="false" ht="46.25" hidden="false" customHeight="false" outlineLevel="0" collapsed="false">
      <c r="A363" s="2" t="s">
        <v>1965</v>
      </c>
      <c r="B363" s="2" t="s">
        <v>1185</v>
      </c>
      <c r="C363" s="2" t="s">
        <v>1959</v>
      </c>
      <c r="D363" s="2" t="s">
        <v>1966</v>
      </c>
      <c r="E363" s="2" t="s">
        <v>1967</v>
      </c>
      <c r="F363" s="2" t="s">
        <v>1968</v>
      </c>
      <c r="G363" s="2" t="s">
        <v>1969</v>
      </c>
      <c r="H363" s="2" t="s">
        <v>226</v>
      </c>
      <c r="I363" s="2" t="s">
        <v>1970</v>
      </c>
      <c r="J363" s="2" t="s">
        <v>1959</v>
      </c>
      <c r="K363" s="2" t="s">
        <v>1193</v>
      </c>
      <c r="L363" s="2" t="n">
        <v>2</v>
      </c>
      <c r="M363" s="2" t="n">
        <v>34</v>
      </c>
    </row>
    <row r="364" customFormat="false" ht="76.1" hidden="false" customHeight="false" outlineLevel="0" collapsed="false">
      <c r="A364" s="2" t="s">
        <v>1971</v>
      </c>
      <c r="B364" s="2" t="s">
        <v>1185</v>
      </c>
      <c r="C364" s="2" t="s">
        <v>1959</v>
      </c>
      <c r="D364" s="2" t="s">
        <v>1972</v>
      </c>
      <c r="E364" s="2" t="s">
        <v>1973</v>
      </c>
      <c r="F364" s="2" t="s">
        <v>1974</v>
      </c>
      <c r="G364" s="2" t="s">
        <v>1975</v>
      </c>
      <c r="H364" s="2" t="s">
        <v>28</v>
      </c>
      <c r="I364" s="2" t="s">
        <v>1976</v>
      </c>
      <c r="J364" s="2" t="s">
        <v>1977</v>
      </c>
      <c r="K364" s="2" t="s">
        <v>1193</v>
      </c>
      <c r="L364" s="2" t="n">
        <v>4</v>
      </c>
      <c r="M364" s="2" t="n">
        <v>35</v>
      </c>
    </row>
    <row r="365" customFormat="false" ht="61.15" hidden="false" customHeight="false" outlineLevel="0" collapsed="false">
      <c r="A365" s="2" t="s">
        <v>1978</v>
      </c>
      <c r="B365" s="2" t="s">
        <v>1185</v>
      </c>
      <c r="C365" s="2" t="s">
        <v>1959</v>
      </c>
      <c r="D365" s="2" t="s">
        <v>1979</v>
      </c>
      <c r="E365" s="2" t="s">
        <v>1980</v>
      </c>
      <c r="F365" s="2" t="s">
        <v>1981</v>
      </c>
      <c r="G365" s="2" t="s">
        <v>1982</v>
      </c>
      <c r="H365" s="2" t="s">
        <v>20</v>
      </c>
      <c r="I365" s="2" t="s">
        <v>1983</v>
      </c>
      <c r="J365" s="2" t="s">
        <v>1959</v>
      </c>
      <c r="K365" s="2" t="s">
        <v>1193</v>
      </c>
      <c r="L365" s="2" t="n">
        <v>3</v>
      </c>
      <c r="M365" s="2" t="n">
        <v>34</v>
      </c>
    </row>
    <row r="366" customFormat="false" ht="61.15" hidden="false" customHeight="false" outlineLevel="0" collapsed="false">
      <c r="A366" s="2" t="s">
        <v>1984</v>
      </c>
      <c r="B366" s="2" t="s">
        <v>1185</v>
      </c>
      <c r="C366" s="2" t="s">
        <v>1959</v>
      </c>
      <c r="D366" s="2" t="s">
        <v>1985</v>
      </c>
      <c r="E366" s="2" t="s">
        <v>1986</v>
      </c>
      <c r="F366" s="2" t="s">
        <v>1987</v>
      </c>
      <c r="G366" s="2" t="s">
        <v>1988</v>
      </c>
      <c r="H366" s="2" t="s">
        <v>226</v>
      </c>
      <c r="I366" s="2" t="s">
        <v>1989</v>
      </c>
      <c r="J366" s="2" t="s">
        <v>1959</v>
      </c>
      <c r="K366" s="2" t="s">
        <v>1193</v>
      </c>
      <c r="L366" s="2" t="n">
        <v>3</v>
      </c>
      <c r="M366" s="2" t="n">
        <v>34</v>
      </c>
    </row>
    <row r="367" customFormat="false" ht="61.15" hidden="false" customHeight="false" outlineLevel="0" collapsed="false">
      <c r="A367" s="2" t="s">
        <v>1990</v>
      </c>
      <c r="B367" s="2" t="s">
        <v>1185</v>
      </c>
      <c r="C367" s="2" t="s">
        <v>1959</v>
      </c>
      <c r="D367" s="2" t="s">
        <v>1991</v>
      </c>
      <c r="E367" s="2" t="s">
        <v>1992</v>
      </c>
      <c r="F367" s="2" t="s">
        <v>1993</v>
      </c>
      <c r="G367" s="2" t="s">
        <v>1994</v>
      </c>
      <c r="H367" s="2" t="s">
        <v>28</v>
      </c>
      <c r="I367" s="2" t="s">
        <v>1995</v>
      </c>
      <c r="J367" s="2" t="s">
        <v>1977</v>
      </c>
      <c r="K367" s="2" t="s">
        <v>1193</v>
      </c>
      <c r="L367" s="2" t="n">
        <v>2</v>
      </c>
      <c r="M367" s="2" t="n">
        <v>35</v>
      </c>
    </row>
    <row r="368" customFormat="false" ht="46.25" hidden="false" customHeight="false" outlineLevel="0" collapsed="false">
      <c r="A368" s="2" t="s">
        <v>1996</v>
      </c>
      <c r="B368" s="2" t="s">
        <v>1185</v>
      </c>
      <c r="C368" s="2" t="s">
        <v>1959</v>
      </c>
      <c r="D368" s="2" t="s">
        <v>1997</v>
      </c>
      <c r="E368" s="2" t="s">
        <v>1998</v>
      </c>
      <c r="F368" s="2" t="s">
        <v>1999</v>
      </c>
      <c r="G368" s="2" t="s">
        <v>2000</v>
      </c>
      <c r="H368" s="2" t="s">
        <v>20</v>
      </c>
      <c r="I368" s="2" t="s">
        <v>2001</v>
      </c>
      <c r="J368" s="2" t="s">
        <v>1959</v>
      </c>
      <c r="K368" s="2" t="s">
        <v>1193</v>
      </c>
      <c r="L368" s="2" t="n">
        <v>1</v>
      </c>
      <c r="M368" s="2" t="n">
        <v>32</v>
      </c>
    </row>
    <row r="369" customFormat="false" ht="76.1" hidden="false" customHeight="false" outlineLevel="0" collapsed="false">
      <c r="A369" s="2" t="s">
        <v>2002</v>
      </c>
      <c r="B369" s="2" t="s">
        <v>1185</v>
      </c>
      <c r="C369" s="2" t="s">
        <v>1959</v>
      </c>
      <c r="D369" s="2" t="s">
        <v>2003</v>
      </c>
      <c r="E369" s="2" t="s">
        <v>2004</v>
      </c>
      <c r="F369" s="2" t="s">
        <v>2005</v>
      </c>
      <c r="G369" s="2" t="s">
        <v>2006</v>
      </c>
      <c r="H369" s="2" t="s">
        <v>28</v>
      </c>
      <c r="I369" s="2" t="s">
        <v>2007</v>
      </c>
      <c r="J369" s="2" t="s">
        <v>1959</v>
      </c>
      <c r="K369" s="2" t="s">
        <v>1193</v>
      </c>
      <c r="L369" s="2" t="n">
        <v>3</v>
      </c>
      <c r="M369" s="2" t="n">
        <v>34</v>
      </c>
    </row>
    <row r="370" customFormat="false" ht="61.15" hidden="false" customHeight="false" outlineLevel="0" collapsed="false">
      <c r="A370" s="2" t="s">
        <v>2008</v>
      </c>
      <c r="B370" s="2" t="s">
        <v>1185</v>
      </c>
      <c r="C370" s="2" t="s">
        <v>1959</v>
      </c>
      <c r="D370" s="2" t="s">
        <v>2009</v>
      </c>
      <c r="E370" s="2" t="s">
        <v>2010</v>
      </c>
      <c r="F370" s="2" t="s">
        <v>2011</v>
      </c>
      <c r="G370" s="2" t="s">
        <v>2012</v>
      </c>
      <c r="H370" s="2" t="s">
        <v>28</v>
      </c>
      <c r="I370" s="2" t="s">
        <v>2013</v>
      </c>
      <c r="J370" s="2" t="s">
        <v>1959</v>
      </c>
      <c r="K370" s="2" t="s">
        <v>1193</v>
      </c>
      <c r="L370" s="2" t="n">
        <v>2</v>
      </c>
      <c r="M370" s="2" t="n">
        <v>34</v>
      </c>
    </row>
    <row r="371" customFormat="false" ht="91" hidden="false" customHeight="false" outlineLevel="0" collapsed="false">
      <c r="A371" s="2" t="s">
        <v>2014</v>
      </c>
      <c r="B371" s="2" t="s">
        <v>1185</v>
      </c>
      <c r="C371" s="2" t="s">
        <v>1959</v>
      </c>
      <c r="D371" s="2" t="s">
        <v>2015</v>
      </c>
      <c r="E371" s="2" t="s">
        <v>2016</v>
      </c>
      <c r="F371" s="2" t="s">
        <v>2017</v>
      </c>
      <c r="G371" s="2" t="s">
        <v>2018</v>
      </c>
      <c r="H371" s="2" t="s">
        <v>20</v>
      </c>
      <c r="I371" s="2" t="s">
        <v>2019</v>
      </c>
      <c r="J371" s="2" t="s">
        <v>2020</v>
      </c>
      <c r="K371" s="2" t="s">
        <v>1193</v>
      </c>
      <c r="L371" s="2" t="n">
        <v>3</v>
      </c>
      <c r="M371" s="2" t="n">
        <v>12</v>
      </c>
    </row>
    <row r="372" customFormat="false" ht="61.15" hidden="false" customHeight="false" outlineLevel="0" collapsed="false">
      <c r="A372" s="2" t="s">
        <v>2021</v>
      </c>
      <c r="B372" s="2" t="s">
        <v>1185</v>
      </c>
      <c r="C372" s="2" t="s">
        <v>1959</v>
      </c>
      <c r="D372" s="2" t="s">
        <v>2022</v>
      </c>
      <c r="E372" s="2" t="s">
        <v>2023</v>
      </c>
      <c r="F372" s="2" t="s">
        <v>2024</v>
      </c>
      <c r="G372" s="2" t="s">
        <v>2025</v>
      </c>
      <c r="H372" s="2" t="s">
        <v>20</v>
      </c>
      <c r="I372" s="2" t="s">
        <v>2026</v>
      </c>
      <c r="J372" s="2" t="s">
        <v>2020</v>
      </c>
      <c r="K372" s="2" t="s">
        <v>1193</v>
      </c>
      <c r="L372" s="2" t="n">
        <v>3</v>
      </c>
      <c r="M372" s="2" t="n">
        <v>12</v>
      </c>
    </row>
    <row r="373" customFormat="false" ht="61.15" hidden="false" customHeight="false" outlineLevel="0" collapsed="false">
      <c r="A373" s="2" t="s">
        <v>2027</v>
      </c>
      <c r="B373" s="2" t="s">
        <v>1185</v>
      </c>
      <c r="C373" s="2" t="s">
        <v>2028</v>
      </c>
      <c r="D373" s="2" t="s">
        <v>2029</v>
      </c>
      <c r="E373" s="2" t="s">
        <v>2030</v>
      </c>
      <c r="F373" s="2" t="s">
        <v>2031</v>
      </c>
      <c r="G373" s="2" t="s">
        <v>2032</v>
      </c>
      <c r="H373" s="2" t="s">
        <v>20</v>
      </c>
      <c r="I373" s="2" t="s">
        <v>2033</v>
      </c>
      <c r="J373" s="2" t="s">
        <v>2028</v>
      </c>
      <c r="K373" s="2" t="s">
        <v>1193</v>
      </c>
      <c r="L373" s="2" t="n">
        <v>1</v>
      </c>
      <c r="M373" s="2" t="n">
        <v>38</v>
      </c>
    </row>
    <row r="374" customFormat="false" ht="61.15" hidden="false" customHeight="false" outlineLevel="0" collapsed="false">
      <c r="A374" s="2" t="s">
        <v>2034</v>
      </c>
      <c r="B374" s="2" t="s">
        <v>1185</v>
      </c>
      <c r="C374" s="2" t="s">
        <v>1959</v>
      </c>
      <c r="D374" s="2" t="s">
        <v>2035</v>
      </c>
      <c r="E374" s="2" t="s">
        <v>2036</v>
      </c>
      <c r="F374" s="2" t="s">
        <v>2037</v>
      </c>
      <c r="G374" s="2" t="s">
        <v>2038</v>
      </c>
      <c r="H374" s="2" t="s">
        <v>20</v>
      </c>
      <c r="I374" s="2" t="s">
        <v>2039</v>
      </c>
      <c r="J374" s="2" t="s">
        <v>1959</v>
      </c>
      <c r="K374" s="2" t="s">
        <v>1193</v>
      </c>
      <c r="L374" s="2" t="n">
        <v>2</v>
      </c>
      <c r="M374" s="2" t="n">
        <v>33</v>
      </c>
    </row>
    <row r="375" customFormat="false" ht="61.15" hidden="false" customHeight="false" outlineLevel="0" collapsed="false">
      <c r="A375" s="2" t="s">
        <v>2040</v>
      </c>
      <c r="B375" s="2" t="s">
        <v>1185</v>
      </c>
      <c r="C375" s="2" t="s">
        <v>1959</v>
      </c>
      <c r="D375" s="2" t="s">
        <v>2041</v>
      </c>
      <c r="E375" s="2" t="s">
        <v>2042</v>
      </c>
      <c r="F375" s="2" t="s">
        <v>2043</v>
      </c>
      <c r="G375" s="2" t="s">
        <v>2044</v>
      </c>
      <c r="H375" s="2" t="s">
        <v>20</v>
      </c>
      <c r="I375" s="2" t="s">
        <v>2045</v>
      </c>
      <c r="J375" s="2" t="s">
        <v>2046</v>
      </c>
      <c r="K375" s="2" t="s">
        <v>1193</v>
      </c>
      <c r="L375" s="2" t="n">
        <v>3</v>
      </c>
      <c r="M375" s="2" t="n">
        <v>36</v>
      </c>
    </row>
    <row r="376" customFormat="false" ht="76.1" hidden="false" customHeight="false" outlineLevel="0" collapsed="false">
      <c r="A376" s="2" t="s">
        <v>2047</v>
      </c>
      <c r="B376" s="2" t="s">
        <v>1185</v>
      </c>
      <c r="C376" s="2" t="s">
        <v>1959</v>
      </c>
      <c r="D376" s="2" t="s">
        <v>2048</v>
      </c>
      <c r="E376" s="2" t="s">
        <v>2049</v>
      </c>
      <c r="F376" s="2" t="s">
        <v>2050</v>
      </c>
      <c r="G376" s="2" t="s">
        <v>2051</v>
      </c>
      <c r="H376" s="2" t="s">
        <v>20</v>
      </c>
      <c r="I376" s="2" t="s">
        <v>2052</v>
      </c>
      <c r="J376" s="2" t="s">
        <v>2053</v>
      </c>
      <c r="K376" s="2" t="s">
        <v>1193</v>
      </c>
      <c r="L376" s="2" t="n">
        <v>3</v>
      </c>
      <c r="M376" s="2" t="n">
        <v>16</v>
      </c>
    </row>
    <row r="377" customFormat="false" ht="91" hidden="false" customHeight="false" outlineLevel="0" collapsed="false">
      <c r="A377" s="2" t="s">
        <v>2054</v>
      </c>
      <c r="B377" s="2" t="s">
        <v>1185</v>
      </c>
      <c r="C377" s="2" t="s">
        <v>1959</v>
      </c>
      <c r="D377" s="2" t="s">
        <v>2055</v>
      </c>
      <c r="E377" s="2" t="s">
        <v>2056</v>
      </c>
      <c r="F377" s="2" t="s">
        <v>2057</v>
      </c>
      <c r="G377" s="2" t="s">
        <v>2058</v>
      </c>
      <c r="H377" s="2" t="s">
        <v>20</v>
      </c>
      <c r="I377" s="2" t="s">
        <v>2059</v>
      </c>
      <c r="J377" s="2" t="s">
        <v>2060</v>
      </c>
      <c r="K377" s="2" t="s">
        <v>1193</v>
      </c>
      <c r="L377" s="2" t="n">
        <v>4</v>
      </c>
      <c r="M377" s="2" t="n">
        <v>32</v>
      </c>
    </row>
    <row r="378" customFormat="false" ht="76.1" hidden="false" customHeight="false" outlineLevel="0" collapsed="false">
      <c r="A378" s="2" t="s">
        <v>2061</v>
      </c>
      <c r="B378" s="2" t="s">
        <v>1185</v>
      </c>
      <c r="C378" s="2" t="s">
        <v>1959</v>
      </c>
      <c r="D378" s="2" t="s">
        <v>2062</v>
      </c>
      <c r="E378" s="2" t="s">
        <v>2063</v>
      </c>
      <c r="F378" s="2" t="s">
        <v>2064</v>
      </c>
      <c r="G378" s="2" t="s">
        <v>2065</v>
      </c>
      <c r="H378" s="2" t="s">
        <v>20</v>
      </c>
      <c r="I378" s="2" t="s">
        <v>2066</v>
      </c>
      <c r="J378" s="2" t="s">
        <v>2060</v>
      </c>
      <c r="K378" s="2" t="s">
        <v>1193</v>
      </c>
      <c r="L378" s="2" t="n">
        <v>3</v>
      </c>
      <c r="M378" s="2" t="n">
        <v>32</v>
      </c>
    </row>
    <row r="379" customFormat="false" ht="61.15" hidden="false" customHeight="false" outlineLevel="0" collapsed="false">
      <c r="A379" s="2" t="s">
        <v>2067</v>
      </c>
      <c r="B379" s="2" t="s">
        <v>1185</v>
      </c>
      <c r="C379" s="2" t="s">
        <v>1959</v>
      </c>
      <c r="D379" s="2" t="s">
        <v>2068</v>
      </c>
      <c r="E379" s="2" t="s">
        <v>2069</v>
      </c>
      <c r="F379" s="2" t="s">
        <v>2070</v>
      </c>
      <c r="G379" s="2" t="s">
        <v>2071</v>
      </c>
      <c r="H379" s="2" t="s">
        <v>20</v>
      </c>
      <c r="I379" s="2" t="s">
        <v>2072</v>
      </c>
      <c r="J379" s="2" t="s">
        <v>2053</v>
      </c>
      <c r="K379" s="2" t="s">
        <v>1193</v>
      </c>
      <c r="L379" s="2" t="n">
        <v>3</v>
      </c>
      <c r="M379" s="2" t="n">
        <v>16</v>
      </c>
    </row>
    <row r="380" customFormat="false" ht="76.1" hidden="false" customHeight="false" outlineLevel="0" collapsed="false">
      <c r="A380" s="2" t="s">
        <v>2073</v>
      </c>
      <c r="B380" s="2" t="s">
        <v>1185</v>
      </c>
      <c r="C380" s="2" t="s">
        <v>1959</v>
      </c>
      <c r="D380" s="2" t="s">
        <v>2074</v>
      </c>
      <c r="E380" s="2" t="s">
        <v>2075</v>
      </c>
      <c r="F380" s="2" t="s">
        <v>2076</v>
      </c>
      <c r="G380" s="2" t="s">
        <v>2077</v>
      </c>
      <c r="H380" s="2" t="s">
        <v>20</v>
      </c>
      <c r="I380" s="2" t="s">
        <v>2078</v>
      </c>
      <c r="J380" s="2" t="s">
        <v>2079</v>
      </c>
      <c r="K380" s="2" t="s">
        <v>1193</v>
      </c>
      <c r="L380" s="2" t="n">
        <v>2</v>
      </c>
      <c r="M380" s="2" t="n">
        <v>32</v>
      </c>
    </row>
    <row r="381" customFormat="false" ht="61.15" hidden="false" customHeight="false" outlineLevel="0" collapsed="false">
      <c r="A381" s="2" t="s">
        <v>2080</v>
      </c>
      <c r="B381" s="2" t="s">
        <v>1185</v>
      </c>
      <c r="C381" s="2" t="s">
        <v>1959</v>
      </c>
      <c r="D381" s="2" t="s">
        <v>2081</v>
      </c>
      <c r="E381" s="2" t="s">
        <v>2082</v>
      </c>
      <c r="F381" s="2" t="s">
        <v>2083</v>
      </c>
      <c r="G381" s="2" t="s">
        <v>2084</v>
      </c>
      <c r="H381" s="2" t="s">
        <v>20</v>
      </c>
      <c r="I381" s="2" t="s">
        <v>2085</v>
      </c>
      <c r="J381" s="2" t="s">
        <v>2079</v>
      </c>
      <c r="K381" s="2" t="s">
        <v>1193</v>
      </c>
      <c r="L381" s="2" t="n">
        <v>3</v>
      </c>
      <c r="M381" s="2" t="n">
        <v>32</v>
      </c>
    </row>
    <row r="382" customFormat="false" ht="61.15" hidden="false" customHeight="false" outlineLevel="0" collapsed="false">
      <c r="A382" s="2" t="s">
        <v>2086</v>
      </c>
      <c r="B382" s="2" t="s">
        <v>1185</v>
      </c>
      <c r="C382" s="2" t="s">
        <v>1959</v>
      </c>
      <c r="D382" s="2" t="s">
        <v>2087</v>
      </c>
      <c r="E382" s="2" t="s">
        <v>2088</v>
      </c>
      <c r="F382" s="2" t="s">
        <v>2089</v>
      </c>
      <c r="G382" s="2" t="s">
        <v>2090</v>
      </c>
      <c r="H382" s="2" t="s">
        <v>20</v>
      </c>
      <c r="I382" s="2" t="s">
        <v>2091</v>
      </c>
      <c r="J382" s="2" t="s">
        <v>2079</v>
      </c>
      <c r="K382" s="2" t="s">
        <v>1193</v>
      </c>
      <c r="L382" s="2" t="n">
        <v>3</v>
      </c>
      <c r="M382" s="2" t="n">
        <v>32</v>
      </c>
    </row>
    <row r="383" customFormat="false" ht="76.1" hidden="false" customHeight="false" outlineLevel="0" collapsed="false">
      <c r="A383" s="2" t="s">
        <v>2092</v>
      </c>
      <c r="B383" s="2" t="s">
        <v>1185</v>
      </c>
      <c r="C383" s="2" t="s">
        <v>1959</v>
      </c>
      <c r="D383" s="2" t="s">
        <v>2093</v>
      </c>
      <c r="E383" s="2" t="s">
        <v>2094</v>
      </c>
      <c r="F383" s="2" t="s">
        <v>2095</v>
      </c>
      <c r="G383" s="2" t="s">
        <v>2096</v>
      </c>
      <c r="H383" s="2" t="s">
        <v>20</v>
      </c>
      <c r="I383" s="2" t="s">
        <v>2097</v>
      </c>
      <c r="J383" s="2" t="s">
        <v>2079</v>
      </c>
      <c r="K383" s="2" t="s">
        <v>1193</v>
      </c>
      <c r="L383" s="2" t="n">
        <v>3</v>
      </c>
      <c r="M383" s="2" t="n">
        <v>33</v>
      </c>
    </row>
    <row r="384" customFormat="false" ht="61.15" hidden="false" customHeight="false" outlineLevel="0" collapsed="false">
      <c r="A384" s="2" t="s">
        <v>2098</v>
      </c>
      <c r="B384" s="2" t="s">
        <v>1185</v>
      </c>
      <c r="C384" s="2" t="s">
        <v>1959</v>
      </c>
      <c r="D384" s="2" t="s">
        <v>2099</v>
      </c>
      <c r="E384" s="2" t="s">
        <v>2100</v>
      </c>
      <c r="F384" s="2" t="s">
        <v>2101</v>
      </c>
      <c r="G384" s="2" t="s">
        <v>2102</v>
      </c>
      <c r="H384" s="2" t="s">
        <v>20</v>
      </c>
      <c r="I384" s="2" t="s">
        <v>2103</v>
      </c>
      <c r="J384" s="2" t="s">
        <v>2079</v>
      </c>
      <c r="K384" s="2" t="s">
        <v>1193</v>
      </c>
      <c r="L384" s="2" t="n">
        <v>2</v>
      </c>
      <c r="M384" s="2" t="n">
        <v>33</v>
      </c>
    </row>
    <row r="385" customFormat="false" ht="61.15" hidden="false" customHeight="false" outlineLevel="0" collapsed="false">
      <c r="A385" s="2" t="s">
        <v>2104</v>
      </c>
      <c r="B385" s="2" t="s">
        <v>1185</v>
      </c>
      <c r="C385" s="2" t="s">
        <v>1959</v>
      </c>
      <c r="D385" s="2" t="s">
        <v>2105</v>
      </c>
      <c r="E385" s="2" t="s">
        <v>2106</v>
      </c>
      <c r="F385" s="2" t="s">
        <v>2107</v>
      </c>
      <c r="G385" s="2" t="s">
        <v>2108</v>
      </c>
      <c r="H385" s="2" t="s">
        <v>20</v>
      </c>
      <c r="I385" s="2" t="s">
        <v>2109</v>
      </c>
      <c r="J385" s="2" t="s">
        <v>2079</v>
      </c>
      <c r="K385" s="2" t="s">
        <v>1193</v>
      </c>
      <c r="L385" s="2" t="n">
        <v>3</v>
      </c>
      <c r="M385" s="2" t="n">
        <v>33</v>
      </c>
    </row>
    <row r="386" customFormat="false" ht="46.25" hidden="false" customHeight="false" outlineLevel="0" collapsed="false">
      <c r="A386" s="2" t="s">
        <v>2110</v>
      </c>
      <c r="B386" s="2" t="s">
        <v>1185</v>
      </c>
      <c r="C386" s="2" t="s">
        <v>1959</v>
      </c>
      <c r="D386" s="2" t="s">
        <v>2111</v>
      </c>
      <c r="E386" s="2" t="s">
        <v>2112</v>
      </c>
      <c r="F386" s="2" t="s">
        <v>2113</v>
      </c>
      <c r="G386" s="2" t="s">
        <v>2114</v>
      </c>
      <c r="H386" s="2" t="s">
        <v>20</v>
      </c>
      <c r="I386" s="2" t="s">
        <v>2115</v>
      </c>
      <c r="J386" s="2" t="s">
        <v>2079</v>
      </c>
      <c r="K386" s="2" t="s">
        <v>1193</v>
      </c>
      <c r="L386" s="2" t="n">
        <v>2</v>
      </c>
      <c r="M386" s="2" t="n">
        <v>33</v>
      </c>
    </row>
    <row r="387" customFormat="false" ht="61.15" hidden="false" customHeight="false" outlineLevel="0" collapsed="false">
      <c r="A387" s="2" t="s">
        <v>2116</v>
      </c>
      <c r="B387" s="2" t="s">
        <v>1185</v>
      </c>
      <c r="C387" s="2" t="s">
        <v>1959</v>
      </c>
      <c r="D387" s="2" t="s">
        <v>2117</v>
      </c>
      <c r="E387" s="2" t="s">
        <v>2118</v>
      </c>
      <c r="F387" s="2" t="s">
        <v>2119</v>
      </c>
      <c r="G387" s="2" t="s">
        <v>2120</v>
      </c>
      <c r="H387" s="2" t="s">
        <v>20</v>
      </c>
      <c r="I387" s="2" t="s">
        <v>2121</v>
      </c>
      <c r="J387" s="2" t="s">
        <v>2079</v>
      </c>
      <c r="K387" s="2" t="s">
        <v>1193</v>
      </c>
      <c r="L387" s="2" t="n">
        <v>3</v>
      </c>
      <c r="M387" s="2" t="n">
        <v>33</v>
      </c>
    </row>
    <row r="388" customFormat="false" ht="61.15" hidden="false" customHeight="false" outlineLevel="0" collapsed="false">
      <c r="A388" s="2" t="s">
        <v>2122</v>
      </c>
      <c r="B388" s="2" t="s">
        <v>1185</v>
      </c>
      <c r="C388" s="2" t="s">
        <v>1959</v>
      </c>
      <c r="D388" s="2" t="s">
        <v>2123</v>
      </c>
      <c r="E388" s="2" t="s">
        <v>2124</v>
      </c>
      <c r="F388" s="2" t="s">
        <v>2125</v>
      </c>
      <c r="G388" s="2" t="s">
        <v>2126</v>
      </c>
      <c r="H388" s="2" t="s">
        <v>20</v>
      </c>
      <c r="I388" s="2" t="s">
        <v>2127</v>
      </c>
      <c r="J388" s="2" t="s">
        <v>2079</v>
      </c>
      <c r="K388" s="2" t="s">
        <v>1193</v>
      </c>
      <c r="L388" s="2" t="n">
        <v>3</v>
      </c>
      <c r="M388" s="2" t="n">
        <v>33</v>
      </c>
    </row>
    <row r="389" customFormat="false" ht="91" hidden="false" customHeight="false" outlineLevel="0" collapsed="false">
      <c r="A389" s="2" t="s">
        <v>2128</v>
      </c>
      <c r="B389" s="2" t="s">
        <v>1185</v>
      </c>
      <c r="C389" s="2" t="s">
        <v>1959</v>
      </c>
      <c r="D389" s="2" t="s">
        <v>2129</v>
      </c>
      <c r="E389" s="2" t="s">
        <v>2130</v>
      </c>
      <c r="F389" s="2" t="s">
        <v>2131</v>
      </c>
      <c r="G389" s="2" t="s">
        <v>2132</v>
      </c>
      <c r="H389" s="2" t="s">
        <v>20</v>
      </c>
      <c r="I389" s="2" t="s">
        <v>2133</v>
      </c>
      <c r="J389" s="2" t="s">
        <v>2079</v>
      </c>
      <c r="K389" s="2" t="s">
        <v>1193</v>
      </c>
      <c r="L389" s="2" t="n">
        <v>3</v>
      </c>
      <c r="M389" s="2" t="n">
        <v>33</v>
      </c>
    </row>
    <row r="390" customFormat="false" ht="76.1" hidden="false" customHeight="false" outlineLevel="0" collapsed="false">
      <c r="A390" s="2" t="s">
        <v>2134</v>
      </c>
      <c r="B390" s="2" t="s">
        <v>1185</v>
      </c>
      <c r="C390" s="2" t="s">
        <v>1959</v>
      </c>
      <c r="D390" s="2" t="s">
        <v>2135</v>
      </c>
      <c r="E390" s="2" t="s">
        <v>2136</v>
      </c>
      <c r="F390" s="2" t="s">
        <v>2137</v>
      </c>
      <c r="G390" s="2" t="s">
        <v>2138</v>
      </c>
      <c r="H390" s="2" t="s">
        <v>20</v>
      </c>
      <c r="I390" s="2" t="s">
        <v>2139</v>
      </c>
      <c r="J390" s="2" t="s">
        <v>2079</v>
      </c>
      <c r="K390" s="2" t="s">
        <v>1193</v>
      </c>
      <c r="L390" s="2" t="n">
        <v>3</v>
      </c>
      <c r="M390" s="2" t="n">
        <v>33</v>
      </c>
    </row>
    <row r="391" customFormat="false" ht="61.15" hidden="false" customHeight="false" outlineLevel="0" collapsed="false">
      <c r="A391" s="2" t="s">
        <v>2140</v>
      </c>
      <c r="B391" s="2" t="s">
        <v>1185</v>
      </c>
      <c r="C391" s="2" t="s">
        <v>1959</v>
      </c>
      <c r="D391" s="2" t="s">
        <v>2141</v>
      </c>
      <c r="E391" s="2" t="s">
        <v>2142</v>
      </c>
      <c r="F391" s="2" t="s">
        <v>2143</v>
      </c>
      <c r="G391" s="2" t="s">
        <v>2144</v>
      </c>
      <c r="H391" s="2" t="s">
        <v>20</v>
      </c>
      <c r="I391" s="2" t="s">
        <v>2145</v>
      </c>
      <c r="J391" s="2" t="s">
        <v>2079</v>
      </c>
      <c r="K391" s="2" t="s">
        <v>1193</v>
      </c>
      <c r="L391" s="2" t="n">
        <v>2</v>
      </c>
      <c r="M391" s="2" t="n">
        <v>33</v>
      </c>
    </row>
    <row r="392" customFormat="false" ht="46.25" hidden="false" customHeight="false" outlineLevel="0" collapsed="false">
      <c r="A392" s="2" t="s">
        <v>2146</v>
      </c>
      <c r="B392" s="2" t="s">
        <v>1185</v>
      </c>
      <c r="C392" s="2" t="s">
        <v>1959</v>
      </c>
      <c r="D392" s="2" t="s">
        <v>2147</v>
      </c>
      <c r="E392" s="2" t="s">
        <v>2148</v>
      </c>
      <c r="F392" s="2" t="s">
        <v>2149</v>
      </c>
      <c r="G392" s="2" t="s">
        <v>2150</v>
      </c>
      <c r="H392" s="2" t="s">
        <v>20</v>
      </c>
      <c r="I392" s="2" t="s">
        <v>2151</v>
      </c>
      <c r="J392" s="2" t="s">
        <v>2152</v>
      </c>
      <c r="K392" s="2" t="s">
        <v>1193</v>
      </c>
      <c r="L392" s="2" t="n">
        <v>1</v>
      </c>
      <c r="M392" s="2" t="n">
        <v>33</v>
      </c>
    </row>
    <row r="393" customFormat="false" ht="61.15" hidden="false" customHeight="false" outlineLevel="0" collapsed="false">
      <c r="A393" s="2" t="s">
        <v>2153</v>
      </c>
      <c r="B393" s="2" t="s">
        <v>1185</v>
      </c>
      <c r="C393" s="2" t="s">
        <v>1959</v>
      </c>
      <c r="D393" s="2" t="s">
        <v>2154</v>
      </c>
      <c r="E393" s="2" t="s">
        <v>2155</v>
      </c>
      <c r="F393" s="2" t="s">
        <v>2156</v>
      </c>
      <c r="G393" s="2" t="s">
        <v>2157</v>
      </c>
      <c r="H393" s="2" t="s">
        <v>20</v>
      </c>
      <c r="I393" s="2" t="s">
        <v>2158</v>
      </c>
      <c r="J393" s="2" t="s">
        <v>2152</v>
      </c>
      <c r="K393" s="2" t="s">
        <v>1193</v>
      </c>
      <c r="L393" s="2" t="n">
        <v>2</v>
      </c>
      <c r="M393" s="2" t="n">
        <v>33</v>
      </c>
    </row>
    <row r="394" customFormat="false" ht="76.1" hidden="false" customHeight="false" outlineLevel="0" collapsed="false">
      <c r="A394" s="2" t="s">
        <v>2159</v>
      </c>
      <c r="B394" s="2" t="s">
        <v>1185</v>
      </c>
      <c r="C394" s="2" t="s">
        <v>1959</v>
      </c>
      <c r="D394" s="2" t="s">
        <v>2160</v>
      </c>
      <c r="E394" s="2" t="s">
        <v>2161</v>
      </c>
      <c r="F394" s="2" t="s">
        <v>2162</v>
      </c>
      <c r="G394" s="2" t="s">
        <v>2163</v>
      </c>
      <c r="H394" s="2" t="s">
        <v>20</v>
      </c>
      <c r="I394" s="2" t="s">
        <v>2164</v>
      </c>
      <c r="J394" s="2" t="s">
        <v>2152</v>
      </c>
      <c r="K394" s="2" t="s">
        <v>1193</v>
      </c>
      <c r="L394" s="2" t="n">
        <v>2</v>
      </c>
      <c r="M394" s="2" t="n">
        <v>33</v>
      </c>
    </row>
    <row r="395" customFormat="false" ht="61.15" hidden="false" customHeight="false" outlineLevel="0" collapsed="false">
      <c r="A395" s="2" t="s">
        <v>2165</v>
      </c>
      <c r="B395" s="2" t="s">
        <v>1185</v>
      </c>
      <c r="C395" s="2" t="s">
        <v>1959</v>
      </c>
      <c r="D395" s="2" t="s">
        <v>2166</v>
      </c>
      <c r="E395" s="2" t="s">
        <v>2167</v>
      </c>
      <c r="F395" s="2" t="s">
        <v>2168</v>
      </c>
      <c r="G395" s="2" t="s">
        <v>1509</v>
      </c>
      <c r="H395" s="2" t="s">
        <v>20</v>
      </c>
      <c r="I395" s="2" t="s">
        <v>2169</v>
      </c>
      <c r="J395" s="2" t="s">
        <v>2152</v>
      </c>
      <c r="K395" s="2" t="s">
        <v>1193</v>
      </c>
      <c r="L395" s="2" t="n">
        <v>2</v>
      </c>
      <c r="M395" s="2" t="n">
        <v>33</v>
      </c>
    </row>
    <row r="396" customFormat="false" ht="76.1" hidden="false" customHeight="false" outlineLevel="0" collapsed="false">
      <c r="A396" s="2" t="s">
        <v>2170</v>
      </c>
      <c r="B396" s="2" t="s">
        <v>1185</v>
      </c>
      <c r="C396" s="2" t="s">
        <v>1959</v>
      </c>
      <c r="D396" s="2" t="s">
        <v>2171</v>
      </c>
      <c r="E396" s="2" t="s">
        <v>2172</v>
      </c>
      <c r="F396" s="2" t="s">
        <v>2173</v>
      </c>
      <c r="G396" s="2" t="s">
        <v>2174</v>
      </c>
      <c r="H396" s="2" t="s">
        <v>20</v>
      </c>
      <c r="I396" s="2" t="s">
        <v>2175</v>
      </c>
      <c r="J396" s="2" t="s">
        <v>2152</v>
      </c>
      <c r="K396" s="2" t="s">
        <v>1193</v>
      </c>
      <c r="L396" s="2" t="n">
        <v>3</v>
      </c>
      <c r="M396" s="2" t="n">
        <v>34</v>
      </c>
    </row>
    <row r="397" customFormat="false" ht="46.25" hidden="false" customHeight="false" outlineLevel="0" collapsed="false">
      <c r="A397" s="2" t="s">
        <v>2176</v>
      </c>
      <c r="B397" s="2" t="s">
        <v>1185</v>
      </c>
      <c r="C397" s="2" t="s">
        <v>1959</v>
      </c>
      <c r="D397" s="2" t="s">
        <v>2177</v>
      </c>
      <c r="E397" s="2" t="s">
        <v>2178</v>
      </c>
      <c r="F397" s="2" t="s">
        <v>2179</v>
      </c>
      <c r="G397" s="2" t="s">
        <v>2180</v>
      </c>
      <c r="H397" s="2" t="s">
        <v>20</v>
      </c>
      <c r="I397" s="2" t="s">
        <v>2181</v>
      </c>
      <c r="J397" s="2" t="s">
        <v>2152</v>
      </c>
      <c r="K397" s="2" t="s">
        <v>1193</v>
      </c>
      <c r="L397" s="2" t="n">
        <v>2</v>
      </c>
      <c r="M397" s="2" t="n">
        <v>34</v>
      </c>
    </row>
    <row r="398" customFormat="false" ht="61.15" hidden="false" customHeight="false" outlineLevel="0" collapsed="false">
      <c r="A398" s="2" t="s">
        <v>2182</v>
      </c>
      <c r="B398" s="2" t="s">
        <v>1185</v>
      </c>
      <c r="C398" s="2" t="s">
        <v>1959</v>
      </c>
      <c r="D398" s="2" t="s">
        <v>2183</v>
      </c>
      <c r="E398" s="2" t="s">
        <v>2184</v>
      </c>
      <c r="F398" s="2" t="s">
        <v>2185</v>
      </c>
      <c r="G398" s="2" t="s">
        <v>2186</v>
      </c>
      <c r="H398" s="2" t="s">
        <v>20</v>
      </c>
      <c r="I398" s="2" t="s">
        <v>2187</v>
      </c>
      <c r="J398" s="2" t="s">
        <v>2152</v>
      </c>
      <c r="K398" s="2" t="s">
        <v>1193</v>
      </c>
      <c r="L398" s="2" t="n">
        <v>2</v>
      </c>
      <c r="M398" s="2" t="n">
        <v>34</v>
      </c>
    </row>
    <row r="399" customFormat="false" ht="46.25" hidden="false" customHeight="false" outlineLevel="0" collapsed="false">
      <c r="A399" s="2" t="s">
        <v>2188</v>
      </c>
      <c r="B399" s="2" t="s">
        <v>1185</v>
      </c>
      <c r="C399" s="2" t="s">
        <v>1959</v>
      </c>
      <c r="D399" s="2" t="s">
        <v>2189</v>
      </c>
      <c r="E399" s="2" t="s">
        <v>2190</v>
      </c>
      <c r="F399" s="2" t="s">
        <v>2191</v>
      </c>
      <c r="G399" s="2" t="s">
        <v>2192</v>
      </c>
      <c r="H399" s="2" t="s">
        <v>20</v>
      </c>
      <c r="I399" s="2" t="s">
        <v>2193</v>
      </c>
      <c r="J399" s="2" t="s">
        <v>2152</v>
      </c>
      <c r="K399" s="2" t="s">
        <v>1193</v>
      </c>
      <c r="L399" s="2" t="n">
        <v>2</v>
      </c>
      <c r="M399" s="2" t="n">
        <v>34</v>
      </c>
    </row>
    <row r="400" customFormat="false" ht="76.1" hidden="false" customHeight="false" outlineLevel="0" collapsed="false">
      <c r="A400" s="2" t="s">
        <v>2194</v>
      </c>
      <c r="B400" s="2" t="s">
        <v>1185</v>
      </c>
      <c r="C400" s="2" t="s">
        <v>1959</v>
      </c>
      <c r="D400" s="2" t="s">
        <v>2195</v>
      </c>
      <c r="E400" s="2" t="s">
        <v>2196</v>
      </c>
      <c r="F400" s="2" t="s">
        <v>2197</v>
      </c>
      <c r="G400" s="2" t="s">
        <v>2198</v>
      </c>
      <c r="H400" s="2" t="s">
        <v>20</v>
      </c>
      <c r="I400" s="2" t="s">
        <v>2199</v>
      </c>
      <c r="J400" s="2" t="s">
        <v>2152</v>
      </c>
      <c r="K400" s="2" t="s">
        <v>1193</v>
      </c>
      <c r="L400" s="2" t="n">
        <v>4</v>
      </c>
      <c r="M400" s="2" t="n">
        <v>34</v>
      </c>
    </row>
    <row r="401" customFormat="false" ht="76.1" hidden="false" customHeight="false" outlineLevel="0" collapsed="false">
      <c r="A401" s="2" t="s">
        <v>2200</v>
      </c>
      <c r="B401" s="2" t="s">
        <v>1185</v>
      </c>
      <c r="C401" s="2" t="s">
        <v>1959</v>
      </c>
      <c r="D401" s="2" t="s">
        <v>2201</v>
      </c>
      <c r="E401" s="2" t="s">
        <v>2202</v>
      </c>
      <c r="F401" s="2" t="s">
        <v>2203</v>
      </c>
      <c r="G401" s="2" t="s">
        <v>2204</v>
      </c>
      <c r="H401" s="2" t="s">
        <v>20</v>
      </c>
      <c r="I401" s="2" t="s">
        <v>2205</v>
      </c>
      <c r="J401" s="2" t="s">
        <v>2152</v>
      </c>
      <c r="K401" s="2" t="s">
        <v>1193</v>
      </c>
      <c r="L401" s="2" t="n">
        <v>4</v>
      </c>
      <c r="M401" s="2" t="n">
        <v>34</v>
      </c>
    </row>
    <row r="402" customFormat="false" ht="76.1" hidden="false" customHeight="false" outlineLevel="0" collapsed="false">
      <c r="A402" s="2" t="s">
        <v>2206</v>
      </c>
      <c r="B402" s="2" t="s">
        <v>1185</v>
      </c>
      <c r="C402" s="2" t="s">
        <v>1959</v>
      </c>
      <c r="D402" s="2" t="s">
        <v>2207</v>
      </c>
      <c r="E402" s="2" t="s">
        <v>2208</v>
      </c>
      <c r="F402" s="2" t="s">
        <v>2209</v>
      </c>
      <c r="G402" s="2" t="s">
        <v>2210</v>
      </c>
      <c r="H402" s="2" t="s">
        <v>20</v>
      </c>
      <c r="I402" s="2" t="s">
        <v>2211</v>
      </c>
      <c r="J402" s="2" t="s">
        <v>2152</v>
      </c>
      <c r="K402" s="2" t="s">
        <v>1193</v>
      </c>
      <c r="L402" s="2" t="n">
        <v>4</v>
      </c>
      <c r="M402" s="2" t="n">
        <v>34</v>
      </c>
    </row>
    <row r="403" customFormat="false" ht="61.15" hidden="false" customHeight="false" outlineLevel="0" collapsed="false">
      <c r="A403" s="2" t="s">
        <v>2212</v>
      </c>
      <c r="B403" s="2" t="s">
        <v>1185</v>
      </c>
      <c r="C403" s="2" t="s">
        <v>1959</v>
      </c>
      <c r="D403" s="2" t="s">
        <v>2213</v>
      </c>
      <c r="E403" s="2" t="s">
        <v>2214</v>
      </c>
      <c r="F403" s="2" t="s">
        <v>2215</v>
      </c>
      <c r="G403" s="2" t="s">
        <v>2216</v>
      </c>
      <c r="H403" s="2" t="s">
        <v>20</v>
      </c>
      <c r="I403" s="2" t="s">
        <v>2217</v>
      </c>
      <c r="J403" s="2" t="s">
        <v>2218</v>
      </c>
      <c r="K403" s="2" t="s">
        <v>1193</v>
      </c>
      <c r="L403" s="2" t="n">
        <v>2</v>
      </c>
      <c r="M403" s="2" t="n">
        <v>34</v>
      </c>
    </row>
    <row r="404" customFormat="false" ht="76.1" hidden="false" customHeight="false" outlineLevel="0" collapsed="false">
      <c r="A404" s="2" t="s">
        <v>2219</v>
      </c>
      <c r="B404" s="2" t="s">
        <v>1185</v>
      </c>
      <c r="C404" s="2" t="s">
        <v>1959</v>
      </c>
      <c r="D404" s="2" t="s">
        <v>2220</v>
      </c>
      <c r="E404" s="2" t="s">
        <v>2221</v>
      </c>
      <c r="F404" s="2" t="s">
        <v>2222</v>
      </c>
      <c r="G404" s="2" t="s">
        <v>2223</v>
      </c>
      <c r="H404" s="2" t="s">
        <v>20</v>
      </c>
      <c r="I404" s="2" t="s">
        <v>2224</v>
      </c>
      <c r="J404" s="2" t="s">
        <v>2218</v>
      </c>
      <c r="K404" s="2" t="s">
        <v>1193</v>
      </c>
      <c r="L404" s="2" t="n">
        <v>3</v>
      </c>
      <c r="M404" s="2" t="n">
        <v>34</v>
      </c>
    </row>
    <row r="405" customFormat="false" ht="76.1" hidden="false" customHeight="false" outlineLevel="0" collapsed="false">
      <c r="A405" s="2" t="s">
        <v>2225</v>
      </c>
      <c r="B405" s="2" t="s">
        <v>1185</v>
      </c>
      <c r="C405" s="2" t="s">
        <v>1959</v>
      </c>
      <c r="D405" s="2" t="s">
        <v>2226</v>
      </c>
      <c r="E405" s="2" t="s">
        <v>1609</v>
      </c>
      <c r="F405" s="2" t="s">
        <v>2227</v>
      </c>
      <c r="G405" s="2" t="s">
        <v>2228</v>
      </c>
      <c r="H405" s="2" t="s">
        <v>20</v>
      </c>
      <c r="I405" s="2" t="s">
        <v>2229</v>
      </c>
      <c r="J405" s="2" t="s">
        <v>2218</v>
      </c>
      <c r="K405" s="2" t="s">
        <v>1193</v>
      </c>
      <c r="L405" s="2" t="n">
        <v>4</v>
      </c>
      <c r="M405" s="2" t="n">
        <v>34</v>
      </c>
    </row>
    <row r="406" customFormat="false" ht="76.1" hidden="false" customHeight="false" outlineLevel="0" collapsed="false">
      <c r="A406" s="2" t="s">
        <v>2230</v>
      </c>
      <c r="B406" s="2" t="s">
        <v>1185</v>
      </c>
      <c r="C406" s="2" t="s">
        <v>1959</v>
      </c>
      <c r="D406" s="2" t="s">
        <v>2231</v>
      </c>
      <c r="E406" s="2" t="s">
        <v>2232</v>
      </c>
      <c r="F406" s="2" t="s">
        <v>2233</v>
      </c>
      <c r="G406" s="2" t="s">
        <v>2234</v>
      </c>
      <c r="H406" s="2" t="s">
        <v>20</v>
      </c>
      <c r="I406" s="2" t="s">
        <v>2235</v>
      </c>
      <c r="J406" s="2" t="s">
        <v>2236</v>
      </c>
      <c r="K406" s="2" t="s">
        <v>1193</v>
      </c>
      <c r="L406" s="2" t="n">
        <v>4</v>
      </c>
      <c r="M406" s="2" t="n">
        <v>34</v>
      </c>
    </row>
    <row r="407" customFormat="false" ht="76.1" hidden="false" customHeight="false" outlineLevel="0" collapsed="false">
      <c r="A407" s="2" t="s">
        <v>2237</v>
      </c>
      <c r="B407" s="2" t="s">
        <v>1185</v>
      </c>
      <c r="C407" s="2" t="s">
        <v>1959</v>
      </c>
      <c r="D407" s="2" t="s">
        <v>2238</v>
      </c>
      <c r="E407" s="2" t="s">
        <v>2239</v>
      </c>
      <c r="F407" s="2" t="s">
        <v>2240</v>
      </c>
      <c r="G407" s="2" t="s">
        <v>2241</v>
      </c>
      <c r="H407" s="2" t="s">
        <v>20</v>
      </c>
      <c r="I407" s="2" t="s">
        <v>2242</v>
      </c>
      <c r="J407" s="2" t="s">
        <v>2236</v>
      </c>
      <c r="K407" s="2" t="s">
        <v>1193</v>
      </c>
      <c r="L407" s="2" t="n">
        <v>3</v>
      </c>
      <c r="M407" s="2" t="n">
        <v>35</v>
      </c>
    </row>
    <row r="408" customFormat="false" ht="61.15" hidden="false" customHeight="false" outlineLevel="0" collapsed="false">
      <c r="A408" s="2" t="s">
        <v>2243</v>
      </c>
      <c r="B408" s="2" t="s">
        <v>1185</v>
      </c>
      <c r="C408" s="2" t="s">
        <v>1959</v>
      </c>
      <c r="D408" s="2" t="s">
        <v>2244</v>
      </c>
      <c r="E408" s="2" t="s">
        <v>2245</v>
      </c>
      <c r="F408" s="2" t="s">
        <v>2246</v>
      </c>
      <c r="G408" s="2" t="s">
        <v>2247</v>
      </c>
      <c r="H408" s="2" t="s">
        <v>20</v>
      </c>
      <c r="I408" s="2" t="s">
        <v>2248</v>
      </c>
      <c r="J408" s="2" t="s">
        <v>2249</v>
      </c>
      <c r="K408" s="2" t="s">
        <v>1193</v>
      </c>
      <c r="L408" s="2" t="n">
        <v>2</v>
      </c>
      <c r="M408" s="2" t="n">
        <v>35</v>
      </c>
    </row>
    <row r="409" customFormat="false" ht="76.1" hidden="false" customHeight="false" outlineLevel="0" collapsed="false">
      <c r="A409" s="2" t="s">
        <v>2250</v>
      </c>
      <c r="B409" s="2" t="s">
        <v>1185</v>
      </c>
      <c r="C409" s="2" t="s">
        <v>1959</v>
      </c>
      <c r="D409" s="2" t="s">
        <v>2251</v>
      </c>
      <c r="E409" s="2" t="s">
        <v>2252</v>
      </c>
      <c r="F409" s="2" t="s">
        <v>2253</v>
      </c>
      <c r="G409" s="2" t="s">
        <v>2254</v>
      </c>
      <c r="H409" s="2" t="s">
        <v>20</v>
      </c>
      <c r="I409" s="2" t="s">
        <v>2255</v>
      </c>
      <c r="J409" s="2" t="s">
        <v>2249</v>
      </c>
      <c r="K409" s="2" t="s">
        <v>1193</v>
      </c>
      <c r="L409" s="2" t="n">
        <v>3</v>
      </c>
      <c r="M409" s="2" t="n">
        <v>35</v>
      </c>
    </row>
    <row r="410" customFormat="false" ht="61.15" hidden="false" customHeight="false" outlineLevel="0" collapsed="false">
      <c r="A410" s="2" t="s">
        <v>2256</v>
      </c>
      <c r="B410" s="2" t="s">
        <v>1185</v>
      </c>
      <c r="C410" s="2" t="s">
        <v>1959</v>
      </c>
      <c r="D410" s="2" t="s">
        <v>2257</v>
      </c>
      <c r="E410" s="2" t="s">
        <v>2258</v>
      </c>
      <c r="F410" s="2" t="s">
        <v>2259</v>
      </c>
      <c r="G410" s="2" t="s">
        <v>2260</v>
      </c>
      <c r="H410" s="2" t="s">
        <v>20</v>
      </c>
      <c r="I410" s="2" t="s">
        <v>2261</v>
      </c>
      <c r="J410" s="2" t="s">
        <v>2249</v>
      </c>
      <c r="K410" s="2" t="s">
        <v>1193</v>
      </c>
      <c r="L410" s="2" t="n">
        <v>2</v>
      </c>
      <c r="M410" s="2" t="n">
        <v>35</v>
      </c>
    </row>
    <row r="411" customFormat="false" ht="61.15" hidden="false" customHeight="false" outlineLevel="0" collapsed="false">
      <c r="A411" s="2" t="s">
        <v>2262</v>
      </c>
      <c r="B411" s="2" t="s">
        <v>1185</v>
      </c>
      <c r="C411" s="2" t="s">
        <v>1959</v>
      </c>
      <c r="D411" s="2" t="s">
        <v>2263</v>
      </c>
      <c r="E411" s="2" t="s">
        <v>2264</v>
      </c>
      <c r="F411" s="2" t="s">
        <v>2265</v>
      </c>
      <c r="G411" s="2" t="s">
        <v>2266</v>
      </c>
      <c r="H411" s="2" t="s">
        <v>20</v>
      </c>
      <c r="I411" s="2" t="s">
        <v>2267</v>
      </c>
      <c r="J411" s="2" t="s">
        <v>2249</v>
      </c>
      <c r="K411" s="2" t="s">
        <v>1193</v>
      </c>
      <c r="L411" s="2" t="n">
        <v>3</v>
      </c>
      <c r="M411" s="2" t="n">
        <v>35</v>
      </c>
    </row>
    <row r="412" customFormat="false" ht="76.1" hidden="false" customHeight="false" outlineLevel="0" collapsed="false">
      <c r="A412" s="2" t="s">
        <v>2268</v>
      </c>
      <c r="B412" s="2" t="s">
        <v>1185</v>
      </c>
      <c r="C412" s="2" t="s">
        <v>1959</v>
      </c>
      <c r="D412" s="2" t="s">
        <v>2269</v>
      </c>
      <c r="E412" s="2" t="s">
        <v>2270</v>
      </c>
      <c r="F412" s="2" t="s">
        <v>2271</v>
      </c>
      <c r="G412" s="2" t="s">
        <v>2272</v>
      </c>
      <c r="H412" s="2" t="s">
        <v>20</v>
      </c>
      <c r="I412" s="2" t="s">
        <v>2273</v>
      </c>
      <c r="J412" s="2" t="s">
        <v>2274</v>
      </c>
      <c r="K412" s="2" t="s">
        <v>1193</v>
      </c>
      <c r="L412" s="2" t="n">
        <v>2</v>
      </c>
      <c r="M412" s="2" t="n">
        <v>35</v>
      </c>
    </row>
    <row r="413" customFormat="false" ht="76.1" hidden="false" customHeight="false" outlineLevel="0" collapsed="false">
      <c r="A413" s="2" t="s">
        <v>2275</v>
      </c>
      <c r="B413" s="2" t="s">
        <v>1185</v>
      </c>
      <c r="C413" s="2" t="s">
        <v>1959</v>
      </c>
      <c r="D413" s="2" t="s">
        <v>2276</v>
      </c>
      <c r="E413" s="2" t="s">
        <v>2277</v>
      </c>
      <c r="F413" s="2" t="s">
        <v>2278</v>
      </c>
      <c r="G413" s="2" t="s">
        <v>2279</v>
      </c>
      <c r="H413" s="2" t="s">
        <v>20</v>
      </c>
      <c r="I413" s="2" t="s">
        <v>2280</v>
      </c>
      <c r="J413" s="2" t="s">
        <v>2274</v>
      </c>
      <c r="K413" s="2" t="s">
        <v>1193</v>
      </c>
      <c r="L413" s="2" t="n">
        <v>2</v>
      </c>
      <c r="M413" s="2" t="n">
        <v>35</v>
      </c>
    </row>
    <row r="414" customFormat="false" ht="76.1" hidden="false" customHeight="false" outlineLevel="0" collapsed="false">
      <c r="A414" s="2" t="s">
        <v>2281</v>
      </c>
      <c r="B414" s="2" t="s">
        <v>1185</v>
      </c>
      <c r="C414" s="2" t="s">
        <v>1959</v>
      </c>
      <c r="D414" s="2" t="s">
        <v>2282</v>
      </c>
      <c r="E414" s="2" t="s">
        <v>2283</v>
      </c>
      <c r="F414" s="2" t="s">
        <v>2284</v>
      </c>
      <c r="G414" s="2" t="s">
        <v>2285</v>
      </c>
      <c r="H414" s="2" t="s">
        <v>20</v>
      </c>
      <c r="I414" s="2" t="s">
        <v>2286</v>
      </c>
      <c r="J414" s="2" t="s">
        <v>2274</v>
      </c>
      <c r="K414" s="2" t="s">
        <v>1193</v>
      </c>
      <c r="L414" s="2" t="n">
        <v>3</v>
      </c>
      <c r="M414" s="2" t="n">
        <v>35</v>
      </c>
    </row>
    <row r="415" customFormat="false" ht="76.1" hidden="false" customHeight="false" outlineLevel="0" collapsed="false">
      <c r="A415" s="2" t="s">
        <v>2287</v>
      </c>
      <c r="B415" s="2" t="s">
        <v>1185</v>
      </c>
      <c r="C415" s="2" t="s">
        <v>1959</v>
      </c>
      <c r="D415" s="2" t="s">
        <v>2288</v>
      </c>
      <c r="E415" s="2" t="s">
        <v>2289</v>
      </c>
      <c r="F415" s="2" t="s">
        <v>2290</v>
      </c>
      <c r="G415" s="2" t="s">
        <v>2291</v>
      </c>
      <c r="H415" s="2" t="s">
        <v>20</v>
      </c>
      <c r="I415" s="2" t="s">
        <v>2292</v>
      </c>
      <c r="J415" s="2" t="s">
        <v>2274</v>
      </c>
      <c r="K415" s="2" t="s">
        <v>1193</v>
      </c>
      <c r="L415" s="2" t="n">
        <v>3</v>
      </c>
      <c r="M415" s="2" t="n">
        <v>35</v>
      </c>
    </row>
    <row r="416" customFormat="false" ht="76.1" hidden="false" customHeight="false" outlineLevel="0" collapsed="false">
      <c r="A416" s="2" t="s">
        <v>2293</v>
      </c>
      <c r="B416" s="2" t="s">
        <v>1185</v>
      </c>
      <c r="C416" s="2" t="s">
        <v>1959</v>
      </c>
      <c r="D416" s="2" t="s">
        <v>2294</v>
      </c>
      <c r="E416" s="2" t="s">
        <v>1948</v>
      </c>
      <c r="F416" s="2" t="s">
        <v>2295</v>
      </c>
      <c r="G416" s="2" t="s">
        <v>2296</v>
      </c>
      <c r="H416" s="2" t="s">
        <v>20</v>
      </c>
      <c r="I416" s="2" t="s">
        <v>2297</v>
      </c>
      <c r="J416" s="2" t="s">
        <v>2274</v>
      </c>
      <c r="K416" s="2" t="s">
        <v>1193</v>
      </c>
      <c r="L416" s="2" t="n">
        <v>2</v>
      </c>
      <c r="M416" s="2" t="n">
        <v>35</v>
      </c>
    </row>
    <row r="417" customFormat="false" ht="76.1" hidden="false" customHeight="false" outlineLevel="0" collapsed="false">
      <c r="A417" s="2" t="s">
        <v>2298</v>
      </c>
      <c r="B417" s="2" t="s">
        <v>1185</v>
      </c>
      <c r="C417" s="2" t="s">
        <v>1959</v>
      </c>
      <c r="D417" s="2" t="s">
        <v>2299</v>
      </c>
      <c r="E417" s="2" t="s">
        <v>2300</v>
      </c>
      <c r="F417" s="2" t="s">
        <v>2301</v>
      </c>
      <c r="G417" s="2" t="s">
        <v>2302</v>
      </c>
      <c r="H417" s="2" t="s">
        <v>20</v>
      </c>
      <c r="I417" s="2" t="s">
        <v>2303</v>
      </c>
      <c r="J417" s="2" t="s">
        <v>2304</v>
      </c>
      <c r="K417" s="2" t="s">
        <v>1193</v>
      </c>
      <c r="L417" s="2" t="n">
        <v>4</v>
      </c>
      <c r="M417" s="2" t="n">
        <v>35</v>
      </c>
    </row>
    <row r="418" customFormat="false" ht="61.15" hidden="false" customHeight="false" outlineLevel="0" collapsed="false">
      <c r="A418" s="2" t="s">
        <v>2305</v>
      </c>
      <c r="B418" s="2" t="s">
        <v>1185</v>
      </c>
      <c r="C418" s="2" t="s">
        <v>1959</v>
      </c>
      <c r="D418" s="2" t="s">
        <v>2306</v>
      </c>
      <c r="E418" s="2" t="s">
        <v>2307</v>
      </c>
      <c r="F418" s="2" t="s">
        <v>2308</v>
      </c>
      <c r="G418" s="2" t="s">
        <v>2309</v>
      </c>
      <c r="H418" s="2" t="s">
        <v>20</v>
      </c>
      <c r="I418" s="2" t="s">
        <v>2310</v>
      </c>
      <c r="J418" s="2" t="s">
        <v>2304</v>
      </c>
      <c r="K418" s="2" t="s">
        <v>1193</v>
      </c>
      <c r="L418" s="2" t="n">
        <v>2</v>
      </c>
      <c r="M418" s="2" t="n">
        <v>34</v>
      </c>
    </row>
    <row r="419" customFormat="false" ht="61.15" hidden="false" customHeight="false" outlineLevel="0" collapsed="false">
      <c r="A419" s="2" t="s">
        <v>2311</v>
      </c>
      <c r="B419" s="2" t="s">
        <v>1185</v>
      </c>
      <c r="C419" s="2" t="s">
        <v>1959</v>
      </c>
      <c r="D419" s="2" t="s">
        <v>2312</v>
      </c>
      <c r="E419" s="2" t="s">
        <v>2313</v>
      </c>
      <c r="F419" s="2" t="s">
        <v>2314</v>
      </c>
      <c r="G419" s="2" t="s">
        <v>2315</v>
      </c>
      <c r="H419" s="2" t="s">
        <v>20</v>
      </c>
      <c r="I419" s="2" t="s">
        <v>2316</v>
      </c>
      <c r="J419" s="2" t="s">
        <v>2304</v>
      </c>
      <c r="K419" s="2" t="s">
        <v>1193</v>
      </c>
      <c r="L419" s="2" t="n">
        <v>3</v>
      </c>
      <c r="M419" s="2" t="n">
        <v>35</v>
      </c>
    </row>
    <row r="420" customFormat="false" ht="61.15" hidden="false" customHeight="false" outlineLevel="0" collapsed="false">
      <c r="A420" s="2" t="s">
        <v>2317</v>
      </c>
      <c r="B420" s="2" t="s">
        <v>1185</v>
      </c>
      <c r="C420" s="2" t="s">
        <v>1959</v>
      </c>
      <c r="D420" s="2" t="s">
        <v>2318</v>
      </c>
      <c r="E420" s="2" t="s">
        <v>2319</v>
      </c>
      <c r="F420" s="2" t="s">
        <v>2320</v>
      </c>
      <c r="G420" s="2" t="s">
        <v>2321</v>
      </c>
      <c r="H420" s="2" t="s">
        <v>20</v>
      </c>
      <c r="I420" s="2" t="s">
        <v>2322</v>
      </c>
      <c r="J420" s="2" t="s">
        <v>2304</v>
      </c>
      <c r="K420" s="2" t="s">
        <v>1193</v>
      </c>
      <c r="L420" s="2" t="n">
        <v>3</v>
      </c>
      <c r="M420" s="2" t="n">
        <v>35</v>
      </c>
    </row>
    <row r="421" customFormat="false" ht="76.1" hidden="false" customHeight="false" outlineLevel="0" collapsed="false">
      <c r="A421" s="2" t="s">
        <v>2323</v>
      </c>
      <c r="B421" s="2" t="s">
        <v>1185</v>
      </c>
      <c r="C421" s="2" t="s">
        <v>1959</v>
      </c>
      <c r="D421" s="2" t="s">
        <v>2324</v>
      </c>
      <c r="E421" s="2" t="s">
        <v>2325</v>
      </c>
      <c r="F421" s="2" t="s">
        <v>2326</v>
      </c>
      <c r="G421" s="2" t="s">
        <v>2327</v>
      </c>
      <c r="H421" s="2" t="s">
        <v>20</v>
      </c>
      <c r="I421" s="2" t="s">
        <v>2328</v>
      </c>
      <c r="J421" s="2" t="s">
        <v>2304</v>
      </c>
      <c r="K421" s="2" t="s">
        <v>1193</v>
      </c>
      <c r="L421" s="2" t="n">
        <v>2</v>
      </c>
      <c r="M421" s="2" t="n">
        <v>35</v>
      </c>
    </row>
    <row r="422" customFormat="false" ht="76.1" hidden="false" customHeight="false" outlineLevel="0" collapsed="false">
      <c r="A422" s="2" t="s">
        <v>2329</v>
      </c>
      <c r="B422" s="2" t="s">
        <v>1185</v>
      </c>
      <c r="C422" s="2" t="s">
        <v>1959</v>
      </c>
      <c r="D422" s="2" t="s">
        <v>2330</v>
      </c>
      <c r="E422" s="2" t="s">
        <v>2331</v>
      </c>
      <c r="F422" s="2" t="s">
        <v>2332</v>
      </c>
      <c r="G422" s="2" t="s">
        <v>2333</v>
      </c>
      <c r="H422" s="2" t="s">
        <v>20</v>
      </c>
      <c r="I422" s="2" t="s">
        <v>2334</v>
      </c>
      <c r="J422" s="2" t="s">
        <v>2335</v>
      </c>
      <c r="K422" s="2" t="s">
        <v>1193</v>
      </c>
      <c r="L422" s="2" t="n">
        <v>4</v>
      </c>
      <c r="M422" s="2" t="n">
        <v>35</v>
      </c>
    </row>
    <row r="423" customFormat="false" ht="76.1" hidden="false" customHeight="false" outlineLevel="0" collapsed="false">
      <c r="A423" s="2" t="s">
        <v>2336</v>
      </c>
      <c r="B423" s="2" t="s">
        <v>1185</v>
      </c>
      <c r="C423" s="2" t="s">
        <v>1959</v>
      </c>
      <c r="D423" s="2" t="s">
        <v>2337</v>
      </c>
      <c r="E423" s="2" t="s">
        <v>2338</v>
      </c>
      <c r="F423" s="2" t="s">
        <v>2339</v>
      </c>
      <c r="G423" s="2" t="s">
        <v>2340</v>
      </c>
      <c r="H423" s="2" t="s">
        <v>20</v>
      </c>
      <c r="I423" s="2" t="s">
        <v>2341</v>
      </c>
      <c r="J423" s="2" t="s">
        <v>2335</v>
      </c>
      <c r="K423" s="2" t="s">
        <v>1193</v>
      </c>
      <c r="L423" s="2" t="n">
        <v>4</v>
      </c>
      <c r="M423" s="2" t="n">
        <v>35</v>
      </c>
    </row>
    <row r="424" customFormat="false" ht="76.1" hidden="false" customHeight="false" outlineLevel="0" collapsed="false">
      <c r="A424" s="2" t="s">
        <v>2342</v>
      </c>
      <c r="B424" s="2" t="s">
        <v>1185</v>
      </c>
      <c r="C424" s="2" t="s">
        <v>1959</v>
      </c>
      <c r="D424" s="2" t="s">
        <v>2343</v>
      </c>
      <c r="E424" s="2" t="s">
        <v>2344</v>
      </c>
      <c r="F424" s="2" t="s">
        <v>2345</v>
      </c>
      <c r="G424" s="2" t="s">
        <v>2346</v>
      </c>
      <c r="H424" s="2" t="s">
        <v>20</v>
      </c>
      <c r="I424" s="2" t="s">
        <v>2347</v>
      </c>
      <c r="J424" s="2" t="s">
        <v>2335</v>
      </c>
      <c r="K424" s="2" t="s">
        <v>1193</v>
      </c>
      <c r="L424" s="2" t="n">
        <v>4</v>
      </c>
      <c r="M424" s="2" t="n">
        <v>35</v>
      </c>
    </row>
    <row r="425" customFormat="false" ht="91" hidden="false" customHeight="false" outlineLevel="0" collapsed="false">
      <c r="A425" s="2" t="s">
        <v>2348</v>
      </c>
      <c r="B425" s="2" t="s">
        <v>1185</v>
      </c>
      <c r="C425" s="2" t="s">
        <v>1959</v>
      </c>
      <c r="D425" s="2" t="s">
        <v>2349</v>
      </c>
      <c r="E425" s="2" t="s">
        <v>2350</v>
      </c>
      <c r="F425" s="2" t="s">
        <v>2351</v>
      </c>
      <c r="G425" s="2" t="s">
        <v>2352</v>
      </c>
      <c r="H425" s="2" t="s">
        <v>20</v>
      </c>
      <c r="I425" s="2" t="s">
        <v>2353</v>
      </c>
      <c r="J425" s="2" t="s">
        <v>2335</v>
      </c>
      <c r="K425" s="2" t="s">
        <v>1193</v>
      </c>
      <c r="L425" s="2" t="n">
        <v>4</v>
      </c>
      <c r="M425" s="2" t="n">
        <v>35</v>
      </c>
    </row>
    <row r="426" customFormat="false" ht="61.15" hidden="false" customHeight="false" outlineLevel="0" collapsed="false">
      <c r="A426" s="2" t="s">
        <v>2354</v>
      </c>
      <c r="B426" s="2" t="s">
        <v>1185</v>
      </c>
      <c r="C426" s="2" t="s">
        <v>1959</v>
      </c>
      <c r="D426" s="2" t="s">
        <v>2355</v>
      </c>
      <c r="E426" s="2" t="s">
        <v>2356</v>
      </c>
      <c r="F426" s="2" t="s">
        <v>2044</v>
      </c>
      <c r="G426" s="2" t="s">
        <v>2357</v>
      </c>
      <c r="H426" s="2" t="s">
        <v>20</v>
      </c>
      <c r="I426" s="2" t="s">
        <v>2358</v>
      </c>
      <c r="J426" s="2" t="s">
        <v>2335</v>
      </c>
      <c r="K426" s="2" t="s">
        <v>1193</v>
      </c>
      <c r="L426" s="2" t="n">
        <v>4</v>
      </c>
      <c r="M426" s="2" t="n">
        <v>36</v>
      </c>
    </row>
    <row r="427" customFormat="false" ht="76.1" hidden="false" customHeight="false" outlineLevel="0" collapsed="false">
      <c r="A427" s="2" t="s">
        <v>2359</v>
      </c>
      <c r="B427" s="2" t="s">
        <v>1185</v>
      </c>
      <c r="C427" s="2" t="s">
        <v>1959</v>
      </c>
      <c r="D427" s="2" t="s">
        <v>2360</v>
      </c>
      <c r="E427" s="2" t="s">
        <v>2361</v>
      </c>
      <c r="F427" s="2" t="s">
        <v>2362</v>
      </c>
      <c r="G427" s="2" t="s">
        <v>2363</v>
      </c>
      <c r="H427" s="2" t="s">
        <v>20</v>
      </c>
      <c r="I427" s="2" t="s">
        <v>2364</v>
      </c>
      <c r="J427" s="2" t="s">
        <v>2335</v>
      </c>
      <c r="K427" s="2" t="s">
        <v>1193</v>
      </c>
      <c r="L427" s="2" t="n">
        <v>4</v>
      </c>
      <c r="M427" s="2" t="n">
        <v>35</v>
      </c>
    </row>
    <row r="428" customFormat="false" ht="76.1" hidden="false" customHeight="false" outlineLevel="0" collapsed="false">
      <c r="A428" s="2" t="s">
        <v>2365</v>
      </c>
      <c r="B428" s="2" t="s">
        <v>1185</v>
      </c>
      <c r="C428" s="2" t="s">
        <v>1959</v>
      </c>
      <c r="D428" s="2" t="s">
        <v>2366</v>
      </c>
      <c r="E428" s="2" t="s">
        <v>2367</v>
      </c>
      <c r="F428" s="2" t="s">
        <v>2368</v>
      </c>
      <c r="G428" s="2" t="s">
        <v>2369</v>
      </c>
      <c r="H428" s="2" t="s">
        <v>20</v>
      </c>
      <c r="I428" s="2" t="s">
        <v>2370</v>
      </c>
      <c r="J428" s="2" t="s">
        <v>2335</v>
      </c>
      <c r="K428" s="2" t="s">
        <v>1193</v>
      </c>
      <c r="L428" s="2" t="n">
        <v>4</v>
      </c>
      <c r="M428" s="2" t="n">
        <v>36</v>
      </c>
    </row>
    <row r="429" customFormat="false" ht="61.15" hidden="false" customHeight="false" outlineLevel="0" collapsed="false">
      <c r="A429" s="2" t="s">
        <v>2371</v>
      </c>
      <c r="B429" s="2" t="s">
        <v>1185</v>
      </c>
      <c r="C429" s="2" t="s">
        <v>1959</v>
      </c>
      <c r="D429" s="2" t="s">
        <v>2372</v>
      </c>
      <c r="E429" s="2" t="s">
        <v>2373</v>
      </c>
      <c r="F429" s="2" t="s">
        <v>2374</v>
      </c>
      <c r="G429" s="2" t="s">
        <v>2375</v>
      </c>
      <c r="H429" s="2" t="s">
        <v>20</v>
      </c>
      <c r="I429" s="2" t="s">
        <v>2376</v>
      </c>
      <c r="J429" s="2" t="s">
        <v>2377</v>
      </c>
      <c r="K429" s="2" t="s">
        <v>1193</v>
      </c>
      <c r="L429" s="2" t="n">
        <v>2</v>
      </c>
      <c r="M429" s="2" t="n">
        <v>36</v>
      </c>
    </row>
    <row r="430" customFormat="false" ht="61.15" hidden="false" customHeight="false" outlineLevel="0" collapsed="false">
      <c r="A430" s="2" t="s">
        <v>2378</v>
      </c>
      <c r="B430" s="2" t="s">
        <v>1185</v>
      </c>
      <c r="C430" s="2" t="s">
        <v>1959</v>
      </c>
      <c r="D430" s="2" t="s">
        <v>2379</v>
      </c>
      <c r="E430" s="2" t="s">
        <v>2380</v>
      </c>
      <c r="F430" s="2" t="s">
        <v>2381</v>
      </c>
      <c r="G430" s="2" t="s">
        <v>2382</v>
      </c>
      <c r="H430" s="2" t="s">
        <v>20</v>
      </c>
      <c r="I430" s="2" t="s">
        <v>2383</v>
      </c>
      <c r="J430" s="2" t="s">
        <v>2377</v>
      </c>
      <c r="K430" s="2" t="s">
        <v>1193</v>
      </c>
      <c r="L430" s="2" t="n">
        <v>2</v>
      </c>
      <c r="M430" s="2" t="n">
        <v>36</v>
      </c>
    </row>
    <row r="431" customFormat="false" ht="61.15" hidden="false" customHeight="false" outlineLevel="0" collapsed="false">
      <c r="A431" s="2" t="s">
        <v>2384</v>
      </c>
      <c r="B431" s="2" t="s">
        <v>1185</v>
      </c>
      <c r="C431" s="2" t="s">
        <v>1959</v>
      </c>
      <c r="D431" s="2" t="s">
        <v>2385</v>
      </c>
      <c r="E431" s="2" t="s">
        <v>2386</v>
      </c>
      <c r="F431" s="2" t="s">
        <v>2387</v>
      </c>
      <c r="G431" s="2" t="s">
        <v>2388</v>
      </c>
      <c r="H431" s="2" t="s">
        <v>20</v>
      </c>
      <c r="I431" s="2" t="s">
        <v>2389</v>
      </c>
      <c r="J431" s="2" t="s">
        <v>2390</v>
      </c>
      <c r="K431" s="2" t="s">
        <v>1193</v>
      </c>
      <c r="L431" s="2" t="n">
        <v>2</v>
      </c>
      <c r="M431" s="2" t="n">
        <v>32</v>
      </c>
    </row>
    <row r="432" customFormat="false" ht="61.15" hidden="false" customHeight="false" outlineLevel="0" collapsed="false">
      <c r="A432" s="2" t="s">
        <v>2391</v>
      </c>
      <c r="B432" s="2" t="s">
        <v>1185</v>
      </c>
      <c r="C432" s="2" t="s">
        <v>1959</v>
      </c>
      <c r="D432" s="2" t="s">
        <v>2392</v>
      </c>
      <c r="E432" s="2" t="s">
        <v>2393</v>
      </c>
      <c r="F432" s="2" t="s">
        <v>2394</v>
      </c>
      <c r="G432" s="2" t="s">
        <v>2395</v>
      </c>
      <c r="H432" s="2" t="s">
        <v>20</v>
      </c>
      <c r="I432" s="2" t="s">
        <v>2396</v>
      </c>
      <c r="J432" s="2" t="s">
        <v>2397</v>
      </c>
      <c r="K432" s="2" t="s">
        <v>1193</v>
      </c>
      <c r="L432" s="2" t="n">
        <v>2</v>
      </c>
      <c r="M432" s="2" t="n">
        <v>34</v>
      </c>
    </row>
    <row r="433" customFormat="false" ht="61.15" hidden="false" customHeight="false" outlineLevel="0" collapsed="false">
      <c r="A433" s="2" t="s">
        <v>2398</v>
      </c>
      <c r="B433" s="2" t="s">
        <v>1185</v>
      </c>
      <c r="C433" s="2" t="s">
        <v>1959</v>
      </c>
      <c r="D433" s="2" t="s">
        <v>2399</v>
      </c>
      <c r="E433" s="2" t="s">
        <v>2400</v>
      </c>
      <c r="F433" s="2" t="s">
        <v>2401</v>
      </c>
      <c r="G433" s="2" t="s">
        <v>2402</v>
      </c>
      <c r="H433" s="2" t="s">
        <v>20</v>
      </c>
      <c r="I433" s="2" t="s">
        <v>2403</v>
      </c>
      <c r="J433" s="2" t="s">
        <v>2397</v>
      </c>
      <c r="K433" s="2" t="s">
        <v>1193</v>
      </c>
      <c r="L433" s="2" t="n">
        <v>2</v>
      </c>
      <c r="M433" s="2" t="n">
        <v>34</v>
      </c>
    </row>
    <row r="434" customFormat="false" ht="76.1" hidden="false" customHeight="false" outlineLevel="0" collapsed="false">
      <c r="A434" s="2" t="s">
        <v>2404</v>
      </c>
      <c r="B434" s="2" t="s">
        <v>1185</v>
      </c>
      <c r="C434" s="2" t="s">
        <v>1959</v>
      </c>
      <c r="D434" s="2" t="s">
        <v>2405</v>
      </c>
      <c r="E434" s="2" t="s">
        <v>2406</v>
      </c>
      <c r="F434" s="2" t="s">
        <v>2407</v>
      </c>
      <c r="G434" s="2" t="s">
        <v>2408</v>
      </c>
      <c r="H434" s="2" t="s">
        <v>20</v>
      </c>
      <c r="I434" s="2" t="s">
        <v>2409</v>
      </c>
      <c r="J434" s="2" t="s">
        <v>2397</v>
      </c>
      <c r="K434" s="2" t="s">
        <v>1193</v>
      </c>
      <c r="L434" s="2" t="n">
        <v>2</v>
      </c>
      <c r="M434" s="2" t="n">
        <v>34</v>
      </c>
    </row>
    <row r="435" customFormat="false" ht="46.25" hidden="false" customHeight="false" outlineLevel="0" collapsed="false">
      <c r="A435" s="2" t="s">
        <v>2410</v>
      </c>
      <c r="B435" s="2" t="s">
        <v>1185</v>
      </c>
      <c r="C435" s="2" t="s">
        <v>1959</v>
      </c>
      <c r="D435" s="2" t="s">
        <v>2411</v>
      </c>
      <c r="E435" s="2" t="s">
        <v>2412</v>
      </c>
      <c r="F435" s="2" t="s">
        <v>2413</v>
      </c>
      <c r="G435" s="2" t="s">
        <v>2414</v>
      </c>
      <c r="H435" s="2" t="s">
        <v>20</v>
      </c>
      <c r="I435" s="2" t="s">
        <v>2415</v>
      </c>
      <c r="J435" s="2" t="s">
        <v>1959</v>
      </c>
      <c r="K435" s="2" t="s">
        <v>1193</v>
      </c>
      <c r="L435" s="2" t="n">
        <v>2</v>
      </c>
      <c r="M435" s="2" t="n">
        <v>33</v>
      </c>
    </row>
    <row r="436" customFormat="false" ht="61.15" hidden="false" customHeight="false" outlineLevel="0" collapsed="false">
      <c r="A436" s="2" t="s">
        <v>2416</v>
      </c>
      <c r="B436" s="2" t="s">
        <v>1185</v>
      </c>
      <c r="C436" s="2" t="s">
        <v>1959</v>
      </c>
      <c r="D436" s="2" t="s">
        <v>2417</v>
      </c>
      <c r="E436" s="2" t="s">
        <v>2418</v>
      </c>
      <c r="F436" s="2" t="s">
        <v>2419</v>
      </c>
      <c r="G436" s="2" t="s">
        <v>2420</v>
      </c>
      <c r="H436" s="2" t="s">
        <v>20</v>
      </c>
      <c r="I436" s="2" t="s">
        <v>2421</v>
      </c>
      <c r="J436" s="2" t="s">
        <v>1959</v>
      </c>
      <c r="K436" s="2" t="s">
        <v>1193</v>
      </c>
      <c r="L436" s="2" t="n">
        <v>3</v>
      </c>
      <c r="M436" s="2" t="n">
        <v>33</v>
      </c>
    </row>
    <row r="437" customFormat="false" ht="46.25" hidden="false" customHeight="false" outlineLevel="0" collapsed="false">
      <c r="A437" s="2" t="s">
        <v>2422</v>
      </c>
      <c r="B437" s="2" t="s">
        <v>1185</v>
      </c>
      <c r="C437" s="2" t="s">
        <v>1959</v>
      </c>
      <c r="D437" s="2" t="s">
        <v>2423</v>
      </c>
      <c r="E437" s="2" t="s">
        <v>2424</v>
      </c>
      <c r="F437" s="2" t="s">
        <v>2425</v>
      </c>
      <c r="G437" s="2" t="s">
        <v>2426</v>
      </c>
      <c r="H437" s="2" t="s">
        <v>20</v>
      </c>
      <c r="I437" s="2" t="s">
        <v>2427</v>
      </c>
      <c r="J437" s="2" t="s">
        <v>1959</v>
      </c>
      <c r="K437" s="2" t="s">
        <v>1193</v>
      </c>
      <c r="L437" s="2" t="n">
        <v>1</v>
      </c>
      <c r="M437" s="2" t="n">
        <v>33</v>
      </c>
    </row>
    <row r="438" customFormat="false" ht="61.15" hidden="false" customHeight="false" outlineLevel="0" collapsed="false">
      <c r="A438" s="2" t="s">
        <v>2428</v>
      </c>
      <c r="B438" s="2" t="s">
        <v>1185</v>
      </c>
      <c r="C438" s="2" t="s">
        <v>1959</v>
      </c>
      <c r="D438" s="2" t="s">
        <v>2429</v>
      </c>
      <c r="E438" s="2" t="s">
        <v>2430</v>
      </c>
      <c r="F438" s="2" t="s">
        <v>2431</v>
      </c>
      <c r="G438" s="2" t="s">
        <v>2432</v>
      </c>
      <c r="H438" s="2" t="s">
        <v>20</v>
      </c>
      <c r="I438" s="2" t="s">
        <v>2433</v>
      </c>
      <c r="J438" s="2" t="s">
        <v>1959</v>
      </c>
      <c r="K438" s="2" t="s">
        <v>1193</v>
      </c>
      <c r="L438" s="2" t="n">
        <v>2</v>
      </c>
      <c r="M438" s="2" t="n">
        <v>34</v>
      </c>
    </row>
    <row r="439" customFormat="false" ht="61.15" hidden="false" customHeight="false" outlineLevel="0" collapsed="false">
      <c r="A439" s="2" t="s">
        <v>2434</v>
      </c>
      <c r="B439" s="2" t="s">
        <v>1185</v>
      </c>
      <c r="C439" s="2" t="s">
        <v>1959</v>
      </c>
      <c r="D439" s="2" t="s">
        <v>2435</v>
      </c>
      <c r="E439" s="2" t="s">
        <v>2436</v>
      </c>
      <c r="F439" s="2" t="s">
        <v>2437</v>
      </c>
      <c r="G439" s="2" t="s">
        <v>2438</v>
      </c>
      <c r="H439" s="2" t="s">
        <v>20</v>
      </c>
      <c r="I439" s="2" t="s">
        <v>2439</v>
      </c>
      <c r="J439" s="2" t="s">
        <v>1959</v>
      </c>
      <c r="K439" s="2" t="s">
        <v>1193</v>
      </c>
      <c r="L439" s="2" t="n">
        <v>2</v>
      </c>
      <c r="M439" s="2" t="n">
        <v>33</v>
      </c>
    </row>
    <row r="440" customFormat="false" ht="61.15" hidden="false" customHeight="false" outlineLevel="0" collapsed="false">
      <c r="A440" s="2" t="s">
        <v>2440</v>
      </c>
      <c r="B440" s="2" t="s">
        <v>1185</v>
      </c>
      <c r="C440" s="2" t="s">
        <v>1959</v>
      </c>
      <c r="D440" s="2" t="s">
        <v>2441</v>
      </c>
      <c r="E440" s="2" t="s">
        <v>2442</v>
      </c>
      <c r="F440" s="2" t="s">
        <v>2443</v>
      </c>
      <c r="G440" s="2" t="s">
        <v>2444</v>
      </c>
      <c r="H440" s="2" t="s">
        <v>20</v>
      </c>
      <c r="I440" s="2" t="s">
        <v>2445</v>
      </c>
      <c r="J440" s="2" t="s">
        <v>1959</v>
      </c>
      <c r="K440" s="2" t="s">
        <v>1193</v>
      </c>
      <c r="L440" s="2" t="n">
        <v>2</v>
      </c>
      <c r="M440" s="2" t="n">
        <v>33</v>
      </c>
    </row>
    <row r="441" customFormat="false" ht="76.1" hidden="false" customHeight="false" outlineLevel="0" collapsed="false">
      <c r="A441" s="2" t="s">
        <v>2446</v>
      </c>
      <c r="B441" s="2" t="s">
        <v>1185</v>
      </c>
      <c r="C441" s="2" t="s">
        <v>1959</v>
      </c>
      <c r="D441" s="2" t="s">
        <v>2447</v>
      </c>
      <c r="E441" s="2" t="s">
        <v>2448</v>
      </c>
      <c r="F441" s="2" t="s">
        <v>2449</v>
      </c>
      <c r="G441" s="2" t="s">
        <v>2450</v>
      </c>
      <c r="H441" s="2" t="s">
        <v>20</v>
      </c>
      <c r="I441" s="2" t="s">
        <v>2451</v>
      </c>
      <c r="J441" s="2" t="s">
        <v>1959</v>
      </c>
      <c r="K441" s="2" t="s">
        <v>1193</v>
      </c>
      <c r="L441" s="2" t="n">
        <v>2</v>
      </c>
      <c r="M441" s="2" t="n">
        <v>33</v>
      </c>
    </row>
    <row r="442" customFormat="false" ht="91" hidden="false" customHeight="false" outlineLevel="0" collapsed="false">
      <c r="A442" s="2" t="s">
        <v>2452</v>
      </c>
      <c r="B442" s="2" t="s">
        <v>1185</v>
      </c>
      <c r="C442" s="2" t="s">
        <v>1959</v>
      </c>
      <c r="D442" s="2" t="s">
        <v>2453</v>
      </c>
      <c r="E442" s="2" t="s">
        <v>2454</v>
      </c>
      <c r="F442" s="2" t="s">
        <v>2455</v>
      </c>
      <c r="G442" s="2" t="s">
        <v>2456</v>
      </c>
      <c r="H442" s="2" t="s">
        <v>20</v>
      </c>
      <c r="I442" s="2" t="s">
        <v>2457</v>
      </c>
      <c r="J442" s="2" t="s">
        <v>2458</v>
      </c>
      <c r="K442" s="2" t="s">
        <v>1193</v>
      </c>
      <c r="L442" s="2" t="n">
        <v>2</v>
      </c>
      <c r="M442" s="2" t="n">
        <v>35</v>
      </c>
    </row>
    <row r="443" customFormat="false" ht="46.25" hidden="false" customHeight="false" outlineLevel="0" collapsed="false">
      <c r="A443" s="2" t="s">
        <v>2459</v>
      </c>
      <c r="B443" s="2" t="s">
        <v>1185</v>
      </c>
      <c r="C443" s="2" t="s">
        <v>1959</v>
      </c>
      <c r="D443" s="2" t="s">
        <v>2460</v>
      </c>
      <c r="E443" s="2" t="s">
        <v>2461</v>
      </c>
      <c r="F443" s="2" t="s">
        <v>2462</v>
      </c>
      <c r="G443" s="2" t="s">
        <v>2463</v>
      </c>
      <c r="H443" s="2" t="s">
        <v>20</v>
      </c>
      <c r="I443" s="2" t="s">
        <v>2451</v>
      </c>
      <c r="J443" s="2" t="s">
        <v>1959</v>
      </c>
      <c r="K443" s="2" t="s">
        <v>1193</v>
      </c>
      <c r="L443" s="2" t="n">
        <v>1</v>
      </c>
      <c r="M443" s="2" t="n">
        <v>33</v>
      </c>
    </row>
    <row r="444" customFormat="false" ht="61.15" hidden="false" customHeight="false" outlineLevel="0" collapsed="false">
      <c r="A444" s="2" t="s">
        <v>2464</v>
      </c>
      <c r="B444" s="2" t="s">
        <v>1185</v>
      </c>
      <c r="C444" s="2" t="s">
        <v>1959</v>
      </c>
      <c r="D444" s="2" t="s">
        <v>2465</v>
      </c>
      <c r="E444" s="2" t="s">
        <v>2466</v>
      </c>
      <c r="F444" s="2" t="s">
        <v>2467</v>
      </c>
      <c r="G444" s="2" t="s">
        <v>2468</v>
      </c>
      <c r="H444" s="2" t="s">
        <v>20</v>
      </c>
      <c r="I444" s="2" t="s">
        <v>2469</v>
      </c>
      <c r="J444" s="2" t="s">
        <v>1959</v>
      </c>
      <c r="K444" s="2" t="s">
        <v>1193</v>
      </c>
      <c r="L444" s="2" t="n">
        <v>2</v>
      </c>
      <c r="M444" s="2" t="n">
        <v>34</v>
      </c>
    </row>
    <row r="445" customFormat="false" ht="46.25" hidden="false" customHeight="false" outlineLevel="0" collapsed="false">
      <c r="A445" s="2" t="s">
        <v>2470</v>
      </c>
      <c r="B445" s="2" t="s">
        <v>1185</v>
      </c>
      <c r="C445" s="2" t="s">
        <v>1959</v>
      </c>
      <c r="D445" s="2" t="s">
        <v>2471</v>
      </c>
      <c r="E445" s="2" t="s">
        <v>2472</v>
      </c>
      <c r="F445" s="2" t="s">
        <v>2473</v>
      </c>
      <c r="G445" s="2" t="s">
        <v>2474</v>
      </c>
      <c r="H445" s="2" t="s">
        <v>20</v>
      </c>
      <c r="I445" s="2" t="s">
        <v>2475</v>
      </c>
      <c r="J445" s="2" t="s">
        <v>1959</v>
      </c>
      <c r="K445" s="2" t="s">
        <v>1193</v>
      </c>
      <c r="L445" s="2" t="n">
        <v>1</v>
      </c>
      <c r="M445" s="2" t="n">
        <v>34</v>
      </c>
    </row>
    <row r="446" customFormat="false" ht="76.1" hidden="false" customHeight="false" outlineLevel="0" collapsed="false">
      <c r="A446" s="2" t="s">
        <v>2476</v>
      </c>
      <c r="B446" s="2" t="s">
        <v>1185</v>
      </c>
      <c r="C446" s="2" t="s">
        <v>1959</v>
      </c>
      <c r="D446" s="2" t="s">
        <v>2477</v>
      </c>
      <c r="E446" s="2" t="s">
        <v>2478</v>
      </c>
      <c r="F446" s="2" t="s">
        <v>2479</v>
      </c>
      <c r="G446" s="2" t="s">
        <v>2480</v>
      </c>
      <c r="H446" s="2" t="s">
        <v>20</v>
      </c>
      <c r="I446" s="2" t="s">
        <v>2481</v>
      </c>
      <c r="J446" s="2" t="s">
        <v>1959</v>
      </c>
      <c r="K446" s="2" t="s">
        <v>1193</v>
      </c>
      <c r="L446" s="2" t="n">
        <v>2</v>
      </c>
      <c r="M446" s="2" t="n">
        <v>34</v>
      </c>
    </row>
    <row r="447" customFormat="false" ht="61.15" hidden="false" customHeight="false" outlineLevel="0" collapsed="false">
      <c r="A447" s="2" t="s">
        <v>2482</v>
      </c>
      <c r="B447" s="2" t="s">
        <v>1185</v>
      </c>
      <c r="C447" s="2" t="s">
        <v>1959</v>
      </c>
      <c r="D447" s="2" t="s">
        <v>2483</v>
      </c>
      <c r="E447" s="2" t="s">
        <v>2484</v>
      </c>
      <c r="F447" s="2" t="s">
        <v>2485</v>
      </c>
      <c r="G447" s="2" t="s">
        <v>2486</v>
      </c>
      <c r="H447" s="2" t="s">
        <v>20</v>
      </c>
      <c r="I447" s="2" t="s">
        <v>2487</v>
      </c>
      <c r="J447" s="2" t="s">
        <v>1959</v>
      </c>
      <c r="K447" s="2" t="s">
        <v>1193</v>
      </c>
      <c r="L447" s="2" t="n">
        <v>2</v>
      </c>
      <c r="M447" s="2" t="n">
        <v>33</v>
      </c>
    </row>
    <row r="448" customFormat="false" ht="46.25" hidden="false" customHeight="false" outlineLevel="0" collapsed="false">
      <c r="A448" s="2" t="s">
        <v>2488</v>
      </c>
      <c r="B448" s="2" t="s">
        <v>1185</v>
      </c>
      <c r="C448" s="2" t="s">
        <v>1959</v>
      </c>
      <c r="D448" s="2" t="s">
        <v>2489</v>
      </c>
      <c r="E448" s="2" t="s">
        <v>2490</v>
      </c>
      <c r="F448" s="2" t="s">
        <v>2491</v>
      </c>
      <c r="G448" s="2" t="s">
        <v>2492</v>
      </c>
      <c r="H448" s="2" t="s">
        <v>20</v>
      </c>
      <c r="I448" s="2" t="s">
        <v>2493</v>
      </c>
      <c r="J448" s="2" t="s">
        <v>1959</v>
      </c>
      <c r="K448" s="2" t="s">
        <v>1193</v>
      </c>
      <c r="L448" s="2" t="n">
        <v>1</v>
      </c>
      <c r="M448" s="2" t="n">
        <v>33</v>
      </c>
    </row>
    <row r="449" customFormat="false" ht="46.25" hidden="false" customHeight="false" outlineLevel="0" collapsed="false">
      <c r="A449" s="2" t="s">
        <v>2494</v>
      </c>
      <c r="B449" s="2" t="s">
        <v>1185</v>
      </c>
      <c r="C449" s="2" t="s">
        <v>1959</v>
      </c>
      <c r="D449" s="2" t="s">
        <v>2495</v>
      </c>
      <c r="E449" s="2" t="s">
        <v>2496</v>
      </c>
      <c r="F449" s="2" t="s">
        <v>2497</v>
      </c>
      <c r="G449" s="2" t="s">
        <v>2498</v>
      </c>
      <c r="H449" s="2" t="s">
        <v>20</v>
      </c>
      <c r="I449" s="2" t="s">
        <v>2499</v>
      </c>
      <c r="J449" s="2" t="s">
        <v>1959</v>
      </c>
      <c r="K449" s="2" t="s">
        <v>1193</v>
      </c>
      <c r="L449" s="2" t="n">
        <v>1</v>
      </c>
      <c r="M449" s="2" t="n">
        <v>34</v>
      </c>
    </row>
    <row r="450" customFormat="false" ht="61.15" hidden="false" customHeight="false" outlineLevel="0" collapsed="false">
      <c r="A450" s="2" t="s">
        <v>2500</v>
      </c>
      <c r="B450" s="2" t="s">
        <v>1185</v>
      </c>
      <c r="C450" s="2" t="s">
        <v>1959</v>
      </c>
      <c r="D450" s="2" t="s">
        <v>2501</v>
      </c>
      <c r="E450" s="2" t="s">
        <v>2502</v>
      </c>
      <c r="F450" s="2" t="s">
        <v>2503</v>
      </c>
      <c r="G450" s="2" t="s">
        <v>2504</v>
      </c>
      <c r="H450" s="2" t="s">
        <v>20</v>
      </c>
      <c r="I450" s="2" t="s">
        <v>2505</v>
      </c>
      <c r="J450" s="2" t="s">
        <v>1959</v>
      </c>
      <c r="K450" s="2" t="s">
        <v>1193</v>
      </c>
      <c r="L450" s="2" t="n">
        <v>2</v>
      </c>
      <c r="M450" s="2" t="n">
        <v>34</v>
      </c>
    </row>
    <row r="451" customFormat="false" ht="76.1" hidden="false" customHeight="false" outlineLevel="0" collapsed="false">
      <c r="A451" s="2" t="s">
        <v>2506</v>
      </c>
      <c r="B451" s="2" t="s">
        <v>1185</v>
      </c>
      <c r="C451" s="2" t="s">
        <v>2028</v>
      </c>
      <c r="D451" s="2" t="s">
        <v>2507</v>
      </c>
      <c r="E451" s="2" t="s">
        <v>2508</v>
      </c>
      <c r="F451" s="2" t="s">
        <v>2509</v>
      </c>
      <c r="G451" s="2" t="s">
        <v>2510</v>
      </c>
      <c r="H451" s="2" t="s">
        <v>20</v>
      </c>
      <c r="I451" s="2" t="s">
        <v>2511</v>
      </c>
      <c r="J451" s="2" t="s">
        <v>2028</v>
      </c>
      <c r="K451" s="2" t="s">
        <v>1193</v>
      </c>
      <c r="L451" s="2" t="n">
        <v>3</v>
      </c>
      <c r="M451" s="2" t="n">
        <v>38</v>
      </c>
    </row>
    <row r="452" customFormat="false" ht="105.95" hidden="false" customHeight="false" outlineLevel="0" collapsed="false">
      <c r="A452" s="2" t="s">
        <v>2512</v>
      </c>
      <c r="B452" s="2" t="s">
        <v>1185</v>
      </c>
      <c r="C452" s="2" t="s">
        <v>2028</v>
      </c>
      <c r="D452" s="2" t="s">
        <v>2513</v>
      </c>
      <c r="E452" s="2" t="s">
        <v>2514</v>
      </c>
      <c r="F452" s="2" t="s">
        <v>2515</v>
      </c>
      <c r="G452" s="2" t="s">
        <v>2516</v>
      </c>
      <c r="H452" s="2" t="s">
        <v>20</v>
      </c>
      <c r="I452" s="2" t="s">
        <v>2517</v>
      </c>
      <c r="J452" s="2" t="s">
        <v>2518</v>
      </c>
      <c r="K452" s="2" t="s">
        <v>1193</v>
      </c>
      <c r="L452" s="2" t="n">
        <v>4</v>
      </c>
      <c r="M452" s="2" t="n">
        <v>40</v>
      </c>
    </row>
    <row r="453" customFormat="false" ht="61.15" hidden="false" customHeight="false" outlineLevel="0" collapsed="false">
      <c r="A453" s="2" t="s">
        <v>2519</v>
      </c>
      <c r="B453" s="2" t="s">
        <v>1185</v>
      </c>
      <c r="C453" s="2" t="s">
        <v>2028</v>
      </c>
      <c r="D453" s="2" t="s">
        <v>2520</v>
      </c>
      <c r="E453" s="2" t="s">
        <v>2521</v>
      </c>
      <c r="F453" s="2" t="s">
        <v>2522</v>
      </c>
      <c r="G453" s="2" t="s">
        <v>2523</v>
      </c>
      <c r="H453" s="2" t="s">
        <v>20</v>
      </c>
      <c r="I453" s="2" t="s">
        <v>2524</v>
      </c>
      <c r="J453" s="2" t="s">
        <v>2028</v>
      </c>
      <c r="K453" s="2" t="s">
        <v>1193</v>
      </c>
      <c r="L453" s="2" t="n">
        <v>4</v>
      </c>
      <c r="M453" s="2" t="n">
        <v>38</v>
      </c>
    </row>
    <row r="454" customFormat="false" ht="61.15" hidden="false" customHeight="false" outlineLevel="0" collapsed="false">
      <c r="A454" s="2" t="s">
        <v>2525</v>
      </c>
      <c r="B454" s="2" t="s">
        <v>1185</v>
      </c>
      <c r="C454" s="2" t="s">
        <v>2028</v>
      </c>
      <c r="D454" s="2" t="s">
        <v>2526</v>
      </c>
      <c r="E454" s="2" t="s">
        <v>2527</v>
      </c>
      <c r="F454" s="2" t="s">
        <v>2528</v>
      </c>
      <c r="G454" s="2" t="s">
        <v>2529</v>
      </c>
      <c r="H454" s="2" t="s">
        <v>28</v>
      </c>
      <c r="I454" s="2" t="s">
        <v>2530</v>
      </c>
      <c r="J454" s="2" t="s">
        <v>2028</v>
      </c>
      <c r="K454" s="2" t="s">
        <v>1193</v>
      </c>
      <c r="L454" s="2" t="n">
        <v>1</v>
      </c>
      <c r="M454" s="2" t="n">
        <v>39</v>
      </c>
    </row>
    <row r="455" customFormat="false" ht="61.15" hidden="false" customHeight="false" outlineLevel="0" collapsed="false">
      <c r="A455" s="2" t="s">
        <v>2531</v>
      </c>
      <c r="B455" s="2" t="s">
        <v>1185</v>
      </c>
      <c r="C455" s="2" t="s">
        <v>2028</v>
      </c>
      <c r="D455" s="2" t="s">
        <v>2532</v>
      </c>
      <c r="E455" s="2" t="s">
        <v>2533</v>
      </c>
      <c r="F455" s="2" t="s">
        <v>2534</v>
      </c>
      <c r="G455" s="2" t="s">
        <v>2535</v>
      </c>
      <c r="H455" s="2" t="s">
        <v>20</v>
      </c>
      <c r="I455" s="2" t="s">
        <v>2536</v>
      </c>
      <c r="J455" s="2" t="s">
        <v>2537</v>
      </c>
      <c r="K455" s="2" t="s">
        <v>1193</v>
      </c>
      <c r="L455" s="2" t="n">
        <v>3</v>
      </c>
      <c r="M455" s="2" t="n">
        <v>37</v>
      </c>
    </row>
    <row r="456" customFormat="false" ht="61.15" hidden="false" customHeight="false" outlineLevel="0" collapsed="false">
      <c r="A456" s="2" t="s">
        <v>2538</v>
      </c>
      <c r="B456" s="2" t="s">
        <v>1185</v>
      </c>
      <c r="C456" s="2" t="s">
        <v>2028</v>
      </c>
      <c r="D456" s="2" t="s">
        <v>2539</v>
      </c>
      <c r="E456" s="2" t="s">
        <v>2540</v>
      </c>
      <c r="F456" s="2" t="s">
        <v>2541</v>
      </c>
      <c r="G456" s="2" t="s">
        <v>2542</v>
      </c>
      <c r="H456" s="2" t="s">
        <v>20</v>
      </c>
      <c r="I456" s="2" t="s">
        <v>2543</v>
      </c>
      <c r="J456" s="2" t="s">
        <v>2028</v>
      </c>
      <c r="K456" s="2" t="s">
        <v>1193</v>
      </c>
      <c r="L456" s="2" t="n">
        <v>2</v>
      </c>
      <c r="M456" s="2" t="n">
        <v>38</v>
      </c>
    </row>
    <row r="457" customFormat="false" ht="46.25" hidden="false" customHeight="false" outlineLevel="0" collapsed="false">
      <c r="A457" s="2" t="s">
        <v>2544</v>
      </c>
      <c r="B457" s="2" t="s">
        <v>1185</v>
      </c>
      <c r="C457" s="2" t="s">
        <v>2028</v>
      </c>
      <c r="D457" s="2" t="s">
        <v>2545</v>
      </c>
      <c r="E457" s="2" t="s">
        <v>2546</v>
      </c>
      <c r="F457" s="2" t="s">
        <v>2547</v>
      </c>
      <c r="G457" s="2" t="s">
        <v>2548</v>
      </c>
      <c r="H457" s="2" t="s">
        <v>20</v>
      </c>
      <c r="I457" s="2" t="s">
        <v>2549</v>
      </c>
      <c r="J457" s="2" t="s">
        <v>2028</v>
      </c>
      <c r="K457" s="2" t="s">
        <v>1193</v>
      </c>
      <c r="L457" s="2" t="n">
        <v>2</v>
      </c>
      <c r="M457" s="2" t="n">
        <v>38</v>
      </c>
    </row>
    <row r="458" customFormat="false" ht="76.1" hidden="false" customHeight="false" outlineLevel="0" collapsed="false">
      <c r="A458" s="2" t="s">
        <v>2550</v>
      </c>
      <c r="B458" s="2" t="s">
        <v>1185</v>
      </c>
      <c r="C458" s="2" t="s">
        <v>2028</v>
      </c>
      <c r="D458" s="2" t="s">
        <v>2551</v>
      </c>
      <c r="E458" s="2" t="s">
        <v>2552</v>
      </c>
      <c r="F458" s="2" t="s">
        <v>2553</v>
      </c>
      <c r="G458" s="2" t="s">
        <v>2554</v>
      </c>
      <c r="H458" s="2" t="s">
        <v>20</v>
      </c>
      <c r="I458" s="2" t="s">
        <v>2555</v>
      </c>
      <c r="J458" s="2" t="s">
        <v>2556</v>
      </c>
      <c r="K458" s="2" t="s">
        <v>1193</v>
      </c>
      <c r="L458" s="2" t="n">
        <v>1</v>
      </c>
      <c r="M458" s="2" t="n">
        <v>40</v>
      </c>
    </row>
    <row r="459" customFormat="false" ht="76.1" hidden="false" customHeight="false" outlineLevel="0" collapsed="false">
      <c r="A459" s="2" t="s">
        <v>2557</v>
      </c>
      <c r="B459" s="2" t="s">
        <v>1185</v>
      </c>
      <c r="C459" s="2" t="s">
        <v>2028</v>
      </c>
      <c r="D459" s="2" t="s">
        <v>2558</v>
      </c>
      <c r="E459" s="2" t="s">
        <v>2559</v>
      </c>
      <c r="F459" s="2" t="s">
        <v>2560</v>
      </c>
      <c r="G459" s="2" t="s">
        <v>2561</v>
      </c>
      <c r="H459" s="2" t="s">
        <v>20</v>
      </c>
      <c r="I459" s="2" t="s">
        <v>2562</v>
      </c>
      <c r="J459" s="2" t="s">
        <v>2563</v>
      </c>
      <c r="K459" s="2" t="s">
        <v>1193</v>
      </c>
      <c r="L459" s="2" t="n">
        <v>2</v>
      </c>
      <c r="M459" s="2" t="n">
        <v>37</v>
      </c>
    </row>
    <row r="460" customFormat="false" ht="61.15" hidden="false" customHeight="false" outlineLevel="0" collapsed="false">
      <c r="A460" s="2" t="s">
        <v>2564</v>
      </c>
      <c r="B460" s="2" t="s">
        <v>1185</v>
      </c>
      <c r="C460" s="2" t="s">
        <v>2028</v>
      </c>
      <c r="D460" s="2" t="s">
        <v>2565</v>
      </c>
      <c r="E460" s="2" t="s">
        <v>2566</v>
      </c>
      <c r="F460" s="2" t="s">
        <v>2567</v>
      </c>
      <c r="G460" s="2" t="s">
        <v>2568</v>
      </c>
      <c r="H460" s="2" t="s">
        <v>20</v>
      </c>
      <c r="I460" s="2" t="s">
        <v>2569</v>
      </c>
      <c r="J460" s="2" t="s">
        <v>2563</v>
      </c>
      <c r="K460" s="2" t="s">
        <v>1193</v>
      </c>
      <c r="L460" s="2" t="n">
        <v>2</v>
      </c>
      <c r="M460" s="2" t="n">
        <v>37</v>
      </c>
    </row>
    <row r="461" customFormat="false" ht="61.15" hidden="false" customHeight="false" outlineLevel="0" collapsed="false">
      <c r="A461" s="2" t="s">
        <v>2570</v>
      </c>
      <c r="B461" s="2" t="s">
        <v>1185</v>
      </c>
      <c r="C461" s="2" t="s">
        <v>2028</v>
      </c>
      <c r="D461" s="2" t="s">
        <v>2571</v>
      </c>
      <c r="E461" s="2" t="s">
        <v>2572</v>
      </c>
      <c r="F461" s="2" t="s">
        <v>2573</v>
      </c>
      <c r="G461" s="2" t="s">
        <v>2574</v>
      </c>
      <c r="H461" s="2" t="s">
        <v>20</v>
      </c>
      <c r="I461" s="2" t="s">
        <v>2575</v>
      </c>
      <c r="J461" s="2" t="s">
        <v>2563</v>
      </c>
      <c r="K461" s="2" t="s">
        <v>1193</v>
      </c>
      <c r="L461" s="2" t="n">
        <v>2</v>
      </c>
      <c r="M461" s="2" t="n">
        <v>37</v>
      </c>
    </row>
    <row r="462" customFormat="false" ht="61.15" hidden="false" customHeight="false" outlineLevel="0" collapsed="false">
      <c r="A462" s="2" t="s">
        <v>2576</v>
      </c>
      <c r="B462" s="2" t="s">
        <v>1185</v>
      </c>
      <c r="C462" s="2" t="s">
        <v>2028</v>
      </c>
      <c r="D462" s="2" t="s">
        <v>2577</v>
      </c>
      <c r="E462" s="2" t="s">
        <v>2578</v>
      </c>
      <c r="F462" s="2" t="s">
        <v>2579</v>
      </c>
      <c r="G462" s="2" t="s">
        <v>2580</v>
      </c>
      <c r="H462" s="2" t="s">
        <v>20</v>
      </c>
      <c r="I462" s="2" t="s">
        <v>2581</v>
      </c>
      <c r="J462" s="2" t="s">
        <v>2582</v>
      </c>
      <c r="K462" s="2" t="s">
        <v>1193</v>
      </c>
      <c r="L462" s="2" t="n">
        <v>1</v>
      </c>
      <c r="M462" s="2" t="n">
        <v>37</v>
      </c>
    </row>
    <row r="463" customFormat="false" ht="61.15" hidden="false" customHeight="false" outlineLevel="0" collapsed="false">
      <c r="A463" s="2" t="s">
        <v>2583</v>
      </c>
      <c r="B463" s="2" t="s">
        <v>1185</v>
      </c>
      <c r="C463" s="2" t="s">
        <v>2028</v>
      </c>
      <c r="D463" s="2" t="s">
        <v>2584</v>
      </c>
      <c r="E463" s="2" t="s">
        <v>2585</v>
      </c>
      <c r="F463" s="2" t="s">
        <v>2586</v>
      </c>
      <c r="G463" s="2" t="s">
        <v>2587</v>
      </c>
      <c r="H463" s="2" t="s">
        <v>20</v>
      </c>
      <c r="I463" s="2" t="s">
        <v>2588</v>
      </c>
      <c r="J463" s="2" t="s">
        <v>2582</v>
      </c>
      <c r="K463" s="2" t="s">
        <v>1193</v>
      </c>
      <c r="L463" s="2" t="n">
        <v>2</v>
      </c>
      <c r="M463" s="2" t="n">
        <v>37</v>
      </c>
    </row>
    <row r="464" customFormat="false" ht="46.25" hidden="false" customHeight="false" outlineLevel="0" collapsed="false">
      <c r="A464" s="2" t="s">
        <v>2589</v>
      </c>
      <c r="B464" s="2" t="s">
        <v>1185</v>
      </c>
      <c r="C464" s="2" t="s">
        <v>2028</v>
      </c>
      <c r="D464" s="2" t="s">
        <v>2590</v>
      </c>
      <c r="E464" s="2" t="s">
        <v>2591</v>
      </c>
      <c r="F464" s="2" t="s">
        <v>2592</v>
      </c>
      <c r="G464" s="2" t="s">
        <v>2593</v>
      </c>
      <c r="H464" s="2" t="s">
        <v>20</v>
      </c>
      <c r="I464" s="2" t="s">
        <v>2594</v>
      </c>
      <c r="J464" s="2" t="s">
        <v>2582</v>
      </c>
      <c r="K464" s="2" t="s">
        <v>1193</v>
      </c>
      <c r="L464" s="2" t="n">
        <v>1</v>
      </c>
      <c r="M464" s="2" t="n">
        <v>38</v>
      </c>
    </row>
    <row r="465" customFormat="false" ht="46.25" hidden="false" customHeight="false" outlineLevel="0" collapsed="false">
      <c r="A465" s="2" t="s">
        <v>2595</v>
      </c>
      <c r="B465" s="2" t="s">
        <v>1185</v>
      </c>
      <c r="C465" s="2" t="s">
        <v>2028</v>
      </c>
      <c r="D465" s="2" t="s">
        <v>2596</v>
      </c>
      <c r="E465" s="2" t="s">
        <v>2597</v>
      </c>
      <c r="F465" s="2" t="s">
        <v>2598</v>
      </c>
      <c r="G465" s="2" t="s">
        <v>2599</v>
      </c>
      <c r="H465" s="2" t="s">
        <v>20</v>
      </c>
      <c r="I465" s="2" t="s">
        <v>2600</v>
      </c>
      <c r="J465" s="2" t="s">
        <v>2582</v>
      </c>
      <c r="K465" s="2" t="s">
        <v>1193</v>
      </c>
      <c r="L465" s="2" t="n">
        <v>1</v>
      </c>
      <c r="M465" s="2" t="n">
        <v>38</v>
      </c>
    </row>
    <row r="466" customFormat="false" ht="76.1" hidden="false" customHeight="false" outlineLevel="0" collapsed="false">
      <c r="A466" s="2" t="s">
        <v>2601</v>
      </c>
      <c r="B466" s="2" t="s">
        <v>1185</v>
      </c>
      <c r="C466" s="2" t="s">
        <v>2028</v>
      </c>
      <c r="D466" s="2" t="s">
        <v>2602</v>
      </c>
      <c r="E466" s="2" t="s">
        <v>2603</v>
      </c>
      <c r="F466" s="2" t="s">
        <v>2604</v>
      </c>
      <c r="G466" s="2" t="s">
        <v>2605</v>
      </c>
      <c r="H466" s="2" t="s">
        <v>20</v>
      </c>
      <c r="I466" s="2" t="s">
        <v>2606</v>
      </c>
      <c r="J466" s="2" t="s">
        <v>2582</v>
      </c>
      <c r="K466" s="2" t="s">
        <v>1193</v>
      </c>
      <c r="L466" s="2" t="n">
        <v>3</v>
      </c>
      <c r="M466" s="2" t="n">
        <v>38</v>
      </c>
    </row>
    <row r="467" customFormat="false" ht="61.15" hidden="false" customHeight="false" outlineLevel="0" collapsed="false">
      <c r="A467" s="2" t="s">
        <v>2607</v>
      </c>
      <c r="B467" s="2" t="s">
        <v>1185</v>
      </c>
      <c r="C467" s="2" t="s">
        <v>2028</v>
      </c>
      <c r="D467" s="2" t="s">
        <v>2608</v>
      </c>
      <c r="E467" s="2" t="s">
        <v>2609</v>
      </c>
      <c r="F467" s="2" t="s">
        <v>2610</v>
      </c>
      <c r="G467" s="2" t="s">
        <v>2611</v>
      </c>
      <c r="H467" s="2" t="s">
        <v>20</v>
      </c>
      <c r="I467" s="2" t="s">
        <v>2612</v>
      </c>
      <c r="J467" s="2" t="s">
        <v>2582</v>
      </c>
      <c r="K467" s="2" t="s">
        <v>1193</v>
      </c>
      <c r="L467" s="2" t="n">
        <v>2</v>
      </c>
      <c r="M467" s="2" t="n">
        <v>38</v>
      </c>
    </row>
    <row r="468" customFormat="false" ht="46.25" hidden="false" customHeight="false" outlineLevel="0" collapsed="false">
      <c r="A468" s="2" t="s">
        <v>2613</v>
      </c>
      <c r="B468" s="2" t="s">
        <v>1185</v>
      </c>
      <c r="C468" s="2" t="s">
        <v>2028</v>
      </c>
      <c r="D468" s="2" t="s">
        <v>2614</v>
      </c>
      <c r="E468" s="2" t="s">
        <v>2356</v>
      </c>
      <c r="F468" s="2" t="s">
        <v>2615</v>
      </c>
      <c r="G468" s="2" t="s">
        <v>2357</v>
      </c>
      <c r="H468" s="2" t="s">
        <v>20</v>
      </c>
      <c r="I468" s="2" t="s">
        <v>2616</v>
      </c>
      <c r="J468" s="2" t="s">
        <v>2582</v>
      </c>
      <c r="K468" s="2" t="s">
        <v>1193</v>
      </c>
      <c r="L468" s="2" t="n">
        <v>3</v>
      </c>
      <c r="M468" s="2" t="n">
        <v>38</v>
      </c>
    </row>
    <row r="469" customFormat="false" ht="46.25" hidden="false" customHeight="false" outlineLevel="0" collapsed="false">
      <c r="A469" s="2" t="s">
        <v>2617</v>
      </c>
      <c r="B469" s="2" t="s">
        <v>1185</v>
      </c>
      <c r="C469" s="2" t="s">
        <v>2028</v>
      </c>
      <c r="D469" s="2" t="s">
        <v>2618</v>
      </c>
      <c r="E469" s="2" t="s">
        <v>2619</v>
      </c>
      <c r="F469" s="2" t="s">
        <v>2620</v>
      </c>
      <c r="G469" s="2" t="s">
        <v>2621</v>
      </c>
      <c r="H469" s="2" t="s">
        <v>20</v>
      </c>
      <c r="I469" s="2" t="s">
        <v>2622</v>
      </c>
      <c r="J469" s="2" t="s">
        <v>2623</v>
      </c>
      <c r="K469" s="2" t="s">
        <v>1193</v>
      </c>
      <c r="L469" s="2" t="n">
        <v>1</v>
      </c>
      <c r="M469" s="2" t="n">
        <v>38</v>
      </c>
    </row>
    <row r="470" customFormat="false" ht="46.25" hidden="false" customHeight="false" outlineLevel="0" collapsed="false">
      <c r="A470" s="2" t="s">
        <v>2624</v>
      </c>
      <c r="B470" s="2" t="s">
        <v>1185</v>
      </c>
      <c r="C470" s="2" t="s">
        <v>2028</v>
      </c>
      <c r="D470" s="2" t="s">
        <v>2625</v>
      </c>
      <c r="E470" s="2" t="s">
        <v>2626</v>
      </c>
      <c r="F470" s="2" t="s">
        <v>2627</v>
      </c>
      <c r="G470" s="2" t="s">
        <v>2628</v>
      </c>
      <c r="H470" s="2" t="s">
        <v>20</v>
      </c>
      <c r="I470" s="2" t="s">
        <v>2629</v>
      </c>
      <c r="J470" s="2" t="s">
        <v>2623</v>
      </c>
      <c r="K470" s="2" t="s">
        <v>1193</v>
      </c>
      <c r="L470" s="2" t="n">
        <v>1</v>
      </c>
      <c r="M470" s="2" t="n">
        <v>38</v>
      </c>
    </row>
    <row r="471" customFormat="false" ht="61.15" hidden="false" customHeight="false" outlineLevel="0" collapsed="false">
      <c r="A471" s="2" t="s">
        <v>2630</v>
      </c>
      <c r="B471" s="2" t="s">
        <v>1185</v>
      </c>
      <c r="C471" s="2" t="s">
        <v>2028</v>
      </c>
      <c r="D471" s="2" t="s">
        <v>2631</v>
      </c>
      <c r="E471" s="2" t="s">
        <v>2632</v>
      </c>
      <c r="F471" s="2" t="s">
        <v>2633</v>
      </c>
      <c r="G471" s="2" t="s">
        <v>2634</v>
      </c>
      <c r="H471" s="2" t="s">
        <v>20</v>
      </c>
      <c r="I471" s="2" t="s">
        <v>2635</v>
      </c>
      <c r="J471" s="2" t="s">
        <v>2623</v>
      </c>
      <c r="K471" s="2" t="s">
        <v>1193</v>
      </c>
      <c r="L471" s="2" t="n">
        <v>3</v>
      </c>
      <c r="M471" s="2" t="n">
        <v>38</v>
      </c>
    </row>
    <row r="472" customFormat="false" ht="76.1" hidden="false" customHeight="false" outlineLevel="0" collapsed="false">
      <c r="A472" s="2" t="s">
        <v>2636</v>
      </c>
      <c r="B472" s="2" t="s">
        <v>1185</v>
      </c>
      <c r="C472" s="2" t="s">
        <v>2028</v>
      </c>
      <c r="D472" s="2" t="s">
        <v>2637</v>
      </c>
      <c r="E472" s="2" t="s">
        <v>2638</v>
      </c>
      <c r="F472" s="2" t="s">
        <v>2639</v>
      </c>
      <c r="G472" s="2" t="s">
        <v>2640</v>
      </c>
      <c r="H472" s="2" t="s">
        <v>20</v>
      </c>
      <c r="I472" s="2" t="s">
        <v>2641</v>
      </c>
      <c r="J472" s="2" t="s">
        <v>2623</v>
      </c>
      <c r="K472" s="2" t="s">
        <v>1193</v>
      </c>
      <c r="L472" s="2" t="n">
        <v>2</v>
      </c>
      <c r="M472" s="2" t="n">
        <v>38</v>
      </c>
    </row>
    <row r="473" customFormat="false" ht="76.1" hidden="false" customHeight="false" outlineLevel="0" collapsed="false">
      <c r="A473" s="2" t="s">
        <v>2642</v>
      </c>
      <c r="B473" s="2" t="s">
        <v>1185</v>
      </c>
      <c r="C473" s="2" t="s">
        <v>2028</v>
      </c>
      <c r="D473" s="2" t="s">
        <v>2643</v>
      </c>
      <c r="E473" s="2" t="s">
        <v>2644</v>
      </c>
      <c r="F473" s="2" t="s">
        <v>2645</v>
      </c>
      <c r="G473" s="2" t="s">
        <v>2646</v>
      </c>
      <c r="H473" s="2" t="s">
        <v>20</v>
      </c>
      <c r="I473" s="2" t="s">
        <v>2647</v>
      </c>
      <c r="J473" s="2" t="s">
        <v>2623</v>
      </c>
      <c r="K473" s="2" t="s">
        <v>1193</v>
      </c>
      <c r="L473" s="2" t="n">
        <v>2</v>
      </c>
      <c r="M473" s="2" t="n">
        <v>38</v>
      </c>
    </row>
    <row r="474" customFormat="false" ht="61.15" hidden="false" customHeight="false" outlineLevel="0" collapsed="false">
      <c r="A474" s="2" t="s">
        <v>2648</v>
      </c>
      <c r="B474" s="2" t="s">
        <v>1185</v>
      </c>
      <c r="C474" s="2" t="s">
        <v>2028</v>
      </c>
      <c r="D474" s="2" t="s">
        <v>2649</v>
      </c>
      <c r="E474" s="2" t="s">
        <v>2650</v>
      </c>
      <c r="F474" s="2" t="s">
        <v>2651</v>
      </c>
      <c r="G474" s="2" t="s">
        <v>2652</v>
      </c>
      <c r="H474" s="2" t="s">
        <v>20</v>
      </c>
      <c r="I474" s="2" t="s">
        <v>2653</v>
      </c>
      <c r="J474" s="2" t="s">
        <v>2654</v>
      </c>
      <c r="K474" s="2" t="s">
        <v>1193</v>
      </c>
      <c r="L474" s="2" t="n">
        <v>2</v>
      </c>
      <c r="M474" s="2" t="n">
        <v>38</v>
      </c>
    </row>
    <row r="475" customFormat="false" ht="46.25" hidden="false" customHeight="false" outlineLevel="0" collapsed="false">
      <c r="A475" s="2" t="s">
        <v>2655</v>
      </c>
      <c r="B475" s="2" t="s">
        <v>1185</v>
      </c>
      <c r="C475" s="2" t="s">
        <v>2028</v>
      </c>
      <c r="D475" s="2" t="s">
        <v>2656</v>
      </c>
      <c r="E475" s="2" t="s">
        <v>2657</v>
      </c>
      <c r="F475" s="2" t="s">
        <v>2658</v>
      </c>
      <c r="G475" s="2" t="s">
        <v>2659</v>
      </c>
      <c r="H475" s="2" t="s">
        <v>20</v>
      </c>
      <c r="I475" s="2" t="s">
        <v>2660</v>
      </c>
      <c r="J475" s="2" t="s">
        <v>2654</v>
      </c>
      <c r="K475" s="2" t="s">
        <v>1193</v>
      </c>
      <c r="L475" s="2" t="n">
        <v>1</v>
      </c>
      <c r="M475" s="2" t="n">
        <v>38</v>
      </c>
    </row>
    <row r="476" customFormat="false" ht="76.1" hidden="false" customHeight="false" outlineLevel="0" collapsed="false">
      <c r="A476" s="2" t="s">
        <v>2661</v>
      </c>
      <c r="B476" s="2" t="s">
        <v>1185</v>
      </c>
      <c r="C476" s="2" t="s">
        <v>2028</v>
      </c>
      <c r="D476" s="2" t="s">
        <v>2662</v>
      </c>
      <c r="E476" s="2" t="s">
        <v>2663</v>
      </c>
      <c r="F476" s="2" t="s">
        <v>2664</v>
      </c>
      <c r="G476" s="2" t="s">
        <v>2665</v>
      </c>
      <c r="H476" s="2" t="s">
        <v>20</v>
      </c>
      <c r="I476" s="2" t="s">
        <v>2666</v>
      </c>
      <c r="J476" s="2" t="s">
        <v>2654</v>
      </c>
      <c r="K476" s="2" t="s">
        <v>1193</v>
      </c>
      <c r="L476" s="2" t="n">
        <v>2</v>
      </c>
      <c r="M476" s="2" t="n">
        <v>38</v>
      </c>
    </row>
    <row r="477" customFormat="false" ht="46.25" hidden="false" customHeight="false" outlineLevel="0" collapsed="false">
      <c r="A477" s="2" t="s">
        <v>2667</v>
      </c>
      <c r="B477" s="2" t="s">
        <v>1185</v>
      </c>
      <c r="C477" s="2" t="s">
        <v>2028</v>
      </c>
      <c r="D477" s="2" t="s">
        <v>2668</v>
      </c>
      <c r="E477" s="2" t="s">
        <v>2669</v>
      </c>
      <c r="F477" s="2" t="s">
        <v>2670</v>
      </c>
      <c r="G477" s="2" t="s">
        <v>2671</v>
      </c>
      <c r="H477" s="2" t="s">
        <v>20</v>
      </c>
      <c r="I477" s="2" t="s">
        <v>2672</v>
      </c>
      <c r="J477" s="2" t="s">
        <v>2654</v>
      </c>
      <c r="K477" s="2" t="s">
        <v>1193</v>
      </c>
      <c r="L477" s="2" t="n">
        <v>2</v>
      </c>
      <c r="M477" s="2" t="n">
        <v>38</v>
      </c>
    </row>
    <row r="478" customFormat="false" ht="46.25" hidden="false" customHeight="false" outlineLevel="0" collapsed="false">
      <c r="A478" s="2" t="s">
        <v>2673</v>
      </c>
      <c r="B478" s="2" t="s">
        <v>1185</v>
      </c>
      <c r="C478" s="2" t="s">
        <v>2028</v>
      </c>
      <c r="D478" s="2" t="s">
        <v>2674</v>
      </c>
      <c r="E478" s="2" t="s">
        <v>2675</v>
      </c>
      <c r="F478" s="2" t="s">
        <v>2676</v>
      </c>
      <c r="G478" s="2" t="s">
        <v>2677</v>
      </c>
      <c r="H478" s="2" t="s">
        <v>20</v>
      </c>
      <c r="I478" s="2" t="s">
        <v>2678</v>
      </c>
      <c r="J478" s="2" t="s">
        <v>2654</v>
      </c>
      <c r="K478" s="2" t="s">
        <v>1193</v>
      </c>
      <c r="L478" s="2" t="n">
        <v>2</v>
      </c>
      <c r="M478" s="2" t="n">
        <v>38</v>
      </c>
    </row>
    <row r="479" customFormat="false" ht="61.15" hidden="false" customHeight="false" outlineLevel="0" collapsed="false">
      <c r="A479" s="2" t="s">
        <v>2679</v>
      </c>
      <c r="B479" s="2" t="s">
        <v>1185</v>
      </c>
      <c r="C479" s="2" t="s">
        <v>2028</v>
      </c>
      <c r="D479" s="2" t="s">
        <v>2680</v>
      </c>
      <c r="E479" s="2" t="s">
        <v>2681</v>
      </c>
      <c r="F479" s="2" t="s">
        <v>2682</v>
      </c>
      <c r="G479" s="2" t="s">
        <v>2683</v>
      </c>
      <c r="H479" s="2" t="s">
        <v>20</v>
      </c>
      <c r="I479" s="2" t="s">
        <v>2684</v>
      </c>
      <c r="J479" s="2" t="s">
        <v>2654</v>
      </c>
      <c r="K479" s="2" t="s">
        <v>1193</v>
      </c>
      <c r="L479" s="2" t="n">
        <v>3</v>
      </c>
      <c r="M479" s="2" t="n">
        <v>38</v>
      </c>
    </row>
    <row r="480" customFormat="false" ht="76.1" hidden="false" customHeight="false" outlineLevel="0" collapsed="false">
      <c r="A480" s="2" t="s">
        <v>2685</v>
      </c>
      <c r="B480" s="2" t="s">
        <v>1185</v>
      </c>
      <c r="C480" s="2" t="s">
        <v>2028</v>
      </c>
      <c r="D480" s="2" t="s">
        <v>2686</v>
      </c>
      <c r="E480" s="2" t="s">
        <v>2687</v>
      </c>
      <c r="F480" s="2" t="s">
        <v>2688</v>
      </c>
      <c r="G480" s="2" t="s">
        <v>2689</v>
      </c>
      <c r="H480" s="2" t="s">
        <v>20</v>
      </c>
      <c r="I480" s="2" t="s">
        <v>2690</v>
      </c>
      <c r="J480" s="2" t="s">
        <v>2654</v>
      </c>
      <c r="K480" s="2" t="s">
        <v>1193</v>
      </c>
      <c r="L480" s="2" t="n">
        <v>3</v>
      </c>
      <c r="M480" s="2" t="n">
        <v>38</v>
      </c>
    </row>
    <row r="481" customFormat="false" ht="61.15" hidden="false" customHeight="false" outlineLevel="0" collapsed="false">
      <c r="A481" s="2" t="s">
        <v>2691</v>
      </c>
      <c r="B481" s="2" t="s">
        <v>1185</v>
      </c>
      <c r="C481" s="2" t="s">
        <v>2028</v>
      </c>
      <c r="D481" s="2" t="s">
        <v>2692</v>
      </c>
      <c r="E481" s="2" t="s">
        <v>1608</v>
      </c>
      <c r="F481" s="2" t="s">
        <v>1607</v>
      </c>
      <c r="G481" s="2" t="s">
        <v>2693</v>
      </c>
      <c r="H481" s="2" t="s">
        <v>20</v>
      </c>
      <c r="I481" s="2" t="s">
        <v>2694</v>
      </c>
      <c r="J481" s="2" t="s">
        <v>2654</v>
      </c>
      <c r="K481" s="2" t="s">
        <v>1193</v>
      </c>
      <c r="L481" s="2" t="n">
        <v>2</v>
      </c>
      <c r="M481" s="2" t="n">
        <v>38</v>
      </c>
    </row>
    <row r="482" customFormat="false" ht="76.1" hidden="false" customHeight="false" outlineLevel="0" collapsed="false">
      <c r="A482" s="2" t="s">
        <v>2695</v>
      </c>
      <c r="B482" s="2" t="s">
        <v>1185</v>
      </c>
      <c r="C482" s="2" t="s">
        <v>2028</v>
      </c>
      <c r="D482" s="2" t="s">
        <v>2696</v>
      </c>
      <c r="E482" s="2" t="s">
        <v>2697</v>
      </c>
      <c r="F482" s="2" t="s">
        <v>2698</v>
      </c>
      <c r="G482" s="2" t="s">
        <v>2699</v>
      </c>
      <c r="H482" s="2" t="s">
        <v>20</v>
      </c>
      <c r="I482" s="2" t="s">
        <v>2700</v>
      </c>
      <c r="J482" s="2" t="s">
        <v>2654</v>
      </c>
      <c r="K482" s="2" t="s">
        <v>1193</v>
      </c>
      <c r="L482" s="2" t="n">
        <v>3</v>
      </c>
      <c r="M482" s="2" t="n">
        <v>39</v>
      </c>
    </row>
    <row r="483" customFormat="false" ht="76.1" hidden="false" customHeight="false" outlineLevel="0" collapsed="false">
      <c r="A483" s="2" t="s">
        <v>2701</v>
      </c>
      <c r="B483" s="2" t="s">
        <v>1185</v>
      </c>
      <c r="C483" s="2" t="s">
        <v>2028</v>
      </c>
      <c r="D483" s="2" t="s">
        <v>2702</v>
      </c>
      <c r="E483" s="2" t="s">
        <v>2703</v>
      </c>
      <c r="F483" s="2" t="s">
        <v>2704</v>
      </c>
      <c r="G483" s="2" t="s">
        <v>2705</v>
      </c>
      <c r="H483" s="2" t="s">
        <v>20</v>
      </c>
      <c r="I483" s="2" t="s">
        <v>2706</v>
      </c>
      <c r="J483" s="2" t="s">
        <v>2707</v>
      </c>
      <c r="K483" s="2" t="s">
        <v>1193</v>
      </c>
      <c r="L483" s="2" t="n">
        <v>1</v>
      </c>
      <c r="M483" s="2" t="n">
        <v>39</v>
      </c>
    </row>
    <row r="484" customFormat="false" ht="76.1" hidden="false" customHeight="false" outlineLevel="0" collapsed="false">
      <c r="A484" s="2" t="s">
        <v>2708</v>
      </c>
      <c r="B484" s="2" t="s">
        <v>1185</v>
      </c>
      <c r="C484" s="2" t="s">
        <v>2028</v>
      </c>
      <c r="D484" s="2" t="s">
        <v>2709</v>
      </c>
      <c r="E484" s="2" t="s">
        <v>2528</v>
      </c>
      <c r="F484" s="2" t="s">
        <v>2710</v>
      </c>
      <c r="G484" s="2" t="s">
        <v>2711</v>
      </c>
      <c r="H484" s="2" t="s">
        <v>20</v>
      </c>
      <c r="I484" s="2" t="s">
        <v>2712</v>
      </c>
      <c r="J484" s="2" t="s">
        <v>2707</v>
      </c>
      <c r="K484" s="2" t="s">
        <v>1193</v>
      </c>
      <c r="L484" s="2" t="n">
        <v>2</v>
      </c>
      <c r="M484" s="2" t="n">
        <v>39</v>
      </c>
    </row>
    <row r="485" customFormat="false" ht="76.1" hidden="false" customHeight="false" outlineLevel="0" collapsed="false">
      <c r="A485" s="2" t="s">
        <v>2713</v>
      </c>
      <c r="B485" s="2" t="s">
        <v>1185</v>
      </c>
      <c r="C485" s="2" t="s">
        <v>2028</v>
      </c>
      <c r="D485" s="2" t="s">
        <v>2714</v>
      </c>
      <c r="E485" s="2" t="s">
        <v>2715</v>
      </c>
      <c r="F485" s="2" t="s">
        <v>2716</v>
      </c>
      <c r="G485" s="2" t="s">
        <v>2717</v>
      </c>
      <c r="H485" s="2" t="s">
        <v>20</v>
      </c>
      <c r="I485" s="2" t="s">
        <v>2718</v>
      </c>
      <c r="J485" s="2" t="s">
        <v>2707</v>
      </c>
      <c r="K485" s="2" t="s">
        <v>1193</v>
      </c>
      <c r="L485" s="2" t="n">
        <v>2</v>
      </c>
      <c r="M485" s="2" t="n">
        <v>39</v>
      </c>
    </row>
    <row r="486" customFormat="false" ht="76.1" hidden="false" customHeight="false" outlineLevel="0" collapsed="false">
      <c r="A486" s="2" t="s">
        <v>2719</v>
      </c>
      <c r="B486" s="2" t="s">
        <v>1185</v>
      </c>
      <c r="C486" s="2" t="s">
        <v>2028</v>
      </c>
      <c r="D486" s="2" t="s">
        <v>2720</v>
      </c>
      <c r="E486" s="2" t="s">
        <v>2721</v>
      </c>
      <c r="F486" s="2" t="s">
        <v>2722</v>
      </c>
      <c r="G486" s="2" t="s">
        <v>2723</v>
      </c>
      <c r="H486" s="2" t="s">
        <v>20</v>
      </c>
      <c r="I486" s="2" t="s">
        <v>2724</v>
      </c>
      <c r="J486" s="2" t="s">
        <v>2707</v>
      </c>
      <c r="K486" s="2" t="s">
        <v>1193</v>
      </c>
      <c r="L486" s="2" t="n">
        <v>2</v>
      </c>
      <c r="M486" s="2" t="n">
        <v>39</v>
      </c>
    </row>
    <row r="487" customFormat="false" ht="76.1" hidden="false" customHeight="false" outlineLevel="0" collapsed="false">
      <c r="A487" s="2" t="s">
        <v>2725</v>
      </c>
      <c r="B487" s="2" t="s">
        <v>1185</v>
      </c>
      <c r="C487" s="2" t="s">
        <v>2028</v>
      </c>
      <c r="D487" s="2" t="s">
        <v>2726</v>
      </c>
      <c r="E487" s="2" t="s">
        <v>2727</v>
      </c>
      <c r="F487" s="2" t="s">
        <v>2728</v>
      </c>
      <c r="G487" s="2" t="s">
        <v>2729</v>
      </c>
      <c r="H487" s="2" t="s">
        <v>20</v>
      </c>
      <c r="I487" s="2" t="s">
        <v>2730</v>
      </c>
      <c r="J487" s="2" t="s">
        <v>2707</v>
      </c>
      <c r="K487" s="2" t="s">
        <v>1193</v>
      </c>
      <c r="L487" s="2" t="n">
        <v>3</v>
      </c>
      <c r="M487" s="2" t="n">
        <v>39</v>
      </c>
    </row>
    <row r="488" customFormat="false" ht="76.1" hidden="false" customHeight="false" outlineLevel="0" collapsed="false">
      <c r="A488" s="2" t="s">
        <v>2731</v>
      </c>
      <c r="B488" s="2" t="s">
        <v>1185</v>
      </c>
      <c r="C488" s="2" t="s">
        <v>2028</v>
      </c>
      <c r="D488" s="2" t="s">
        <v>2732</v>
      </c>
      <c r="E488" s="2" t="s">
        <v>2733</v>
      </c>
      <c r="F488" s="2" t="s">
        <v>2734</v>
      </c>
      <c r="G488" s="2" t="s">
        <v>2735</v>
      </c>
      <c r="H488" s="2" t="s">
        <v>20</v>
      </c>
      <c r="I488" s="2" t="s">
        <v>2736</v>
      </c>
      <c r="J488" s="2" t="s">
        <v>2707</v>
      </c>
      <c r="K488" s="2" t="s">
        <v>1193</v>
      </c>
      <c r="L488" s="2" t="n">
        <v>3</v>
      </c>
      <c r="M488" s="2" t="n">
        <v>39</v>
      </c>
    </row>
    <row r="489" customFormat="false" ht="76.1" hidden="false" customHeight="false" outlineLevel="0" collapsed="false">
      <c r="A489" s="2" t="s">
        <v>2737</v>
      </c>
      <c r="B489" s="2" t="s">
        <v>1185</v>
      </c>
      <c r="C489" s="2" t="s">
        <v>2028</v>
      </c>
      <c r="D489" s="2" t="s">
        <v>2738</v>
      </c>
      <c r="E489" s="2" t="s">
        <v>2739</v>
      </c>
      <c r="F489" s="2" t="s">
        <v>2740</v>
      </c>
      <c r="G489" s="2" t="s">
        <v>2741</v>
      </c>
      <c r="H489" s="2" t="s">
        <v>20</v>
      </c>
      <c r="I489" s="2" t="s">
        <v>2742</v>
      </c>
      <c r="J489" s="2" t="s">
        <v>2707</v>
      </c>
      <c r="K489" s="2" t="s">
        <v>1193</v>
      </c>
      <c r="L489" s="2" t="n">
        <v>3</v>
      </c>
      <c r="M489" s="2" t="n">
        <v>39</v>
      </c>
    </row>
    <row r="490" customFormat="false" ht="76.1" hidden="false" customHeight="false" outlineLevel="0" collapsed="false">
      <c r="A490" s="2" t="s">
        <v>2743</v>
      </c>
      <c r="B490" s="2" t="s">
        <v>1185</v>
      </c>
      <c r="C490" s="2" t="s">
        <v>2028</v>
      </c>
      <c r="D490" s="2" t="s">
        <v>2744</v>
      </c>
      <c r="E490" s="2" t="s">
        <v>2745</v>
      </c>
      <c r="F490" s="2" t="s">
        <v>2746</v>
      </c>
      <c r="G490" s="2" t="s">
        <v>2747</v>
      </c>
      <c r="H490" s="2" t="s">
        <v>20</v>
      </c>
      <c r="I490" s="2" t="s">
        <v>2748</v>
      </c>
      <c r="J490" s="2" t="s">
        <v>2707</v>
      </c>
      <c r="K490" s="2" t="s">
        <v>1193</v>
      </c>
      <c r="L490" s="2" t="n">
        <v>3</v>
      </c>
      <c r="M490" s="2" t="n">
        <v>39</v>
      </c>
    </row>
    <row r="491" customFormat="false" ht="76.1" hidden="false" customHeight="false" outlineLevel="0" collapsed="false">
      <c r="A491" s="2" t="s">
        <v>2749</v>
      </c>
      <c r="B491" s="2" t="s">
        <v>1185</v>
      </c>
      <c r="C491" s="2" t="s">
        <v>2028</v>
      </c>
      <c r="D491" s="2" t="s">
        <v>2750</v>
      </c>
      <c r="E491" s="2" t="s">
        <v>2751</v>
      </c>
      <c r="F491" s="2" t="s">
        <v>2752</v>
      </c>
      <c r="G491" s="2" t="s">
        <v>2753</v>
      </c>
      <c r="H491" s="2" t="s">
        <v>20</v>
      </c>
      <c r="I491" s="2" t="s">
        <v>2754</v>
      </c>
      <c r="J491" s="2" t="s">
        <v>2707</v>
      </c>
      <c r="K491" s="2" t="s">
        <v>1193</v>
      </c>
      <c r="L491" s="2" t="n">
        <v>3</v>
      </c>
      <c r="M491" s="2" t="n">
        <v>40</v>
      </c>
    </row>
    <row r="492" customFormat="false" ht="76.1" hidden="false" customHeight="false" outlineLevel="0" collapsed="false">
      <c r="A492" s="2" t="s">
        <v>2755</v>
      </c>
      <c r="B492" s="2" t="s">
        <v>1185</v>
      </c>
      <c r="C492" s="2" t="s">
        <v>2028</v>
      </c>
      <c r="D492" s="2" t="s">
        <v>2756</v>
      </c>
      <c r="E492" s="2" t="s">
        <v>2757</v>
      </c>
      <c r="F492" s="2" t="s">
        <v>2758</v>
      </c>
      <c r="G492" s="2" t="s">
        <v>2759</v>
      </c>
      <c r="H492" s="2" t="s">
        <v>20</v>
      </c>
      <c r="I492" s="2" t="s">
        <v>2760</v>
      </c>
      <c r="J492" s="2" t="s">
        <v>2707</v>
      </c>
      <c r="K492" s="2" t="s">
        <v>1193</v>
      </c>
      <c r="L492" s="2" t="n">
        <v>3</v>
      </c>
      <c r="M492" s="2" t="n">
        <v>39</v>
      </c>
    </row>
    <row r="493" customFormat="false" ht="61.15" hidden="false" customHeight="false" outlineLevel="0" collapsed="false">
      <c r="A493" s="2" t="s">
        <v>2761</v>
      </c>
      <c r="B493" s="2" t="s">
        <v>1185</v>
      </c>
      <c r="C493" s="2" t="s">
        <v>2028</v>
      </c>
      <c r="D493" s="2" t="s">
        <v>2762</v>
      </c>
      <c r="E493" s="2" t="s">
        <v>2763</v>
      </c>
      <c r="F493" s="2" t="s">
        <v>2764</v>
      </c>
      <c r="G493" s="2" t="s">
        <v>2765</v>
      </c>
      <c r="H493" s="2" t="s">
        <v>20</v>
      </c>
      <c r="I493" s="2" t="s">
        <v>2766</v>
      </c>
      <c r="J493" s="2" t="s">
        <v>2767</v>
      </c>
      <c r="K493" s="2" t="s">
        <v>1193</v>
      </c>
      <c r="L493" s="2" t="n">
        <v>2</v>
      </c>
      <c r="M493" s="2" t="n">
        <v>40</v>
      </c>
    </row>
    <row r="494" customFormat="false" ht="46.25" hidden="false" customHeight="false" outlineLevel="0" collapsed="false">
      <c r="A494" s="2" t="s">
        <v>2768</v>
      </c>
      <c r="B494" s="2" t="s">
        <v>1185</v>
      </c>
      <c r="C494" s="2" t="s">
        <v>2028</v>
      </c>
      <c r="D494" s="2" t="s">
        <v>2769</v>
      </c>
      <c r="E494" s="2" t="s">
        <v>2770</v>
      </c>
      <c r="F494" s="2" t="s">
        <v>2771</v>
      </c>
      <c r="G494" s="2" t="s">
        <v>2772</v>
      </c>
      <c r="H494" s="2" t="s">
        <v>20</v>
      </c>
      <c r="I494" s="2" t="s">
        <v>2773</v>
      </c>
      <c r="J494" s="2" t="s">
        <v>2767</v>
      </c>
      <c r="K494" s="2" t="s">
        <v>1193</v>
      </c>
      <c r="L494" s="2" t="n">
        <v>2</v>
      </c>
      <c r="M494" s="2" t="n">
        <v>40</v>
      </c>
    </row>
    <row r="495" customFormat="false" ht="46.25" hidden="false" customHeight="false" outlineLevel="0" collapsed="false">
      <c r="A495" s="2" t="s">
        <v>2774</v>
      </c>
      <c r="B495" s="2" t="s">
        <v>1185</v>
      </c>
      <c r="C495" s="2" t="s">
        <v>2028</v>
      </c>
      <c r="D495" s="2" t="s">
        <v>2775</v>
      </c>
      <c r="E495" s="2" t="s">
        <v>2776</v>
      </c>
      <c r="F495" s="2" t="s">
        <v>2777</v>
      </c>
      <c r="G495" s="2" t="s">
        <v>2778</v>
      </c>
      <c r="H495" s="2" t="s">
        <v>20</v>
      </c>
      <c r="I495" s="2" t="s">
        <v>2779</v>
      </c>
      <c r="J495" s="2" t="s">
        <v>2780</v>
      </c>
      <c r="K495" s="2" t="s">
        <v>1193</v>
      </c>
      <c r="L495" s="2" t="n">
        <v>1</v>
      </c>
      <c r="M495" s="2" t="n">
        <v>38</v>
      </c>
    </row>
    <row r="496" customFormat="false" ht="46.25" hidden="false" customHeight="false" outlineLevel="0" collapsed="false">
      <c r="A496" s="2" t="s">
        <v>2781</v>
      </c>
      <c r="B496" s="2" t="s">
        <v>1185</v>
      </c>
      <c r="C496" s="2" t="s">
        <v>2028</v>
      </c>
      <c r="D496" s="2" t="s">
        <v>2782</v>
      </c>
      <c r="E496" s="2" t="s">
        <v>2783</v>
      </c>
      <c r="F496" s="2" t="s">
        <v>2784</v>
      </c>
      <c r="G496" s="2" t="s">
        <v>2785</v>
      </c>
      <c r="H496" s="2" t="s">
        <v>20</v>
      </c>
      <c r="I496" s="2" t="s">
        <v>2786</v>
      </c>
      <c r="J496" s="2" t="s">
        <v>2780</v>
      </c>
      <c r="K496" s="2" t="s">
        <v>1193</v>
      </c>
      <c r="L496" s="2" t="n">
        <v>2</v>
      </c>
      <c r="M496" s="2" t="n">
        <v>38</v>
      </c>
    </row>
    <row r="497" customFormat="false" ht="61.15" hidden="false" customHeight="false" outlineLevel="0" collapsed="false">
      <c r="A497" s="2" t="s">
        <v>2787</v>
      </c>
      <c r="B497" s="2" t="s">
        <v>1185</v>
      </c>
      <c r="C497" s="2" t="s">
        <v>2028</v>
      </c>
      <c r="D497" s="2" t="s">
        <v>2788</v>
      </c>
      <c r="E497" s="2" t="s">
        <v>2789</v>
      </c>
      <c r="F497" s="2" t="s">
        <v>2790</v>
      </c>
      <c r="G497" s="2" t="s">
        <v>2791</v>
      </c>
      <c r="H497" s="2" t="s">
        <v>20</v>
      </c>
      <c r="I497" s="2" t="s">
        <v>2792</v>
      </c>
      <c r="J497" s="2" t="s">
        <v>2780</v>
      </c>
      <c r="K497" s="2" t="s">
        <v>1193</v>
      </c>
      <c r="L497" s="2" t="n">
        <v>2</v>
      </c>
      <c r="M497" s="2" t="n">
        <v>39</v>
      </c>
    </row>
    <row r="498" customFormat="false" ht="46.25" hidden="false" customHeight="false" outlineLevel="0" collapsed="false">
      <c r="A498" s="2" t="s">
        <v>2793</v>
      </c>
      <c r="B498" s="2" t="s">
        <v>1185</v>
      </c>
      <c r="C498" s="2" t="s">
        <v>2028</v>
      </c>
      <c r="D498" s="2" t="s">
        <v>2794</v>
      </c>
      <c r="E498" s="2" t="s">
        <v>2795</v>
      </c>
      <c r="F498" s="2" t="s">
        <v>2796</v>
      </c>
      <c r="G498" s="2" t="s">
        <v>2797</v>
      </c>
      <c r="H498" s="2" t="s">
        <v>20</v>
      </c>
      <c r="I498" s="2" t="s">
        <v>2798</v>
      </c>
      <c r="J498" s="2" t="s">
        <v>2799</v>
      </c>
      <c r="K498" s="2" t="s">
        <v>1193</v>
      </c>
      <c r="L498" s="2" t="n">
        <v>2</v>
      </c>
      <c r="M498" s="2" t="n">
        <v>39</v>
      </c>
    </row>
    <row r="499" customFormat="false" ht="46.25" hidden="false" customHeight="false" outlineLevel="0" collapsed="false">
      <c r="A499" s="2" t="s">
        <v>2800</v>
      </c>
      <c r="B499" s="2" t="s">
        <v>1185</v>
      </c>
      <c r="C499" s="2" t="s">
        <v>2028</v>
      </c>
      <c r="D499" s="2" t="s">
        <v>2801</v>
      </c>
      <c r="E499" s="2" t="s">
        <v>2802</v>
      </c>
      <c r="F499" s="2" t="s">
        <v>2803</v>
      </c>
      <c r="G499" s="2" t="s">
        <v>2804</v>
      </c>
      <c r="H499" s="2" t="s">
        <v>20</v>
      </c>
      <c r="I499" s="2" t="s">
        <v>2805</v>
      </c>
      <c r="J499" s="2" t="s">
        <v>2799</v>
      </c>
      <c r="K499" s="2" t="s">
        <v>1193</v>
      </c>
      <c r="L499" s="2" t="n">
        <v>2</v>
      </c>
      <c r="M499" s="2" t="n">
        <v>39</v>
      </c>
    </row>
    <row r="500" customFormat="false" ht="91" hidden="false" customHeight="false" outlineLevel="0" collapsed="false">
      <c r="A500" s="2" t="s">
        <v>2806</v>
      </c>
      <c r="B500" s="2" t="s">
        <v>1185</v>
      </c>
      <c r="C500" s="2" t="s">
        <v>2028</v>
      </c>
      <c r="D500" s="2" t="s">
        <v>2807</v>
      </c>
      <c r="E500" s="2" t="s">
        <v>2808</v>
      </c>
      <c r="F500" s="2" t="s">
        <v>2809</v>
      </c>
      <c r="G500" s="2" t="s">
        <v>2810</v>
      </c>
      <c r="H500" s="2" t="s">
        <v>20</v>
      </c>
      <c r="I500" s="2" t="s">
        <v>2811</v>
      </c>
      <c r="J500" s="2" t="s">
        <v>2799</v>
      </c>
      <c r="K500" s="2" t="s">
        <v>1193</v>
      </c>
      <c r="L500" s="2" t="n">
        <v>2</v>
      </c>
      <c r="M500" s="2" t="n">
        <v>39</v>
      </c>
    </row>
    <row r="501" customFormat="false" ht="76.1" hidden="false" customHeight="false" outlineLevel="0" collapsed="false">
      <c r="A501" s="2" t="s">
        <v>2812</v>
      </c>
      <c r="B501" s="2" t="s">
        <v>1185</v>
      </c>
      <c r="C501" s="2" t="s">
        <v>2028</v>
      </c>
      <c r="D501" s="2" t="s">
        <v>2813</v>
      </c>
      <c r="E501" s="2" t="s">
        <v>2814</v>
      </c>
      <c r="F501" s="2" t="s">
        <v>2815</v>
      </c>
      <c r="G501" s="2" t="s">
        <v>2816</v>
      </c>
      <c r="H501" s="2" t="s">
        <v>20</v>
      </c>
      <c r="I501" s="2" t="s">
        <v>2817</v>
      </c>
      <c r="J501" s="2" t="s">
        <v>2799</v>
      </c>
      <c r="K501" s="2" t="s">
        <v>1193</v>
      </c>
      <c r="L501" s="2" t="n">
        <v>2</v>
      </c>
      <c r="M501" s="2" t="n">
        <v>39</v>
      </c>
    </row>
    <row r="502" customFormat="false" ht="91" hidden="false" customHeight="false" outlineLevel="0" collapsed="false">
      <c r="A502" s="2" t="s">
        <v>2818</v>
      </c>
      <c r="B502" s="2" t="s">
        <v>1185</v>
      </c>
      <c r="C502" s="2" t="s">
        <v>2028</v>
      </c>
      <c r="D502" s="2" t="s">
        <v>2819</v>
      </c>
      <c r="E502" s="2" t="s">
        <v>2820</v>
      </c>
      <c r="F502" s="2" t="s">
        <v>2821</v>
      </c>
      <c r="G502" s="2" t="s">
        <v>2822</v>
      </c>
      <c r="H502" s="2" t="s">
        <v>20</v>
      </c>
      <c r="I502" s="2" t="s">
        <v>2823</v>
      </c>
      <c r="J502" s="2" t="s">
        <v>2556</v>
      </c>
      <c r="K502" s="2" t="s">
        <v>1193</v>
      </c>
      <c r="L502" s="2" t="n">
        <v>2</v>
      </c>
      <c r="M502" s="2" t="n">
        <v>40</v>
      </c>
    </row>
    <row r="503" customFormat="false" ht="91" hidden="false" customHeight="false" outlineLevel="0" collapsed="false">
      <c r="A503" s="2" t="s">
        <v>2824</v>
      </c>
      <c r="B503" s="2" t="s">
        <v>1185</v>
      </c>
      <c r="C503" s="2" t="s">
        <v>2028</v>
      </c>
      <c r="D503" s="2" t="s">
        <v>2825</v>
      </c>
      <c r="E503" s="2" t="s">
        <v>2826</v>
      </c>
      <c r="F503" s="2" t="s">
        <v>2827</v>
      </c>
      <c r="G503" s="2" t="s">
        <v>2828</v>
      </c>
      <c r="H503" s="2" t="s">
        <v>20</v>
      </c>
      <c r="I503" s="2" t="s">
        <v>2829</v>
      </c>
      <c r="J503" s="2" t="s">
        <v>2556</v>
      </c>
      <c r="K503" s="2" t="s">
        <v>1193</v>
      </c>
      <c r="L503" s="2" t="n">
        <v>3</v>
      </c>
      <c r="M503" s="2" t="n">
        <v>40</v>
      </c>
    </row>
    <row r="504" customFormat="false" ht="61.15" hidden="false" customHeight="false" outlineLevel="0" collapsed="false">
      <c r="A504" s="2" t="s">
        <v>2830</v>
      </c>
      <c r="B504" s="2" t="s">
        <v>1185</v>
      </c>
      <c r="C504" s="2" t="s">
        <v>2028</v>
      </c>
      <c r="D504" s="2" t="s">
        <v>2831</v>
      </c>
      <c r="E504" s="2" t="s">
        <v>2832</v>
      </c>
      <c r="F504" s="2" t="s">
        <v>2833</v>
      </c>
      <c r="G504" s="2" t="s">
        <v>2834</v>
      </c>
      <c r="H504" s="2" t="s">
        <v>20</v>
      </c>
      <c r="I504" s="2" t="s">
        <v>2835</v>
      </c>
      <c r="J504" s="2" t="s">
        <v>2028</v>
      </c>
      <c r="K504" s="2" t="s">
        <v>1193</v>
      </c>
      <c r="L504" s="2" t="n">
        <v>3</v>
      </c>
      <c r="M504" s="2" t="n">
        <v>39</v>
      </c>
    </row>
    <row r="505" customFormat="false" ht="61.15" hidden="false" customHeight="false" outlineLevel="0" collapsed="false">
      <c r="A505" s="2" t="s">
        <v>2836</v>
      </c>
      <c r="B505" s="2" t="s">
        <v>1185</v>
      </c>
      <c r="C505" s="2" t="s">
        <v>2028</v>
      </c>
      <c r="D505" s="2" t="s">
        <v>2837</v>
      </c>
      <c r="E505" s="2" t="s">
        <v>2838</v>
      </c>
      <c r="F505" s="2" t="s">
        <v>2839</v>
      </c>
      <c r="G505" s="2" t="s">
        <v>2840</v>
      </c>
      <c r="H505" s="2" t="s">
        <v>20</v>
      </c>
      <c r="I505" s="2" t="s">
        <v>2841</v>
      </c>
      <c r="J505" s="2" t="s">
        <v>2028</v>
      </c>
      <c r="K505" s="2" t="s">
        <v>1193</v>
      </c>
      <c r="L505" s="2" t="n">
        <v>2</v>
      </c>
      <c r="M505" s="2" t="n">
        <v>38</v>
      </c>
    </row>
    <row r="506" customFormat="false" ht="61.15" hidden="false" customHeight="false" outlineLevel="0" collapsed="false">
      <c r="A506" s="2" t="s">
        <v>2842</v>
      </c>
      <c r="B506" s="2" t="s">
        <v>1185</v>
      </c>
      <c r="C506" s="2" t="s">
        <v>2028</v>
      </c>
      <c r="D506" s="2" t="s">
        <v>2843</v>
      </c>
      <c r="E506" s="2" t="s">
        <v>2844</v>
      </c>
      <c r="F506" s="2" t="s">
        <v>2845</v>
      </c>
      <c r="G506" s="2" t="s">
        <v>2846</v>
      </c>
      <c r="H506" s="2" t="s">
        <v>20</v>
      </c>
      <c r="I506" s="2" t="s">
        <v>2847</v>
      </c>
      <c r="J506" s="2" t="s">
        <v>2028</v>
      </c>
      <c r="K506" s="2" t="s">
        <v>1193</v>
      </c>
      <c r="L506" s="2" t="n">
        <v>2</v>
      </c>
      <c r="M506" s="2" t="n">
        <v>39</v>
      </c>
    </row>
    <row r="507" customFormat="false" ht="61.15" hidden="false" customHeight="false" outlineLevel="0" collapsed="false">
      <c r="A507" s="2" t="s">
        <v>2848</v>
      </c>
      <c r="B507" s="2" t="s">
        <v>1185</v>
      </c>
      <c r="C507" s="2" t="s">
        <v>2028</v>
      </c>
      <c r="D507" s="2" t="s">
        <v>2849</v>
      </c>
      <c r="E507" s="2" t="s">
        <v>2850</v>
      </c>
      <c r="F507" s="2" t="s">
        <v>2851</v>
      </c>
      <c r="G507" s="2" t="s">
        <v>2852</v>
      </c>
      <c r="H507" s="2" t="s">
        <v>20</v>
      </c>
      <c r="I507" s="2" t="s">
        <v>2853</v>
      </c>
      <c r="J507" s="2" t="s">
        <v>2028</v>
      </c>
      <c r="K507" s="2" t="s">
        <v>1193</v>
      </c>
      <c r="L507" s="2" t="n">
        <v>2</v>
      </c>
      <c r="M507" s="2" t="n">
        <v>39</v>
      </c>
    </row>
    <row r="508" customFormat="false" ht="46.25" hidden="false" customHeight="false" outlineLevel="0" collapsed="false">
      <c r="A508" s="2" t="s">
        <v>2854</v>
      </c>
      <c r="B508" s="2" t="s">
        <v>1185</v>
      </c>
      <c r="C508" s="2" t="s">
        <v>2028</v>
      </c>
      <c r="D508" s="2" t="s">
        <v>2855</v>
      </c>
      <c r="E508" s="2" t="s">
        <v>2856</v>
      </c>
      <c r="F508" s="2" t="s">
        <v>2857</v>
      </c>
      <c r="G508" s="2" t="s">
        <v>2858</v>
      </c>
      <c r="H508" s="2" t="s">
        <v>20</v>
      </c>
      <c r="I508" s="2" t="s">
        <v>2859</v>
      </c>
      <c r="J508" s="2" t="s">
        <v>2028</v>
      </c>
      <c r="K508" s="2" t="s">
        <v>1193</v>
      </c>
      <c r="L508" s="2" t="n">
        <v>2</v>
      </c>
      <c r="M508" s="2" t="n">
        <v>37</v>
      </c>
    </row>
    <row r="509" customFormat="false" ht="46.25" hidden="false" customHeight="false" outlineLevel="0" collapsed="false">
      <c r="A509" s="2" t="s">
        <v>2860</v>
      </c>
      <c r="B509" s="2" t="s">
        <v>1185</v>
      </c>
      <c r="C509" s="2" t="s">
        <v>2028</v>
      </c>
      <c r="D509" s="2" t="s">
        <v>2861</v>
      </c>
      <c r="E509" s="2" t="s">
        <v>2832</v>
      </c>
      <c r="F509" s="2" t="s">
        <v>2862</v>
      </c>
      <c r="G509" s="2" t="s">
        <v>2863</v>
      </c>
      <c r="H509" s="2" t="s">
        <v>20</v>
      </c>
      <c r="I509" s="2" t="s">
        <v>2864</v>
      </c>
      <c r="J509" s="2" t="s">
        <v>2028</v>
      </c>
      <c r="K509" s="2" t="s">
        <v>1193</v>
      </c>
      <c r="L509" s="2" t="n">
        <v>2</v>
      </c>
      <c r="M509" s="2" t="n">
        <v>37</v>
      </c>
    </row>
    <row r="510" customFormat="false" ht="61.15" hidden="false" customHeight="false" outlineLevel="0" collapsed="false">
      <c r="A510" s="2" t="s">
        <v>2865</v>
      </c>
      <c r="B510" s="2" t="s">
        <v>1185</v>
      </c>
      <c r="C510" s="2" t="s">
        <v>2028</v>
      </c>
      <c r="D510" s="2" t="s">
        <v>2866</v>
      </c>
      <c r="E510" s="2" t="s">
        <v>2867</v>
      </c>
      <c r="F510" s="2" t="s">
        <v>2868</v>
      </c>
      <c r="G510" s="2" t="s">
        <v>2869</v>
      </c>
      <c r="H510" s="2" t="s">
        <v>20</v>
      </c>
      <c r="I510" s="2" t="s">
        <v>2870</v>
      </c>
      <c r="J510" s="2" t="s">
        <v>2028</v>
      </c>
      <c r="K510" s="2" t="s">
        <v>1193</v>
      </c>
      <c r="L510" s="2" t="n">
        <v>2</v>
      </c>
      <c r="M510" s="2" t="n">
        <v>38</v>
      </c>
    </row>
    <row r="511" customFormat="false" ht="46.25" hidden="false" customHeight="false" outlineLevel="0" collapsed="false">
      <c r="A511" s="2" t="s">
        <v>2871</v>
      </c>
      <c r="B511" s="2" t="s">
        <v>1185</v>
      </c>
      <c r="C511" s="2" t="s">
        <v>2028</v>
      </c>
      <c r="D511" s="2" t="s">
        <v>2872</v>
      </c>
      <c r="E511" s="2" t="s">
        <v>2873</v>
      </c>
      <c r="F511" s="2" t="s">
        <v>2874</v>
      </c>
      <c r="G511" s="2" t="s">
        <v>2875</v>
      </c>
      <c r="H511" s="2" t="s">
        <v>20</v>
      </c>
      <c r="I511" s="2" t="s">
        <v>2876</v>
      </c>
      <c r="J511" s="2" t="s">
        <v>2028</v>
      </c>
      <c r="K511" s="2" t="s">
        <v>1193</v>
      </c>
      <c r="L511" s="2" t="n">
        <v>1</v>
      </c>
      <c r="M511" s="2" t="n">
        <v>38</v>
      </c>
    </row>
    <row r="512" customFormat="false" ht="61.15" hidden="false" customHeight="false" outlineLevel="0" collapsed="false">
      <c r="A512" s="2" t="s">
        <v>2877</v>
      </c>
      <c r="B512" s="2" t="s">
        <v>1185</v>
      </c>
      <c r="C512" s="2" t="s">
        <v>2028</v>
      </c>
      <c r="D512" s="2" t="s">
        <v>2878</v>
      </c>
      <c r="E512" s="2" t="s">
        <v>2879</v>
      </c>
      <c r="F512" s="2" t="s">
        <v>2880</v>
      </c>
      <c r="G512" s="2" t="s">
        <v>2881</v>
      </c>
      <c r="H512" s="2" t="s">
        <v>20</v>
      </c>
      <c r="I512" s="2" t="s">
        <v>2882</v>
      </c>
      <c r="J512" s="2" t="s">
        <v>2028</v>
      </c>
      <c r="K512" s="2" t="s">
        <v>1193</v>
      </c>
      <c r="L512" s="2" t="n">
        <v>2</v>
      </c>
      <c r="M512" s="2" t="n">
        <v>38</v>
      </c>
    </row>
    <row r="513" customFormat="false" ht="61.15" hidden="false" customHeight="false" outlineLevel="0" collapsed="false">
      <c r="A513" s="2" t="s">
        <v>2883</v>
      </c>
      <c r="B513" s="2" t="s">
        <v>1185</v>
      </c>
      <c r="C513" s="2" t="s">
        <v>2028</v>
      </c>
      <c r="D513" s="2" t="s">
        <v>2884</v>
      </c>
      <c r="E513" s="2" t="s">
        <v>2885</v>
      </c>
      <c r="F513" s="2" t="s">
        <v>2886</v>
      </c>
      <c r="G513" s="2" t="s">
        <v>2887</v>
      </c>
      <c r="H513" s="2" t="s">
        <v>20</v>
      </c>
      <c r="I513" s="2" t="s">
        <v>2888</v>
      </c>
      <c r="J513" s="2" t="s">
        <v>2028</v>
      </c>
      <c r="K513" s="2" t="s">
        <v>1193</v>
      </c>
      <c r="L513" s="2" t="n">
        <v>2</v>
      </c>
      <c r="M513" s="2" t="n">
        <v>38</v>
      </c>
    </row>
    <row r="514" customFormat="false" ht="61.15" hidden="false" customHeight="false" outlineLevel="0" collapsed="false">
      <c r="A514" s="2" t="s">
        <v>2889</v>
      </c>
      <c r="B514" s="2" t="s">
        <v>1185</v>
      </c>
      <c r="C514" s="2" t="s">
        <v>2028</v>
      </c>
      <c r="D514" s="2" t="s">
        <v>2890</v>
      </c>
      <c r="E514" s="2" t="s">
        <v>2891</v>
      </c>
      <c r="F514" s="2" t="s">
        <v>2892</v>
      </c>
      <c r="G514" s="2" t="s">
        <v>2893</v>
      </c>
      <c r="H514" s="2" t="s">
        <v>20</v>
      </c>
      <c r="I514" s="2" t="s">
        <v>2894</v>
      </c>
      <c r="J514" s="2" t="s">
        <v>2028</v>
      </c>
      <c r="K514" s="2" t="s">
        <v>1193</v>
      </c>
      <c r="L514" s="2" t="n">
        <v>2</v>
      </c>
      <c r="M514" s="2" t="n">
        <v>39</v>
      </c>
    </row>
    <row r="515" customFormat="false" ht="61.15" hidden="false" customHeight="false" outlineLevel="0" collapsed="false">
      <c r="A515" s="2" t="s">
        <v>2895</v>
      </c>
      <c r="B515" s="2" t="s">
        <v>1185</v>
      </c>
      <c r="C515" s="2" t="s">
        <v>2028</v>
      </c>
      <c r="D515" s="2" t="s">
        <v>2896</v>
      </c>
      <c r="E515" s="2" t="s">
        <v>2897</v>
      </c>
      <c r="F515" s="2" t="s">
        <v>2898</v>
      </c>
      <c r="G515" s="2" t="s">
        <v>2899</v>
      </c>
      <c r="H515" s="2" t="s">
        <v>20</v>
      </c>
      <c r="I515" s="2" t="s">
        <v>2900</v>
      </c>
      <c r="J515" s="2" t="s">
        <v>2901</v>
      </c>
      <c r="K515" s="2" t="s">
        <v>1193</v>
      </c>
      <c r="L515" s="2" t="n">
        <v>1</v>
      </c>
      <c r="M515" s="2" t="n">
        <v>37</v>
      </c>
    </row>
    <row r="516" customFormat="false" ht="61.15" hidden="false" customHeight="false" outlineLevel="0" collapsed="false">
      <c r="A516" s="2" t="s">
        <v>2902</v>
      </c>
      <c r="B516" s="2" t="s">
        <v>1185</v>
      </c>
      <c r="C516" s="2" t="s">
        <v>2028</v>
      </c>
      <c r="D516" s="2" t="s">
        <v>2903</v>
      </c>
      <c r="E516" s="2" t="s">
        <v>2904</v>
      </c>
      <c r="F516" s="2" t="s">
        <v>2905</v>
      </c>
      <c r="G516" s="2" t="s">
        <v>2906</v>
      </c>
      <c r="H516" s="2" t="s">
        <v>20</v>
      </c>
      <c r="I516" s="2" t="s">
        <v>2907</v>
      </c>
      <c r="J516" s="2" t="s">
        <v>2028</v>
      </c>
      <c r="K516" s="2" t="s">
        <v>1193</v>
      </c>
      <c r="L516" s="2" t="n">
        <v>2</v>
      </c>
      <c r="M516" s="2" t="n">
        <v>38</v>
      </c>
    </row>
    <row r="517" customFormat="false" ht="61.15" hidden="false" customHeight="false" outlineLevel="0" collapsed="false">
      <c r="A517" s="2" t="s">
        <v>2908</v>
      </c>
      <c r="B517" s="2" t="s">
        <v>1185</v>
      </c>
      <c r="C517" s="2" t="s">
        <v>2028</v>
      </c>
      <c r="D517" s="2" t="s">
        <v>2909</v>
      </c>
      <c r="E517" s="2" t="s">
        <v>2910</v>
      </c>
      <c r="F517" s="2" t="s">
        <v>2911</v>
      </c>
      <c r="G517" s="2" t="s">
        <v>2912</v>
      </c>
      <c r="H517" s="2" t="s">
        <v>20</v>
      </c>
      <c r="I517" s="2" t="s">
        <v>2913</v>
      </c>
      <c r="J517" s="2" t="s">
        <v>2028</v>
      </c>
      <c r="K517" s="2" t="s">
        <v>1193</v>
      </c>
      <c r="L517" s="2" t="n">
        <v>2</v>
      </c>
      <c r="M517" s="2" t="n">
        <v>38</v>
      </c>
    </row>
    <row r="518" customFormat="false" ht="91" hidden="false" customHeight="false" outlineLevel="0" collapsed="false">
      <c r="A518" s="2" t="s">
        <v>2914</v>
      </c>
      <c r="B518" s="2" t="s">
        <v>1185</v>
      </c>
      <c r="C518" s="2" t="s">
        <v>2028</v>
      </c>
      <c r="D518" s="2" t="s">
        <v>2915</v>
      </c>
      <c r="E518" s="2" t="s">
        <v>2916</v>
      </c>
      <c r="F518" s="2" t="s">
        <v>2917</v>
      </c>
      <c r="G518" s="2" t="s">
        <v>2918</v>
      </c>
      <c r="H518" s="2" t="s">
        <v>20</v>
      </c>
      <c r="I518" s="2" t="s">
        <v>2919</v>
      </c>
      <c r="J518" s="2" t="s">
        <v>2028</v>
      </c>
      <c r="K518" s="2" t="s">
        <v>1193</v>
      </c>
      <c r="L518" s="2" t="n">
        <v>2</v>
      </c>
      <c r="M518" s="2" t="n">
        <v>39</v>
      </c>
    </row>
    <row r="519" customFormat="false" ht="61.15" hidden="false" customHeight="false" outlineLevel="0" collapsed="false">
      <c r="A519" s="2" t="s">
        <v>2920</v>
      </c>
      <c r="B519" s="2" t="s">
        <v>1185</v>
      </c>
      <c r="C519" s="2" t="s">
        <v>2028</v>
      </c>
      <c r="D519" s="2" t="s">
        <v>2921</v>
      </c>
      <c r="E519" s="2" t="s">
        <v>2922</v>
      </c>
      <c r="F519" s="2" t="s">
        <v>2923</v>
      </c>
      <c r="G519" s="2" t="s">
        <v>2924</v>
      </c>
      <c r="H519" s="2" t="s">
        <v>20</v>
      </c>
      <c r="I519" s="2" t="s">
        <v>2925</v>
      </c>
      <c r="J519" s="2" t="s">
        <v>2028</v>
      </c>
      <c r="K519" s="2" t="s">
        <v>1193</v>
      </c>
      <c r="L519" s="2" t="n">
        <v>2</v>
      </c>
      <c r="M519" s="2" t="n">
        <v>39</v>
      </c>
    </row>
    <row r="520" customFormat="false" ht="61.15" hidden="false" customHeight="false" outlineLevel="0" collapsed="false">
      <c r="A520" s="2" t="s">
        <v>2926</v>
      </c>
      <c r="B520" s="2" t="s">
        <v>1185</v>
      </c>
      <c r="C520" s="2" t="s">
        <v>2028</v>
      </c>
      <c r="D520" s="2" t="s">
        <v>2927</v>
      </c>
      <c r="E520" s="2" t="s">
        <v>2928</v>
      </c>
      <c r="F520" s="2" t="s">
        <v>2929</v>
      </c>
      <c r="G520" s="2" t="s">
        <v>2930</v>
      </c>
      <c r="H520" s="2" t="s">
        <v>20</v>
      </c>
      <c r="I520" s="2" t="s">
        <v>2931</v>
      </c>
      <c r="J520" s="2" t="s">
        <v>2028</v>
      </c>
      <c r="K520" s="2" t="s">
        <v>1193</v>
      </c>
      <c r="L520" s="2" t="n">
        <v>2</v>
      </c>
      <c r="M520" s="2" t="n">
        <v>38</v>
      </c>
    </row>
    <row r="521" customFormat="false" ht="61.15" hidden="false" customHeight="false" outlineLevel="0" collapsed="false">
      <c r="A521" s="2" t="s">
        <v>2932</v>
      </c>
      <c r="B521" s="2" t="s">
        <v>1185</v>
      </c>
      <c r="C521" s="2" t="s">
        <v>2028</v>
      </c>
      <c r="D521" s="2" t="s">
        <v>2933</v>
      </c>
      <c r="E521" s="2" t="s">
        <v>2934</v>
      </c>
      <c r="F521" s="2" t="s">
        <v>2935</v>
      </c>
      <c r="G521" s="2" t="s">
        <v>2936</v>
      </c>
      <c r="H521" s="2" t="s">
        <v>20</v>
      </c>
      <c r="I521" s="2" t="s">
        <v>2937</v>
      </c>
      <c r="J521" s="2" t="s">
        <v>2028</v>
      </c>
      <c r="K521" s="2" t="s">
        <v>1193</v>
      </c>
      <c r="L521" s="2" t="n">
        <v>1</v>
      </c>
      <c r="M521" s="2" t="n">
        <v>38</v>
      </c>
    </row>
    <row r="522" customFormat="false" ht="46.25" hidden="false" customHeight="false" outlineLevel="0" collapsed="false">
      <c r="A522" s="2" t="s">
        <v>2938</v>
      </c>
      <c r="B522" s="2" t="s">
        <v>1185</v>
      </c>
      <c r="C522" s="2" t="s">
        <v>2028</v>
      </c>
      <c r="D522" s="2" t="s">
        <v>2939</v>
      </c>
      <c r="E522" s="2" t="s">
        <v>2940</v>
      </c>
      <c r="F522" s="2" t="s">
        <v>2941</v>
      </c>
      <c r="G522" s="2" t="s">
        <v>2942</v>
      </c>
      <c r="H522" s="2" t="s">
        <v>20</v>
      </c>
      <c r="I522" s="2" t="s">
        <v>2943</v>
      </c>
      <c r="J522" s="2" t="s">
        <v>2028</v>
      </c>
      <c r="K522" s="2" t="s">
        <v>1193</v>
      </c>
      <c r="L522" s="2" t="n">
        <v>1</v>
      </c>
      <c r="M522" s="2" t="n">
        <v>38</v>
      </c>
    </row>
    <row r="523" customFormat="false" ht="46.25" hidden="false" customHeight="false" outlineLevel="0" collapsed="false">
      <c r="A523" s="2" t="s">
        <v>2944</v>
      </c>
      <c r="B523" s="2" t="s">
        <v>1185</v>
      </c>
      <c r="C523" s="2" t="s">
        <v>2028</v>
      </c>
      <c r="D523" s="2" t="s">
        <v>2945</v>
      </c>
      <c r="E523" s="2" t="s">
        <v>2946</v>
      </c>
      <c r="F523" s="2" t="s">
        <v>2947</v>
      </c>
      <c r="G523" s="2" t="s">
        <v>2948</v>
      </c>
      <c r="H523" s="2" t="s">
        <v>20</v>
      </c>
      <c r="I523" s="2" t="s">
        <v>2949</v>
      </c>
      <c r="J523" s="2" t="s">
        <v>2028</v>
      </c>
      <c r="K523" s="2" t="s">
        <v>1193</v>
      </c>
      <c r="L523" s="2" t="n">
        <v>2</v>
      </c>
      <c r="M523" s="2" t="n">
        <v>37</v>
      </c>
    </row>
    <row r="524" customFormat="false" ht="91" hidden="false" customHeight="false" outlineLevel="0" collapsed="false">
      <c r="A524" s="2" t="s">
        <v>2950</v>
      </c>
      <c r="B524" s="2" t="s">
        <v>1185</v>
      </c>
      <c r="C524" s="2" t="s">
        <v>2028</v>
      </c>
      <c r="D524" s="2" t="s">
        <v>2951</v>
      </c>
      <c r="E524" s="2" t="s">
        <v>2952</v>
      </c>
      <c r="F524" s="2" t="s">
        <v>2953</v>
      </c>
      <c r="G524" s="2" t="s">
        <v>2954</v>
      </c>
      <c r="H524" s="2" t="s">
        <v>20</v>
      </c>
      <c r="I524" s="2" t="s">
        <v>2955</v>
      </c>
      <c r="J524" s="2" t="s">
        <v>2028</v>
      </c>
      <c r="K524" s="2" t="s">
        <v>1193</v>
      </c>
      <c r="L524" s="2" t="n">
        <v>3</v>
      </c>
      <c r="M524" s="2" t="n">
        <v>38</v>
      </c>
    </row>
    <row r="525" customFormat="false" ht="76.1" hidden="false" customHeight="false" outlineLevel="0" collapsed="false">
      <c r="A525" s="2" t="s">
        <v>2956</v>
      </c>
      <c r="B525" s="2" t="s">
        <v>1185</v>
      </c>
      <c r="C525" s="2" t="s">
        <v>2028</v>
      </c>
      <c r="D525" s="2" t="s">
        <v>2957</v>
      </c>
      <c r="E525" s="2" t="s">
        <v>2958</v>
      </c>
      <c r="F525" s="2" t="s">
        <v>2959</v>
      </c>
      <c r="G525" s="2" t="s">
        <v>2960</v>
      </c>
      <c r="H525" s="2" t="s">
        <v>20</v>
      </c>
      <c r="I525" s="2" t="s">
        <v>2961</v>
      </c>
      <c r="J525" s="2" t="s">
        <v>2028</v>
      </c>
      <c r="K525" s="2" t="s">
        <v>1193</v>
      </c>
      <c r="L525" s="2" t="n">
        <v>3</v>
      </c>
      <c r="M525" s="2" t="n">
        <v>39</v>
      </c>
    </row>
    <row r="526" customFormat="false" ht="76.1" hidden="false" customHeight="false" outlineLevel="0" collapsed="false">
      <c r="A526" s="2" t="s">
        <v>2962</v>
      </c>
      <c r="B526" s="2" t="s">
        <v>1185</v>
      </c>
      <c r="C526" s="2" t="s">
        <v>2028</v>
      </c>
      <c r="D526" s="2" t="s">
        <v>2963</v>
      </c>
      <c r="E526" s="2" t="s">
        <v>2964</v>
      </c>
      <c r="F526" s="2" t="s">
        <v>2965</v>
      </c>
      <c r="G526" s="2" t="s">
        <v>2966</v>
      </c>
      <c r="H526" s="2" t="s">
        <v>20</v>
      </c>
      <c r="I526" s="2" t="s">
        <v>2967</v>
      </c>
      <c r="J526" s="2" t="s">
        <v>2028</v>
      </c>
      <c r="K526" s="2" t="s">
        <v>1193</v>
      </c>
      <c r="L526" s="2" t="n">
        <v>3</v>
      </c>
      <c r="M526" s="2" t="n">
        <v>39</v>
      </c>
    </row>
    <row r="527" customFormat="false" ht="91" hidden="false" customHeight="false" outlineLevel="0" collapsed="false">
      <c r="A527" s="2" t="s">
        <v>2968</v>
      </c>
      <c r="B527" s="2" t="s">
        <v>1185</v>
      </c>
      <c r="C527" s="2" t="s">
        <v>2969</v>
      </c>
      <c r="D527" s="2" t="s">
        <v>2970</v>
      </c>
      <c r="E527" s="2" t="s">
        <v>2971</v>
      </c>
      <c r="F527" s="2" t="s">
        <v>2972</v>
      </c>
      <c r="G527" s="2" t="s">
        <v>2973</v>
      </c>
      <c r="H527" s="2" t="s">
        <v>28</v>
      </c>
      <c r="I527" s="2" t="s">
        <v>2974</v>
      </c>
      <c r="J527" s="2" t="s">
        <v>2975</v>
      </c>
      <c r="K527" s="2" t="s">
        <v>1193</v>
      </c>
      <c r="L527" s="2" t="n">
        <v>3</v>
      </c>
      <c r="M527" s="2" t="n">
        <v>41</v>
      </c>
    </row>
    <row r="528" customFormat="false" ht="61.15" hidden="false" customHeight="false" outlineLevel="0" collapsed="false">
      <c r="A528" s="2" t="s">
        <v>2976</v>
      </c>
      <c r="B528" s="2" t="s">
        <v>1185</v>
      </c>
      <c r="C528" s="2" t="s">
        <v>2969</v>
      </c>
      <c r="D528" s="2" t="s">
        <v>2977</v>
      </c>
      <c r="E528" s="2" t="s">
        <v>2978</v>
      </c>
      <c r="F528" s="2" t="s">
        <v>2979</v>
      </c>
      <c r="G528" s="2" t="s">
        <v>2980</v>
      </c>
      <c r="H528" s="2" t="s">
        <v>20</v>
      </c>
      <c r="I528" s="2" t="s">
        <v>2981</v>
      </c>
      <c r="J528" s="2" t="s">
        <v>2969</v>
      </c>
      <c r="K528" s="2" t="s">
        <v>1193</v>
      </c>
      <c r="L528" s="2" t="n">
        <v>1</v>
      </c>
      <c r="M528" s="2" t="n">
        <v>42</v>
      </c>
    </row>
    <row r="529" customFormat="false" ht="46.25" hidden="false" customHeight="false" outlineLevel="0" collapsed="false">
      <c r="A529" s="2" t="s">
        <v>2982</v>
      </c>
      <c r="B529" s="2" t="s">
        <v>1185</v>
      </c>
      <c r="C529" s="2" t="s">
        <v>2969</v>
      </c>
      <c r="D529" s="2" t="s">
        <v>2983</v>
      </c>
      <c r="E529" s="2" t="s">
        <v>2984</v>
      </c>
      <c r="F529" s="2" t="s">
        <v>2985</v>
      </c>
      <c r="G529" s="2" t="s">
        <v>2986</v>
      </c>
      <c r="H529" s="2" t="s">
        <v>20</v>
      </c>
      <c r="I529" s="2" t="s">
        <v>2987</v>
      </c>
      <c r="J529" s="2" t="s">
        <v>2988</v>
      </c>
      <c r="K529" s="2" t="s">
        <v>1193</v>
      </c>
      <c r="L529" s="2" t="n">
        <v>2</v>
      </c>
      <c r="M529" s="2" t="n">
        <v>46</v>
      </c>
    </row>
    <row r="530" customFormat="false" ht="61.15" hidden="false" customHeight="false" outlineLevel="0" collapsed="false">
      <c r="A530" s="2" t="s">
        <v>2989</v>
      </c>
      <c r="B530" s="2" t="s">
        <v>1185</v>
      </c>
      <c r="C530" s="2" t="s">
        <v>2969</v>
      </c>
      <c r="D530" s="2" t="s">
        <v>2990</v>
      </c>
      <c r="E530" s="2" t="s">
        <v>2991</v>
      </c>
      <c r="F530" s="2" t="s">
        <v>2992</v>
      </c>
      <c r="G530" s="2" t="s">
        <v>2993</v>
      </c>
      <c r="H530" s="2" t="s">
        <v>20</v>
      </c>
      <c r="I530" s="2" t="s">
        <v>2994</v>
      </c>
      <c r="J530" s="2" t="s">
        <v>2969</v>
      </c>
      <c r="K530" s="2" t="s">
        <v>1193</v>
      </c>
      <c r="L530" s="2" t="n">
        <v>2</v>
      </c>
      <c r="M530" s="2" t="n">
        <v>46</v>
      </c>
    </row>
    <row r="531" customFormat="false" ht="76.1" hidden="false" customHeight="false" outlineLevel="0" collapsed="false">
      <c r="A531" s="2" t="s">
        <v>2995</v>
      </c>
      <c r="B531" s="2" t="s">
        <v>1185</v>
      </c>
      <c r="C531" s="2" t="s">
        <v>2969</v>
      </c>
      <c r="D531" s="2" t="s">
        <v>2996</v>
      </c>
      <c r="E531" s="2" t="s">
        <v>2997</v>
      </c>
      <c r="F531" s="2" t="s">
        <v>2998</v>
      </c>
      <c r="G531" s="2" t="s">
        <v>2999</v>
      </c>
      <c r="H531" s="2" t="s">
        <v>20</v>
      </c>
      <c r="I531" s="2" t="s">
        <v>3000</v>
      </c>
      <c r="J531" s="2" t="s">
        <v>3001</v>
      </c>
      <c r="K531" s="2" t="s">
        <v>1193</v>
      </c>
      <c r="L531" s="2" t="n">
        <v>3</v>
      </c>
      <c r="M531" s="2" t="n">
        <v>13</v>
      </c>
    </row>
    <row r="532" customFormat="false" ht="76.1" hidden="false" customHeight="false" outlineLevel="0" collapsed="false">
      <c r="A532" s="2" t="s">
        <v>3002</v>
      </c>
      <c r="B532" s="2" t="s">
        <v>1185</v>
      </c>
      <c r="C532" s="2" t="s">
        <v>2969</v>
      </c>
      <c r="D532" s="2" t="s">
        <v>3003</v>
      </c>
      <c r="E532" s="2" t="s">
        <v>3004</v>
      </c>
      <c r="F532" s="2" t="s">
        <v>3005</v>
      </c>
      <c r="G532" s="2" t="s">
        <v>3006</v>
      </c>
      <c r="H532" s="2" t="s">
        <v>20</v>
      </c>
      <c r="I532" s="2" t="s">
        <v>3007</v>
      </c>
      <c r="J532" s="2" t="s">
        <v>3001</v>
      </c>
      <c r="K532" s="2" t="s">
        <v>1193</v>
      </c>
      <c r="L532" s="2" t="n">
        <v>3</v>
      </c>
      <c r="M532" s="2" t="n">
        <v>13</v>
      </c>
    </row>
    <row r="533" customFormat="false" ht="61.15" hidden="false" customHeight="false" outlineLevel="0" collapsed="false">
      <c r="A533" s="2" t="s">
        <v>3008</v>
      </c>
      <c r="B533" s="2" t="s">
        <v>1185</v>
      </c>
      <c r="C533" s="2" t="s">
        <v>2969</v>
      </c>
      <c r="D533" s="2" t="s">
        <v>3009</v>
      </c>
      <c r="E533" s="2" t="s">
        <v>3010</v>
      </c>
      <c r="F533" s="2" t="s">
        <v>3011</v>
      </c>
      <c r="G533" s="2" t="s">
        <v>3012</v>
      </c>
      <c r="H533" s="2" t="s">
        <v>20</v>
      </c>
      <c r="I533" s="2" t="s">
        <v>3013</v>
      </c>
      <c r="J533" s="2" t="s">
        <v>3014</v>
      </c>
      <c r="K533" s="2" t="s">
        <v>1193</v>
      </c>
      <c r="L533" s="2" t="n">
        <v>2</v>
      </c>
      <c r="M533" s="2" t="n">
        <v>41</v>
      </c>
    </row>
    <row r="534" customFormat="false" ht="61.15" hidden="false" customHeight="false" outlineLevel="0" collapsed="false">
      <c r="A534" s="2" t="s">
        <v>3015</v>
      </c>
      <c r="B534" s="2" t="s">
        <v>1185</v>
      </c>
      <c r="C534" s="2" t="s">
        <v>2969</v>
      </c>
      <c r="D534" s="2" t="s">
        <v>3016</v>
      </c>
      <c r="E534" s="2" t="s">
        <v>3017</v>
      </c>
      <c r="F534" s="2" t="s">
        <v>3018</v>
      </c>
      <c r="G534" s="2" t="s">
        <v>3019</v>
      </c>
      <c r="H534" s="2" t="s">
        <v>20</v>
      </c>
      <c r="I534" s="2" t="s">
        <v>3020</v>
      </c>
      <c r="J534" s="2" t="s">
        <v>3014</v>
      </c>
      <c r="K534" s="2" t="s">
        <v>1193</v>
      </c>
      <c r="L534" s="2" t="n">
        <v>1</v>
      </c>
      <c r="M534" s="2" t="n">
        <v>41</v>
      </c>
    </row>
    <row r="535" customFormat="false" ht="46.25" hidden="false" customHeight="false" outlineLevel="0" collapsed="false">
      <c r="A535" s="2" t="s">
        <v>3021</v>
      </c>
      <c r="B535" s="2" t="s">
        <v>1185</v>
      </c>
      <c r="C535" s="2" t="s">
        <v>2969</v>
      </c>
      <c r="D535" s="2" t="s">
        <v>3022</v>
      </c>
      <c r="E535" s="2" t="s">
        <v>3023</v>
      </c>
      <c r="F535" s="2" t="s">
        <v>3024</v>
      </c>
      <c r="G535" s="2" t="s">
        <v>3025</v>
      </c>
      <c r="H535" s="2" t="s">
        <v>20</v>
      </c>
      <c r="I535" s="2" t="s">
        <v>3026</v>
      </c>
      <c r="J535" s="2" t="s">
        <v>3014</v>
      </c>
      <c r="K535" s="2" t="s">
        <v>1193</v>
      </c>
      <c r="L535" s="2" t="n">
        <v>2</v>
      </c>
      <c r="M535" s="2" t="n">
        <v>41</v>
      </c>
    </row>
    <row r="536" customFormat="false" ht="76.1" hidden="false" customHeight="false" outlineLevel="0" collapsed="false">
      <c r="A536" s="2" t="s">
        <v>3027</v>
      </c>
      <c r="B536" s="2" t="s">
        <v>1185</v>
      </c>
      <c r="C536" s="2" t="s">
        <v>2969</v>
      </c>
      <c r="D536" s="2" t="s">
        <v>3028</v>
      </c>
      <c r="E536" s="2" t="s">
        <v>3029</v>
      </c>
      <c r="F536" s="2" t="s">
        <v>3030</v>
      </c>
      <c r="G536" s="2" t="s">
        <v>3031</v>
      </c>
      <c r="H536" s="2" t="s">
        <v>20</v>
      </c>
      <c r="I536" s="2" t="s">
        <v>3032</v>
      </c>
      <c r="J536" s="2" t="s">
        <v>3014</v>
      </c>
      <c r="K536" s="2" t="s">
        <v>1193</v>
      </c>
      <c r="L536" s="2" t="n">
        <v>3</v>
      </c>
      <c r="M536" s="2" t="n">
        <v>42</v>
      </c>
    </row>
    <row r="537" customFormat="false" ht="105.95" hidden="false" customHeight="false" outlineLevel="0" collapsed="false">
      <c r="A537" s="2" t="s">
        <v>3033</v>
      </c>
      <c r="B537" s="2" t="s">
        <v>1185</v>
      </c>
      <c r="C537" s="2" t="s">
        <v>2969</v>
      </c>
      <c r="D537" s="2" t="s">
        <v>3034</v>
      </c>
      <c r="E537" s="2" t="s">
        <v>3035</v>
      </c>
      <c r="F537" s="2" t="s">
        <v>3036</v>
      </c>
      <c r="G537" s="2" t="s">
        <v>3037</v>
      </c>
      <c r="H537" s="2" t="s">
        <v>20</v>
      </c>
      <c r="I537" s="2" t="s">
        <v>3038</v>
      </c>
      <c r="J537" s="2" t="s">
        <v>3014</v>
      </c>
      <c r="K537" s="2" t="s">
        <v>1193</v>
      </c>
      <c r="L537" s="2" t="n">
        <v>3</v>
      </c>
      <c r="M537" s="2" t="n">
        <v>42</v>
      </c>
    </row>
    <row r="538" customFormat="false" ht="61.15" hidden="false" customHeight="false" outlineLevel="0" collapsed="false">
      <c r="A538" s="2" t="s">
        <v>3039</v>
      </c>
      <c r="B538" s="2" t="s">
        <v>1185</v>
      </c>
      <c r="C538" s="2" t="s">
        <v>2969</v>
      </c>
      <c r="D538" s="2" t="s">
        <v>3040</v>
      </c>
      <c r="E538" s="2" t="s">
        <v>3041</v>
      </c>
      <c r="F538" s="2" t="s">
        <v>3042</v>
      </c>
      <c r="G538" s="2" t="s">
        <v>3043</v>
      </c>
      <c r="H538" s="2" t="s">
        <v>226</v>
      </c>
      <c r="I538" s="2" t="s">
        <v>3044</v>
      </c>
      <c r="J538" s="2" t="s">
        <v>3014</v>
      </c>
      <c r="K538" s="2" t="s">
        <v>1193</v>
      </c>
      <c r="L538" s="2" t="n">
        <v>2</v>
      </c>
      <c r="M538" s="2" t="n">
        <v>42</v>
      </c>
    </row>
    <row r="539" customFormat="false" ht="61.15" hidden="false" customHeight="false" outlineLevel="0" collapsed="false">
      <c r="A539" s="2" t="s">
        <v>3045</v>
      </c>
      <c r="B539" s="2" t="s">
        <v>1185</v>
      </c>
      <c r="C539" s="2" t="s">
        <v>2969</v>
      </c>
      <c r="D539" s="2" t="s">
        <v>3046</v>
      </c>
      <c r="E539" s="2" t="s">
        <v>3047</v>
      </c>
      <c r="F539" s="2" t="s">
        <v>3048</v>
      </c>
      <c r="G539" s="2" t="s">
        <v>3049</v>
      </c>
      <c r="H539" s="2" t="s">
        <v>20</v>
      </c>
      <c r="I539" s="2" t="s">
        <v>3050</v>
      </c>
      <c r="J539" s="2" t="s">
        <v>3051</v>
      </c>
      <c r="K539" s="2" t="s">
        <v>1193</v>
      </c>
      <c r="L539" s="2" t="n">
        <v>1</v>
      </c>
      <c r="M539" s="2" t="n">
        <v>42</v>
      </c>
    </row>
    <row r="540" customFormat="false" ht="46.25" hidden="false" customHeight="false" outlineLevel="0" collapsed="false">
      <c r="A540" s="2" t="s">
        <v>3052</v>
      </c>
      <c r="B540" s="2" t="s">
        <v>1185</v>
      </c>
      <c r="C540" s="2" t="s">
        <v>2969</v>
      </c>
      <c r="D540" s="2" t="s">
        <v>3053</v>
      </c>
      <c r="E540" s="2" t="s">
        <v>3054</v>
      </c>
      <c r="F540" s="2" t="s">
        <v>3055</v>
      </c>
      <c r="G540" s="2" t="s">
        <v>3056</v>
      </c>
      <c r="H540" s="2" t="s">
        <v>20</v>
      </c>
      <c r="I540" s="2" t="s">
        <v>3057</v>
      </c>
      <c r="J540" s="2" t="s">
        <v>3051</v>
      </c>
      <c r="K540" s="2" t="s">
        <v>1193</v>
      </c>
      <c r="L540" s="2" t="n">
        <v>2</v>
      </c>
      <c r="M540" s="2" t="n">
        <v>42</v>
      </c>
    </row>
    <row r="541" customFormat="false" ht="91" hidden="false" customHeight="false" outlineLevel="0" collapsed="false">
      <c r="A541" s="2" t="s">
        <v>3058</v>
      </c>
      <c r="B541" s="2" t="s">
        <v>1185</v>
      </c>
      <c r="C541" s="2" t="s">
        <v>2969</v>
      </c>
      <c r="D541" s="2" t="s">
        <v>3059</v>
      </c>
      <c r="E541" s="2" t="s">
        <v>3060</v>
      </c>
      <c r="F541" s="2" t="s">
        <v>3061</v>
      </c>
      <c r="G541" s="2" t="s">
        <v>3062</v>
      </c>
      <c r="H541" s="2" t="s">
        <v>20</v>
      </c>
      <c r="I541" s="2" t="s">
        <v>3063</v>
      </c>
      <c r="J541" s="2" t="s">
        <v>3051</v>
      </c>
      <c r="K541" s="2" t="s">
        <v>1193</v>
      </c>
      <c r="L541" s="2" t="n">
        <v>2</v>
      </c>
      <c r="M541" s="2" t="n">
        <v>42</v>
      </c>
    </row>
    <row r="542" customFormat="false" ht="61.15" hidden="false" customHeight="false" outlineLevel="0" collapsed="false">
      <c r="A542" s="2" t="s">
        <v>3064</v>
      </c>
      <c r="B542" s="2" t="s">
        <v>1185</v>
      </c>
      <c r="C542" s="2" t="s">
        <v>2969</v>
      </c>
      <c r="D542" s="2" t="s">
        <v>3065</v>
      </c>
      <c r="E542" s="2" t="s">
        <v>3066</v>
      </c>
      <c r="F542" s="2" t="s">
        <v>3067</v>
      </c>
      <c r="G542" s="2" t="s">
        <v>3068</v>
      </c>
      <c r="H542" s="2" t="s">
        <v>20</v>
      </c>
      <c r="I542" s="2" t="s">
        <v>3069</v>
      </c>
      <c r="J542" s="2" t="s">
        <v>3051</v>
      </c>
      <c r="K542" s="2" t="s">
        <v>1193</v>
      </c>
      <c r="L542" s="2" t="n">
        <v>2</v>
      </c>
      <c r="M542" s="2" t="n">
        <v>42</v>
      </c>
    </row>
    <row r="543" customFormat="false" ht="76.1" hidden="false" customHeight="false" outlineLevel="0" collapsed="false">
      <c r="A543" s="2" t="s">
        <v>3070</v>
      </c>
      <c r="B543" s="2" t="s">
        <v>1185</v>
      </c>
      <c r="C543" s="2" t="s">
        <v>2969</v>
      </c>
      <c r="D543" s="2" t="s">
        <v>3071</v>
      </c>
      <c r="E543" s="2" t="s">
        <v>3072</v>
      </c>
      <c r="F543" s="2" t="s">
        <v>3073</v>
      </c>
      <c r="G543" s="2" t="s">
        <v>3074</v>
      </c>
      <c r="H543" s="2" t="s">
        <v>20</v>
      </c>
      <c r="I543" s="2" t="s">
        <v>3075</v>
      </c>
      <c r="J543" s="2" t="s">
        <v>3051</v>
      </c>
      <c r="K543" s="2" t="s">
        <v>1193</v>
      </c>
      <c r="L543" s="2" t="n">
        <v>2</v>
      </c>
      <c r="M543" s="2" t="n">
        <v>42</v>
      </c>
    </row>
    <row r="544" customFormat="false" ht="61.15" hidden="false" customHeight="false" outlineLevel="0" collapsed="false">
      <c r="A544" s="2" t="s">
        <v>3076</v>
      </c>
      <c r="B544" s="2" t="s">
        <v>1185</v>
      </c>
      <c r="C544" s="2" t="s">
        <v>2969</v>
      </c>
      <c r="D544" s="2" t="s">
        <v>3077</v>
      </c>
      <c r="E544" s="2" t="s">
        <v>3078</v>
      </c>
      <c r="F544" s="2" t="s">
        <v>3079</v>
      </c>
      <c r="G544" s="2" t="s">
        <v>3080</v>
      </c>
      <c r="H544" s="2" t="s">
        <v>20</v>
      </c>
      <c r="I544" s="2" t="s">
        <v>3081</v>
      </c>
      <c r="J544" s="2" t="s">
        <v>3051</v>
      </c>
      <c r="K544" s="2" t="s">
        <v>1193</v>
      </c>
      <c r="L544" s="2" t="n">
        <v>2</v>
      </c>
      <c r="M544" s="2" t="n">
        <v>42</v>
      </c>
    </row>
    <row r="545" customFormat="false" ht="76.1" hidden="false" customHeight="false" outlineLevel="0" collapsed="false">
      <c r="A545" s="2" t="s">
        <v>3082</v>
      </c>
      <c r="B545" s="2" t="s">
        <v>1185</v>
      </c>
      <c r="C545" s="2" t="s">
        <v>2969</v>
      </c>
      <c r="D545" s="2" t="s">
        <v>3083</v>
      </c>
      <c r="E545" s="2" t="s">
        <v>3084</v>
      </c>
      <c r="F545" s="2" t="s">
        <v>3085</v>
      </c>
      <c r="G545" s="2" t="s">
        <v>3086</v>
      </c>
      <c r="H545" s="2" t="s">
        <v>20</v>
      </c>
      <c r="I545" s="2" t="s">
        <v>3087</v>
      </c>
      <c r="J545" s="2" t="s">
        <v>3051</v>
      </c>
      <c r="K545" s="2" t="s">
        <v>1193</v>
      </c>
      <c r="L545" s="2" t="n">
        <v>2</v>
      </c>
      <c r="M545" s="2" t="n">
        <v>42</v>
      </c>
    </row>
    <row r="546" customFormat="false" ht="61.15" hidden="false" customHeight="false" outlineLevel="0" collapsed="false">
      <c r="A546" s="2" t="s">
        <v>3088</v>
      </c>
      <c r="B546" s="2" t="s">
        <v>1185</v>
      </c>
      <c r="C546" s="2" t="s">
        <v>2969</v>
      </c>
      <c r="D546" s="2" t="s">
        <v>3089</v>
      </c>
      <c r="E546" s="2" t="s">
        <v>3090</v>
      </c>
      <c r="F546" s="2" t="s">
        <v>3091</v>
      </c>
      <c r="G546" s="2" t="s">
        <v>3092</v>
      </c>
      <c r="H546" s="2" t="s">
        <v>226</v>
      </c>
      <c r="I546" s="2" t="s">
        <v>3093</v>
      </c>
      <c r="J546" s="2" t="s">
        <v>3051</v>
      </c>
      <c r="K546" s="2" t="s">
        <v>1193</v>
      </c>
      <c r="L546" s="2" t="n">
        <v>2</v>
      </c>
      <c r="M546" s="2" t="n">
        <v>42</v>
      </c>
    </row>
    <row r="547" customFormat="false" ht="76.1" hidden="false" customHeight="false" outlineLevel="0" collapsed="false">
      <c r="A547" s="2" t="s">
        <v>3094</v>
      </c>
      <c r="B547" s="2" t="s">
        <v>1185</v>
      </c>
      <c r="C547" s="2" t="s">
        <v>2969</v>
      </c>
      <c r="D547" s="2" t="s">
        <v>3095</v>
      </c>
      <c r="E547" s="2" t="s">
        <v>3096</v>
      </c>
      <c r="F547" s="2" t="s">
        <v>3097</v>
      </c>
      <c r="G547" s="2" t="s">
        <v>3098</v>
      </c>
      <c r="H547" s="2" t="s">
        <v>20</v>
      </c>
      <c r="I547" s="2" t="s">
        <v>3099</v>
      </c>
      <c r="J547" s="2" t="s">
        <v>3051</v>
      </c>
      <c r="K547" s="2" t="s">
        <v>1193</v>
      </c>
      <c r="L547" s="2" t="n">
        <v>3</v>
      </c>
      <c r="M547" s="2" t="n">
        <v>42</v>
      </c>
    </row>
    <row r="548" customFormat="false" ht="46.25" hidden="false" customHeight="false" outlineLevel="0" collapsed="false">
      <c r="A548" s="2" t="s">
        <v>3100</v>
      </c>
      <c r="B548" s="2" t="s">
        <v>1185</v>
      </c>
      <c r="C548" s="2" t="s">
        <v>2969</v>
      </c>
      <c r="D548" s="2" t="s">
        <v>3101</v>
      </c>
      <c r="E548" s="2" t="s">
        <v>3102</v>
      </c>
      <c r="F548" s="2" t="s">
        <v>3103</v>
      </c>
      <c r="G548" s="2" t="s">
        <v>3104</v>
      </c>
      <c r="H548" s="2" t="s">
        <v>20</v>
      </c>
      <c r="I548" s="2" t="s">
        <v>3105</v>
      </c>
      <c r="J548" s="2" t="s">
        <v>3051</v>
      </c>
      <c r="K548" s="2" t="s">
        <v>1193</v>
      </c>
      <c r="L548" s="2" t="n">
        <v>1</v>
      </c>
      <c r="M548" s="2" t="n">
        <v>42</v>
      </c>
    </row>
    <row r="549" customFormat="false" ht="46.25" hidden="false" customHeight="false" outlineLevel="0" collapsed="false">
      <c r="A549" s="2" t="s">
        <v>3106</v>
      </c>
      <c r="B549" s="2" t="s">
        <v>1185</v>
      </c>
      <c r="C549" s="2" t="s">
        <v>2969</v>
      </c>
      <c r="D549" s="2" t="s">
        <v>3107</v>
      </c>
      <c r="E549" s="2" t="s">
        <v>3108</v>
      </c>
      <c r="F549" s="2" t="s">
        <v>3109</v>
      </c>
      <c r="G549" s="2" t="s">
        <v>3110</v>
      </c>
      <c r="H549" s="2" t="s">
        <v>20</v>
      </c>
      <c r="I549" s="2" t="s">
        <v>3111</v>
      </c>
      <c r="J549" s="2" t="s">
        <v>3051</v>
      </c>
      <c r="K549" s="2" t="s">
        <v>1193</v>
      </c>
      <c r="L549" s="2" t="n">
        <v>1</v>
      </c>
      <c r="M549" s="2" t="n">
        <v>42</v>
      </c>
    </row>
    <row r="550" customFormat="false" ht="61.15" hidden="false" customHeight="false" outlineLevel="0" collapsed="false">
      <c r="A550" s="2" t="s">
        <v>3112</v>
      </c>
      <c r="B550" s="2" t="s">
        <v>1185</v>
      </c>
      <c r="C550" s="2" t="s">
        <v>2969</v>
      </c>
      <c r="D550" s="2" t="s">
        <v>3113</v>
      </c>
      <c r="E550" s="2" t="s">
        <v>3114</v>
      </c>
      <c r="F550" s="2" t="s">
        <v>3115</v>
      </c>
      <c r="G550" s="2" t="s">
        <v>2168</v>
      </c>
      <c r="H550" s="2" t="s">
        <v>20</v>
      </c>
      <c r="I550" s="2" t="s">
        <v>3116</v>
      </c>
      <c r="J550" s="2" t="s">
        <v>3051</v>
      </c>
      <c r="K550" s="2" t="s">
        <v>1193</v>
      </c>
      <c r="L550" s="2" t="n">
        <v>2</v>
      </c>
      <c r="M550" s="2" t="n">
        <v>42</v>
      </c>
    </row>
    <row r="551" customFormat="false" ht="61.15" hidden="false" customHeight="false" outlineLevel="0" collapsed="false">
      <c r="A551" s="2" t="s">
        <v>3117</v>
      </c>
      <c r="B551" s="2" t="s">
        <v>1185</v>
      </c>
      <c r="C551" s="2" t="s">
        <v>2969</v>
      </c>
      <c r="D551" s="2" t="s">
        <v>3118</v>
      </c>
      <c r="E551" s="2" t="s">
        <v>3119</v>
      </c>
      <c r="F551" s="2" t="s">
        <v>3120</v>
      </c>
      <c r="G551" s="2" t="s">
        <v>3121</v>
      </c>
      <c r="H551" s="2" t="s">
        <v>20</v>
      </c>
      <c r="I551" s="2" t="s">
        <v>3122</v>
      </c>
      <c r="J551" s="2" t="s">
        <v>3051</v>
      </c>
      <c r="K551" s="2" t="s">
        <v>1193</v>
      </c>
      <c r="L551" s="2" t="n">
        <v>2</v>
      </c>
      <c r="M551" s="2" t="n">
        <v>43</v>
      </c>
    </row>
    <row r="552" customFormat="false" ht="120.85" hidden="false" customHeight="false" outlineLevel="0" collapsed="false">
      <c r="A552" s="2" t="s">
        <v>3123</v>
      </c>
      <c r="B552" s="2" t="s">
        <v>1185</v>
      </c>
      <c r="C552" s="2" t="s">
        <v>2969</v>
      </c>
      <c r="D552" s="2" t="s">
        <v>3124</v>
      </c>
      <c r="E552" s="2" t="s">
        <v>3125</v>
      </c>
      <c r="F552" s="2" t="s">
        <v>3126</v>
      </c>
      <c r="G552" s="2" t="s">
        <v>3127</v>
      </c>
      <c r="H552" s="2" t="s">
        <v>20</v>
      </c>
      <c r="I552" s="2" t="s">
        <v>3128</v>
      </c>
      <c r="J552" s="2" t="s">
        <v>3051</v>
      </c>
      <c r="K552" s="2" t="s">
        <v>1193</v>
      </c>
      <c r="L552" s="2" t="n">
        <v>3</v>
      </c>
      <c r="M552" s="2" t="n">
        <v>43</v>
      </c>
    </row>
    <row r="553" customFormat="false" ht="76.1" hidden="false" customHeight="false" outlineLevel="0" collapsed="false">
      <c r="A553" s="2" t="s">
        <v>3129</v>
      </c>
      <c r="B553" s="2" t="s">
        <v>1185</v>
      </c>
      <c r="C553" s="2" t="s">
        <v>2969</v>
      </c>
      <c r="D553" s="2" t="s">
        <v>3130</v>
      </c>
      <c r="E553" s="2" t="s">
        <v>3131</v>
      </c>
      <c r="F553" s="2" t="s">
        <v>3132</v>
      </c>
      <c r="G553" s="2" t="s">
        <v>3133</v>
      </c>
      <c r="H553" s="2" t="s">
        <v>20</v>
      </c>
      <c r="I553" s="2" t="s">
        <v>3134</v>
      </c>
      <c r="J553" s="2" t="s">
        <v>3051</v>
      </c>
      <c r="K553" s="2" t="s">
        <v>1193</v>
      </c>
      <c r="L553" s="2" t="n">
        <v>3</v>
      </c>
      <c r="M553" s="2" t="n">
        <v>43</v>
      </c>
    </row>
    <row r="554" customFormat="false" ht="61.15" hidden="false" customHeight="false" outlineLevel="0" collapsed="false">
      <c r="A554" s="2" t="s">
        <v>3135</v>
      </c>
      <c r="B554" s="2" t="s">
        <v>1185</v>
      </c>
      <c r="C554" s="2" t="s">
        <v>2969</v>
      </c>
      <c r="D554" s="2" t="s">
        <v>3136</v>
      </c>
      <c r="E554" s="2" t="s">
        <v>3137</v>
      </c>
      <c r="F554" s="2" t="s">
        <v>3138</v>
      </c>
      <c r="G554" s="2" t="s">
        <v>3139</v>
      </c>
      <c r="H554" s="2" t="s">
        <v>20</v>
      </c>
      <c r="I554" s="2" t="s">
        <v>3140</v>
      </c>
      <c r="J554" s="2" t="s">
        <v>3051</v>
      </c>
      <c r="K554" s="2" t="s">
        <v>1193</v>
      </c>
      <c r="L554" s="2" t="n">
        <v>2</v>
      </c>
      <c r="M554" s="2" t="n">
        <v>43</v>
      </c>
    </row>
    <row r="555" customFormat="false" ht="76.1" hidden="false" customHeight="false" outlineLevel="0" collapsed="false">
      <c r="A555" s="2" t="s">
        <v>3141</v>
      </c>
      <c r="B555" s="2" t="s">
        <v>1185</v>
      </c>
      <c r="C555" s="2" t="s">
        <v>2969</v>
      </c>
      <c r="D555" s="2" t="s">
        <v>3142</v>
      </c>
      <c r="E555" s="2" t="s">
        <v>3143</v>
      </c>
      <c r="F555" s="2" t="s">
        <v>3144</v>
      </c>
      <c r="G555" s="2" t="s">
        <v>3145</v>
      </c>
      <c r="H555" s="2" t="s">
        <v>20</v>
      </c>
      <c r="I555" s="2" t="s">
        <v>3146</v>
      </c>
      <c r="J555" s="2" t="s">
        <v>3051</v>
      </c>
      <c r="K555" s="2" t="s">
        <v>1193</v>
      </c>
      <c r="L555" s="2" t="n">
        <v>2</v>
      </c>
      <c r="M555" s="2" t="n">
        <v>43</v>
      </c>
    </row>
    <row r="556" customFormat="false" ht="61.15" hidden="false" customHeight="false" outlineLevel="0" collapsed="false">
      <c r="A556" s="2" t="s">
        <v>3147</v>
      </c>
      <c r="B556" s="2" t="s">
        <v>1185</v>
      </c>
      <c r="C556" s="2" t="s">
        <v>2969</v>
      </c>
      <c r="D556" s="2" t="s">
        <v>3148</v>
      </c>
      <c r="E556" s="2" t="s">
        <v>3149</v>
      </c>
      <c r="F556" s="2" t="s">
        <v>3150</v>
      </c>
      <c r="G556" s="2" t="s">
        <v>3151</v>
      </c>
      <c r="H556" s="2" t="s">
        <v>20</v>
      </c>
      <c r="I556" s="2" t="s">
        <v>3152</v>
      </c>
      <c r="J556" s="2" t="s">
        <v>3051</v>
      </c>
      <c r="K556" s="2" t="s">
        <v>1193</v>
      </c>
      <c r="L556" s="2" t="n">
        <v>2</v>
      </c>
      <c r="M556" s="2" t="n">
        <v>43</v>
      </c>
    </row>
    <row r="557" customFormat="false" ht="61.15" hidden="false" customHeight="false" outlineLevel="0" collapsed="false">
      <c r="A557" s="2" t="s">
        <v>3153</v>
      </c>
      <c r="B557" s="2" t="s">
        <v>1185</v>
      </c>
      <c r="C557" s="2" t="s">
        <v>2969</v>
      </c>
      <c r="D557" s="2" t="s">
        <v>3154</v>
      </c>
      <c r="E557" s="2" t="s">
        <v>3155</v>
      </c>
      <c r="F557" s="2" t="s">
        <v>3156</v>
      </c>
      <c r="G557" s="2" t="s">
        <v>3157</v>
      </c>
      <c r="H557" s="2" t="s">
        <v>28</v>
      </c>
      <c r="I557" s="2" t="s">
        <v>3158</v>
      </c>
      <c r="J557" s="2" t="s">
        <v>3051</v>
      </c>
      <c r="K557" s="2" t="s">
        <v>1193</v>
      </c>
      <c r="L557" s="2" t="n">
        <v>2</v>
      </c>
      <c r="M557" s="2" t="n">
        <v>43</v>
      </c>
    </row>
    <row r="558" customFormat="false" ht="61.15" hidden="false" customHeight="false" outlineLevel="0" collapsed="false">
      <c r="A558" s="2" t="s">
        <v>3159</v>
      </c>
      <c r="B558" s="2" t="s">
        <v>1185</v>
      </c>
      <c r="C558" s="2" t="s">
        <v>2969</v>
      </c>
      <c r="D558" s="2" t="s">
        <v>3160</v>
      </c>
      <c r="E558" s="2" t="s">
        <v>1948</v>
      </c>
      <c r="F558" s="2" t="s">
        <v>3161</v>
      </c>
      <c r="G558" s="2" t="s">
        <v>3162</v>
      </c>
      <c r="H558" s="2" t="s">
        <v>20</v>
      </c>
      <c r="I558" s="2" t="s">
        <v>3163</v>
      </c>
      <c r="J558" s="2" t="s">
        <v>3051</v>
      </c>
      <c r="K558" s="2" t="s">
        <v>1193</v>
      </c>
      <c r="L558" s="2" t="n">
        <v>2</v>
      </c>
      <c r="M558" s="2" t="n">
        <v>43</v>
      </c>
    </row>
    <row r="559" customFormat="false" ht="76.1" hidden="false" customHeight="false" outlineLevel="0" collapsed="false">
      <c r="A559" s="2" t="s">
        <v>3164</v>
      </c>
      <c r="B559" s="2" t="s">
        <v>1185</v>
      </c>
      <c r="C559" s="2" t="s">
        <v>2969</v>
      </c>
      <c r="D559" s="2" t="s">
        <v>3165</v>
      </c>
      <c r="E559" s="2" t="s">
        <v>3166</v>
      </c>
      <c r="F559" s="2" t="s">
        <v>3167</v>
      </c>
      <c r="G559" s="2" t="s">
        <v>3168</v>
      </c>
      <c r="H559" s="2" t="s">
        <v>20</v>
      </c>
      <c r="I559" s="2" t="s">
        <v>3169</v>
      </c>
      <c r="J559" s="2" t="s">
        <v>3051</v>
      </c>
      <c r="K559" s="2" t="s">
        <v>1193</v>
      </c>
      <c r="L559" s="2" t="n">
        <v>2</v>
      </c>
      <c r="M559" s="2" t="n">
        <v>43</v>
      </c>
    </row>
    <row r="560" customFormat="false" ht="76.1" hidden="false" customHeight="false" outlineLevel="0" collapsed="false">
      <c r="A560" s="2" t="s">
        <v>3170</v>
      </c>
      <c r="B560" s="2" t="s">
        <v>1185</v>
      </c>
      <c r="C560" s="2" t="s">
        <v>2969</v>
      </c>
      <c r="D560" s="2" t="s">
        <v>3171</v>
      </c>
      <c r="E560" s="2" t="s">
        <v>3172</v>
      </c>
      <c r="F560" s="2" t="s">
        <v>3173</v>
      </c>
      <c r="G560" s="2" t="s">
        <v>3174</v>
      </c>
      <c r="H560" s="2" t="s">
        <v>20</v>
      </c>
      <c r="I560" s="2" t="s">
        <v>3175</v>
      </c>
      <c r="J560" s="2" t="s">
        <v>3051</v>
      </c>
      <c r="K560" s="2" t="s">
        <v>1193</v>
      </c>
      <c r="L560" s="2" t="n">
        <v>2</v>
      </c>
      <c r="M560" s="2" t="n">
        <v>43</v>
      </c>
    </row>
    <row r="561" customFormat="false" ht="46.25" hidden="false" customHeight="false" outlineLevel="0" collapsed="false">
      <c r="A561" s="2" t="s">
        <v>3176</v>
      </c>
      <c r="B561" s="2" t="s">
        <v>1185</v>
      </c>
      <c r="C561" s="2" t="s">
        <v>2969</v>
      </c>
      <c r="D561" s="2" t="s">
        <v>3177</v>
      </c>
      <c r="E561" s="2" t="s">
        <v>1948</v>
      </c>
      <c r="F561" s="2" t="s">
        <v>3178</v>
      </c>
      <c r="G561" s="2" t="s">
        <v>3179</v>
      </c>
      <c r="H561" s="2" t="s">
        <v>20</v>
      </c>
      <c r="I561" s="2" t="s">
        <v>3180</v>
      </c>
      <c r="J561" s="2" t="s">
        <v>3051</v>
      </c>
      <c r="K561" s="2" t="s">
        <v>1193</v>
      </c>
      <c r="L561" s="2" t="n">
        <v>2</v>
      </c>
      <c r="M561" s="2" t="n">
        <v>43</v>
      </c>
    </row>
    <row r="562" customFormat="false" ht="61.15" hidden="false" customHeight="false" outlineLevel="0" collapsed="false">
      <c r="A562" s="2" t="s">
        <v>3181</v>
      </c>
      <c r="B562" s="2" t="s">
        <v>1185</v>
      </c>
      <c r="C562" s="2" t="s">
        <v>2969</v>
      </c>
      <c r="D562" s="2" t="s">
        <v>3182</v>
      </c>
      <c r="E562" s="2" t="s">
        <v>3183</v>
      </c>
      <c r="F562" s="2" t="s">
        <v>3184</v>
      </c>
      <c r="G562" s="2" t="s">
        <v>3185</v>
      </c>
      <c r="H562" s="2" t="s">
        <v>20</v>
      </c>
      <c r="I562" s="2" t="s">
        <v>3186</v>
      </c>
      <c r="J562" s="2" t="s">
        <v>3051</v>
      </c>
      <c r="K562" s="2" t="s">
        <v>1193</v>
      </c>
      <c r="L562" s="2" t="n">
        <v>2</v>
      </c>
      <c r="M562" s="2" t="n">
        <v>43</v>
      </c>
    </row>
    <row r="563" customFormat="false" ht="61.15" hidden="false" customHeight="false" outlineLevel="0" collapsed="false">
      <c r="A563" s="2" t="s">
        <v>3187</v>
      </c>
      <c r="B563" s="2" t="s">
        <v>1185</v>
      </c>
      <c r="C563" s="2" t="s">
        <v>2969</v>
      </c>
      <c r="D563" s="2" t="s">
        <v>3188</v>
      </c>
      <c r="E563" s="2" t="s">
        <v>3189</v>
      </c>
      <c r="F563" s="2" t="s">
        <v>3190</v>
      </c>
      <c r="G563" s="2" t="s">
        <v>3191</v>
      </c>
      <c r="H563" s="2" t="s">
        <v>226</v>
      </c>
      <c r="I563" s="2" t="s">
        <v>3192</v>
      </c>
      <c r="J563" s="2" t="s">
        <v>3051</v>
      </c>
      <c r="K563" s="2" t="s">
        <v>1193</v>
      </c>
      <c r="L563" s="2" t="n">
        <v>2</v>
      </c>
      <c r="M563" s="2" t="n">
        <v>43</v>
      </c>
    </row>
    <row r="564" customFormat="false" ht="91" hidden="false" customHeight="false" outlineLevel="0" collapsed="false">
      <c r="A564" s="2" t="s">
        <v>3193</v>
      </c>
      <c r="B564" s="2" t="s">
        <v>1185</v>
      </c>
      <c r="C564" s="2" t="s">
        <v>2969</v>
      </c>
      <c r="D564" s="2" t="s">
        <v>3194</v>
      </c>
      <c r="E564" s="2" t="s">
        <v>2356</v>
      </c>
      <c r="F564" s="2" t="s">
        <v>2044</v>
      </c>
      <c r="G564" s="2" t="s">
        <v>2357</v>
      </c>
      <c r="H564" s="2" t="s">
        <v>20</v>
      </c>
      <c r="I564" s="2" t="s">
        <v>3195</v>
      </c>
      <c r="J564" s="2" t="s">
        <v>3051</v>
      </c>
      <c r="K564" s="2" t="s">
        <v>1193</v>
      </c>
      <c r="L564" s="2" t="n">
        <v>3</v>
      </c>
      <c r="M564" s="2" t="n">
        <v>43</v>
      </c>
    </row>
    <row r="565" customFormat="false" ht="76.1" hidden="false" customHeight="false" outlineLevel="0" collapsed="false">
      <c r="A565" s="2" t="s">
        <v>3196</v>
      </c>
      <c r="B565" s="2" t="s">
        <v>1185</v>
      </c>
      <c r="C565" s="2" t="s">
        <v>2969</v>
      </c>
      <c r="D565" s="2" t="s">
        <v>3197</v>
      </c>
      <c r="E565" s="2" t="s">
        <v>3198</v>
      </c>
      <c r="F565" s="2" t="s">
        <v>3199</v>
      </c>
      <c r="G565" s="2" t="s">
        <v>3200</v>
      </c>
      <c r="H565" s="2" t="s">
        <v>20</v>
      </c>
      <c r="I565" s="2" t="s">
        <v>3201</v>
      </c>
      <c r="J565" s="2" t="s">
        <v>3051</v>
      </c>
      <c r="K565" s="2" t="s">
        <v>1193</v>
      </c>
      <c r="L565" s="2" t="n">
        <v>3</v>
      </c>
      <c r="M565" s="2" t="n">
        <v>44</v>
      </c>
    </row>
    <row r="566" customFormat="false" ht="76.1" hidden="false" customHeight="false" outlineLevel="0" collapsed="false">
      <c r="A566" s="2" t="s">
        <v>3202</v>
      </c>
      <c r="B566" s="2" t="s">
        <v>1185</v>
      </c>
      <c r="C566" s="2" t="s">
        <v>2969</v>
      </c>
      <c r="D566" s="2" t="s">
        <v>3203</v>
      </c>
      <c r="E566" s="2" t="s">
        <v>3204</v>
      </c>
      <c r="F566" s="2" t="s">
        <v>3205</v>
      </c>
      <c r="G566" s="2" t="s">
        <v>3206</v>
      </c>
      <c r="H566" s="2" t="s">
        <v>226</v>
      </c>
      <c r="I566" s="2" t="s">
        <v>3207</v>
      </c>
      <c r="J566" s="2" t="s">
        <v>3208</v>
      </c>
      <c r="K566" s="2" t="s">
        <v>1193</v>
      </c>
      <c r="L566" s="2" t="n">
        <v>3</v>
      </c>
      <c r="M566" s="2" t="n">
        <v>43</v>
      </c>
    </row>
    <row r="567" customFormat="false" ht="76.1" hidden="false" customHeight="false" outlineLevel="0" collapsed="false">
      <c r="A567" s="2" t="s">
        <v>3209</v>
      </c>
      <c r="B567" s="2" t="s">
        <v>1185</v>
      </c>
      <c r="C567" s="2" t="s">
        <v>2969</v>
      </c>
      <c r="D567" s="2" t="s">
        <v>3210</v>
      </c>
      <c r="E567" s="2" t="s">
        <v>3211</v>
      </c>
      <c r="F567" s="2" t="s">
        <v>3212</v>
      </c>
      <c r="G567" s="2" t="s">
        <v>3213</v>
      </c>
      <c r="H567" s="2" t="s">
        <v>20</v>
      </c>
      <c r="I567" s="2" t="s">
        <v>3214</v>
      </c>
      <c r="J567" s="2" t="s">
        <v>3208</v>
      </c>
      <c r="K567" s="2" t="s">
        <v>1193</v>
      </c>
      <c r="L567" s="2" t="n">
        <v>3</v>
      </c>
      <c r="M567" s="2" t="n">
        <v>44</v>
      </c>
    </row>
    <row r="568" customFormat="false" ht="76.1" hidden="false" customHeight="false" outlineLevel="0" collapsed="false">
      <c r="A568" s="2" t="s">
        <v>3215</v>
      </c>
      <c r="B568" s="2" t="s">
        <v>1185</v>
      </c>
      <c r="C568" s="2" t="s">
        <v>2969</v>
      </c>
      <c r="D568" s="2" t="s">
        <v>3216</v>
      </c>
      <c r="E568" s="2" t="s">
        <v>3217</v>
      </c>
      <c r="F568" s="2" t="s">
        <v>3218</v>
      </c>
      <c r="G568" s="2" t="s">
        <v>3219</v>
      </c>
      <c r="H568" s="2" t="s">
        <v>20</v>
      </c>
      <c r="I568" s="2" t="s">
        <v>3220</v>
      </c>
      <c r="J568" s="2" t="s">
        <v>3208</v>
      </c>
      <c r="K568" s="2" t="s">
        <v>1193</v>
      </c>
      <c r="L568" s="2" t="n">
        <v>3</v>
      </c>
      <c r="M568" s="2" t="n">
        <v>44</v>
      </c>
    </row>
    <row r="569" customFormat="false" ht="76.1" hidden="false" customHeight="false" outlineLevel="0" collapsed="false">
      <c r="A569" s="2" t="s">
        <v>3221</v>
      </c>
      <c r="B569" s="2" t="s">
        <v>1185</v>
      </c>
      <c r="C569" s="2" t="s">
        <v>2969</v>
      </c>
      <c r="D569" s="2" t="s">
        <v>3222</v>
      </c>
      <c r="E569" s="2" t="s">
        <v>3223</v>
      </c>
      <c r="F569" s="2" t="s">
        <v>3224</v>
      </c>
      <c r="G569" s="2" t="s">
        <v>3225</v>
      </c>
      <c r="H569" s="2" t="s">
        <v>226</v>
      </c>
      <c r="I569" s="2" t="s">
        <v>3226</v>
      </c>
      <c r="J569" s="2" t="s">
        <v>3208</v>
      </c>
      <c r="K569" s="2" t="s">
        <v>1193</v>
      </c>
      <c r="L569" s="2" t="n">
        <v>2</v>
      </c>
      <c r="M569" s="2" t="n">
        <v>44</v>
      </c>
    </row>
    <row r="570" customFormat="false" ht="91" hidden="false" customHeight="false" outlineLevel="0" collapsed="false">
      <c r="A570" s="2" t="s">
        <v>3227</v>
      </c>
      <c r="B570" s="2" t="s">
        <v>1185</v>
      </c>
      <c r="C570" s="2" t="s">
        <v>2969</v>
      </c>
      <c r="D570" s="2" t="s">
        <v>3228</v>
      </c>
      <c r="E570" s="2" t="s">
        <v>3229</v>
      </c>
      <c r="F570" s="2" t="s">
        <v>3230</v>
      </c>
      <c r="G570" s="2" t="s">
        <v>3231</v>
      </c>
      <c r="H570" s="2" t="s">
        <v>20</v>
      </c>
      <c r="I570" s="2" t="s">
        <v>3232</v>
      </c>
      <c r="J570" s="2" t="s">
        <v>3208</v>
      </c>
      <c r="K570" s="2" t="s">
        <v>1193</v>
      </c>
      <c r="L570" s="2" t="n">
        <v>3</v>
      </c>
      <c r="M570" s="2" t="n">
        <v>44</v>
      </c>
    </row>
    <row r="571" customFormat="false" ht="61.15" hidden="false" customHeight="false" outlineLevel="0" collapsed="false">
      <c r="A571" s="2" t="s">
        <v>3233</v>
      </c>
      <c r="B571" s="2" t="s">
        <v>1185</v>
      </c>
      <c r="C571" s="2" t="s">
        <v>2969</v>
      </c>
      <c r="D571" s="2" t="s">
        <v>3234</v>
      </c>
      <c r="E571" s="2" t="s">
        <v>3235</v>
      </c>
      <c r="F571" s="2" t="s">
        <v>3236</v>
      </c>
      <c r="G571" s="2" t="s">
        <v>3237</v>
      </c>
      <c r="H571" s="2" t="s">
        <v>20</v>
      </c>
      <c r="I571" s="2" t="s">
        <v>3238</v>
      </c>
      <c r="J571" s="2" t="s">
        <v>3208</v>
      </c>
      <c r="K571" s="2" t="s">
        <v>1193</v>
      </c>
      <c r="L571" s="2" t="n">
        <v>1</v>
      </c>
      <c r="M571" s="2" t="n">
        <v>44</v>
      </c>
    </row>
    <row r="572" customFormat="false" ht="61.15" hidden="false" customHeight="false" outlineLevel="0" collapsed="false">
      <c r="A572" s="2" t="s">
        <v>3239</v>
      </c>
      <c r="B572" s="2" t="s">
        <v>1185</v>
      </c>
      <c r="C572" s="2" t="s">
        <v>2969</v>
      </c>
      <c r="D572" s="2" t="s">
        <v>3240</v>
      </c>
      <c r="E572" s="2" t="s">
        <v>3241</v>
      </c>
      <c r="F572" s="2" t="s">
        <v>3242</v>
      </c>
      <c r="G572" s="2" t="s">
        <v>3243</v>
      </c>
      <c r="H572" s="2" t="s">
        <v>20</v>
      </c>
      <c r="I572" s="2" t="s">
        <v>3244</v>
      </c>
      <c r="J572" s="2" t="s">
        <v>3245</v>
      </c>
      <c r="K572" s="2" t="s">
        <v>1193</v>
      </c>
      <c r="L572" s="2" t="n">
        <v>1</v>
      </c>
      <c r="M572" s="2" t="n">
        <v>44</v>
      </c>
    </row>
    <row r="573" customFormat="false" ht="76.1" hidden="false" customHeight="false" outlineLevel="0" collapsed="false">
      <c r="A573" s="2" t="s">
        <v>3246</v>
      </c>
      <c r="B573" s="2" t="s">
        <v>1185</v>
      </c>
      <c r="C573" s="2" t="s">
        <v>2969</v>
      </c>
      <c r="D573" s="2" t="s">
        <v>3247</v>
      </c>
      <c r="E573" s="2" t="s">
        <v>3248</v>
      </c>
      <c r="F573" s="2" t="s">
        <v>3249</v>
      </c>
      <c r="G573" s="2" t="s">
        <v>3250</v>
      </c>
      <c r="H573" s="2" t="s">
        <v>20</v>
      </c>
      <c r="I573" s="2" t="s">
        <v>3251</v>
      </c>
      <c r="J573" s="2" t="s">
        <v>3051</v>
      </c>
      <c r="K573" s="2" t="s">
        <v>1193</v>
      </c>
      <c r="L573" s="2" t="n">
        <v>2</v>
      </c>
      <c r="M573" s="2" t="n">
        <v>42</v>
      </c>
    </row>
    <row r="574" customFormat="false" ht="46.25" hidden="false" customHeight="false" outlineLevel="0" collapsed="false">
      <c r="A574" s="2" t="s">
        <v>3252</v>
      </c>
      <c r="B574" s="2" t="s">
        <v>1185</v>
      </c>
      <c r="C574" s="2" t="s">
        <v>2969</v>
      </c>
      <c r="D574" s="2" t="s">
        <v>3253</v>
      </c>
      <c r="E574" s="2" t="s">
        <v>3254</v>
      </c>
      <c r="F574" s="2" t="s">
        <v>3255</v>
      </c>
      <c r="G574" s="2" t="s">
        <v>3256</v>
      </c>
      <c r="H574" s="2" t="s">
        <v>20</v>
      </c>
      <c r="I574" s="2" t="s">
        <v>3257</v>
      </c>
      <c r="J574" s="2" t="s">
        <v>3051</v>
      </c>
      <c r="K574" s="2" t="s">
        <v>1193</v>
      </c>
      <c r="L574" s="2" t="n">
        <v>2</v>
      </c>
      <c r="M574" s="2" t="n">
        <v>42</v>
      </c>
    </row>
    <row r="575" customFormat="false" ht="46.25" hidden="false" customHeight="false" outlineLevel="0" collapsed="false">
      <c r="A575" s="2" t="s">
        <v>3258</v>
      </c>
      <c r="B575" s="2" t="s">
        <v>1185</v>
      </c>
      <c r="C575" s="2" t="s">
        <v>2969</v>
      </c>
      <c r="D575" s="2" t="s">
        <v>3259</v>
      </c>
      <c r="E575" s="2" t="s">
        <v>3260</v>
      </c>
      <c r="F575" s="2" t="s">
        <v>3261</v>
      </c>
      <c r="G575" s="2" t="s">
        <v>3262</v>
      </c>
      <c r="H575" s="2" t="s">
        <v>20</v>
      </c>
      <c r="I575" s="2" t="s">
        <v>3263</v>
      </c>
      <c r="J575" s="2" t="s">
        <v>3051</v>
      </c>
      <c r="K575" s="2" t="s">
        <v>1193</v>
      </c>
      <c r="L575" s="2" t="n">
        <v>2</v>
      </c>
      <c r="M575" s="2" t="n">
        <v>42</v>
      </c>
    </row>
    <row r="576" customFormat="false" ht="91" hidden="false" customHeight="false" outlineLevel="0" collapsed="false">
      <c r="A576" s="2" t="s">
        <v>3264</v>
      </c>
      <c r="B576" s="2" t="s">
        <v>1185</v>
      </c>
      <c r="C576" s="2" t="s">
        <v>2969</v>
      </c>
      <c r="D576" s="2" t="s">
        <v>3265</v>
      </c>
      <c r="E576" s="2" t="s">
        <v>3266</v>
      </c>
      <c r="F576" s="2" t="s">
        <v>3267</v>
      </c>
      <c r="G576" s="2" t="s">
        <v>3268</v>
      </c>
      <c r="H576" s="2" t="s">
        <v>20</v>
      </c>
      <c r="I576" s="2" t="s">
        <v>3269</v>
      </c>
      <c r="J576" s="2" t="s">
        <v>3270</v>
      </c>
      <c r="K576" s="2" t="s">
        <v>1193</v>
      </c>
      <c r="L576" s="2" t="n">
        <v>2</v>
      </c>
      <c r="M576" s="2" t="n">
        <v>46</v>
      </c>
    </row>
    <row r="577" customFormat="false" ht="76.1" hidden="false" customHeight="false" outlineLevel="0" collapsed="false">
      <c r="A577" s="2" t="s">
        <v>3271</v>
      </c>
      <c r="B577" s="2" t="s">
        <v>1185</v>
      </c>
      <c r="C577" s="2" t="s">
        <v>2969</v>
      </c>
      <c r="D577" s="2" t="s">
        <v>3272</v>
      </c>
      <c r="E577" s="2" t="s">
        <v>3273</v>
      </c>
      <c r="F577" s="2" t="s">
        <v>3274</v>
      </c>
      <c r="G577" s="2" t="s">
        <v>3275</v>
      </c>
      <c r="H577" s="2" t="s">
        <v>20</v>
      </c>
      <c r="I577" s="2" t="s">
        <v>3276</v>
      </c>
      <c r="J577" s="2" t="s">
        <v>3270</v>
      </c>
      <c r="K577" s="2" t="s">
        <v>1193</v>
      </c>
      <c r="L577" s="2" t="n">
        <v>2</v>
      </c>
      <c r="M577" s="2" t="n">
        <v>46</v>
      </c>
    </row>
    <row r="578" customFormat="false" ht="46.25" hidden="false" customHeight="false" outlineLevel="0" collapsed="false">
      <c r="A578" s="2" t="s">
        <v>3277</v>
      </c>
      <c r="B578" s="2" t="s">
        <v>1185</v>
      </c>
      <c r="C578" s="2" t="s">
        <v>2969</v>
      </c>
      <c r="D578" s="2" t="s">
        <v>3278</v>
      </c>
      <c r="E578" s="2" t="s">
        <v>2727</v>
      </c>
      <c r="F578" s="2" t="s">
        <v>3279</v>
      </c>
      <c r="G578" s="2" t="s">
        <v>3280</v>
      </c>
      <c r="H578" s="2" t="s">
        <v>20</v>
      </c>
      <c r="I578" s="2" t="s">
        <v>3281</v>
      </c>
      <c r="J578" s="2" t="s">
        <v>3270</v>
      </c>
      <c r="K578" s="2" t="s">
        <v>1193</v>
      </c>
      <c r="L578" s="2" t="n">
        <v>1</v>
      </c>
      <c r="M578" s="2" t="n">
        <v>46</v>
      </c>
    </row>
    <row r="579" customFormat="false" ht="61.15" hidden="false" customHeight="false" outlineLevel="0" collapsed="false">
      <c r="A579" s="2" t="s">
        <v>3282</v>
      </c>
      <c r="B579" s="2" t="s">
        <v>1185</v>
      </c>
      <c r="C579" s="2" t="s">
        <v>2969</v>
      </c>
      <c r="D579" s="2" t="s">
        <v>3283</v>
      </c>
      <c r="E579" s="2" t="s">
        <v>3284</v>
      </c>
      <c r="F579" s="2" t="s">
        <v>3285</v>
      </c>
      <c r="G579" s="2" t="s">
        <v>3286</v>
      </c>
      <c r="H579" s="2" t="s">
        <v>20</v>
      </c>
      <c r="I579" s="2" t="s">
        <v>3287</v>
      </c>
      <c r="J579" s="2" t="s">
        <v>3270</v>
      </c>
      <c r="K579" s="2" t="s">
        <v>1193</v>
      </c>
      <c r="L579" s="2" t="n">
        <v>1</v>
      </c>
      <c r="M579" s="2" t="n">
        <v>46</v>
      </c>
    </row>
    <row r="580" customFormat="false" ht="120.85" hidden="false" customHeight="false" outlineLevel="0" collapsed="false">
      <c r="A580" s="2" t="s">
        <v>3288</v>
      </c>
      <c r="B580" s="2" t="s">
        <v>1185</v>
      </c>
      <c r="C580" s="2" t="s">
        <v>2969</v>
      </c>
      <c r="D580" s="2" t="s">
        <v>3289</v>
      </c>
      <c r="E580" s="2" t="s">
        <v>3290</v>
      </c>
      <c r="F580" s="2" t="s">
        <v>3291</v>
      </c>
      <c r="G580" s="2" t="s">
        <v>1608</v>
      </c>
      <c r="H580" s="2" t="s">
        <v>20</v>
      </c>
      <c r="I580" s="2" t="s">
        <v>3292</v>
      </c>
      <c r="J580" s="2" t="s">
        <v>2969</v>
      </c>
      <c r="K580" s="2" t="s">
        <v>1193</v>
      </c>
      <c r="L580" s="2" t="n">
        <v>2</v>
      </c>
      <c r="M580" s="2" t="n">
        <v>43</v>
      </c>
    </row>
    <row r="581" customFormat="false" ht="46.25" hidden="false" customHeight="false" outlineLevel="0" collapsed="false">
      <c r="A581" s="2" t="s">
        <v>3293</v>
      </c>
      <c r="B581" s="2" t="s">
        <v>1185</v>
      </c>
      <c r="C581" s="2" t="s">
        <v>2969</v>
      </c>
      <c r="D581" s="2" t="s">
        <v>3294</v>
      </c>
      <c r="E581" s="2" t="s">
        <v>3295</v>
      </c>
      <c r="F581" s="2" t="s">
        <v>3296</v>
      </c>
      <c r="G581" s="2" t="s">
        <v>3297</v>
      </c>
      <c r="H581" s="2" t="s">
        <v>20</v>
      </c>
      <c r="I581" s="2" t="s">
        <v>3298</v>
      </c>
      <c r="J581" s="2" t="s">
        <v>2969</v>
      </c>
      <c r="K581" s="2" t="s">
        <v>1193</v>
      </c>
      <c r="L581" s="2" t="n">
        <v>1</v>
      </c>
      <c r="M581" s="2" t="n">
        <v>41</v>
      </c>
    </row>
    <row r="582" customFormat="false" ht="61.15" hidden="false" customHeight="false" outlineLevel="0" collapsed="false">
      <c r="A582" s="2" t="s">
        <v>3299</v>
      </c>
      <c r="B582" s="2" t="s">
        <v>1185</v>
      </c>
      <c r="C582" s="2" t="s">
        <v>2969</v>
      </c>
      <c r="D582" s="2" t="s">
        <v>3300</v>
      </c>
      <c r="E582" s="2" t="s">
        <v>3301</v>
      </c>
      <c r="F582" s="2" t="s">
        <v>3302</v>
      </c>
      <c r="G582" s="2" t="s">
        <v>3303</v>
      </c>
      <c r="H582" s="2" t="s">
        <v>20</v>
      </c>
      <c r="I582" s="2" t="s">
        <v>3304</v>
      </c>
      <c r="J582" s="2" t="s">
        <v>2969</v>
      </c>
      <c r="K582" s="2" t="s">
        <v>1193</v>
      </c>
      <c r="L582" s="2" t="n">
        <v>2</v>
      </c>
      <c r="M582" s="2" t="n">
        <v>42</v>
      </c>
    </row>
    <row r="583" customFormat="false" ht="61.15" hidden="false" customHeight="false" outlineLevel="0" collapsed="false">
      <c r="A583" s="2" t="s">
        <v>3305</v>
      </c>
      <c r="B583" s="2" t="s">
        <v>1185</v>
      </c>
      <c r="C583" s="2" t="s">
        <v>2969</v>
      </c>
      <c r="D583" s="2" t="s">
        <v>3306</v>
      </c>
      <c r="E583" s="2" t="s">
        <v>3307</v>
      </c>
      <c r="F583" s="2" t="s">
        <v>3308</v>
      </c>
      <c r="G583" s="2" t="s">
        <v>3309</v>
      </c>
      <c r="H583" s="2" t="s">
        <v>20</v>
      </c>
      <c r="I583" s="2" t="s">
        <v>3310</v>
      </c>
      <c r="J583" s="2" t="s">
        <v>2969</v>
      </c>
      <c r="K583" s="2" t="s">
        <v>1193</v>
      </c>
      <c r="L583" s="2" t="n">
        <v>2</v>
      </c>
      <c r="M583" s="2" t="n">
        <v>43</v>
      </c>
    </row>
    <row r="584" customFormat="false" ht="61.15" hidden="false" customHeight="false" outlineLevel="0" collapsed="false">
      <c r="A584" s="2" t="s">
        <v>3311</v>
      </c>
      <c r="B584" s="2" t="s">
        <v>1185</v>
      </c>
      <c r="C584" s="2" t="s">
        <v>2969</v>
      </c>
      <c r="D584" s="2" t="s">
        <v>3312</v>
      </c>
      <c r="E584" s="2" t="s">
        <v>3313</v>
      </c>
      <c r="F584" s="2" t="s">
        <v>3314</v>
      </c>
      <c r="G584" s="2" t="s">
        <v>3315</v>
      </c>
      <c r="H584" s="2" t="s">
        <v>20</v>
      </c>
      <c r="I584" s="2" t="s">
        <v>3316</v>
      </c>
      <c r="J584" s="2" t="s">
        <v>2969</v>
      </c>
      <c r="K584" s="2" t="s">
        <v>1193</v>
      </c>
      <c r="L584" s="2" t="n">
        <v>2</v>
      </c>
      <c r="M584" s="2" t="n">
        <v>43</v>
      </c>
    </row>
    <row r="585" customFormat="false" ht="61.15" hidden="false" customHeight="false" outlineLevel="0" collapsed="false">
      <c r="A585" s="2" t="s">
        <v>3317</v>
      </c>
      <c r="B585" s="2" t="s">
        <v>1185</v>
      </c>
      <c r="C585" s="2" t="s">
        <v>2969</v>
      </c>
      <c r="D585" s="2" t="s">
        <v>3318</v>
      </c>
      <c r="E585" s="2" t="s">
        <v>3319</v>
      </c>
      <c r="F585" s="2" t="s">
        <v>3320</v>
      </c>
      <c r="G585" s="2" t="s">
        <v>3321</v>
      </c>
      <c r="H585" s="2" t="s">
        <v>20</v>
      </c>
      <c r="I585" s="2" t="s">
        <v>3322</v>
      </c>
      <c r="J585" s="2" t="s">
        <v>2969</v>
      </c>
      <c r="K585" s="2" t="s">
        <v>1193</v>
      </c>
      <c r="L585" s="2" t="n">
        <v>2</v>
      </c>
      <c r="M585" s="2" t="n">
        <v>42</v>
      </c>
    </row>
    <row r="586" customFormat="false" ht="46.25" hidden="false" customHeight="false" outlineLevel="0" collapsed="false">
      <c r="A586" s="2" t="s">
        <v>3323</v>
      </c>
      <c r="B586" s="2" t="s">
        <v>1185</v>
      </c>
      <c r="C586" s="2" t="s">
        <v>2969</v>
      </c>
      <c r="D586" s="2" t="s">
        <v>3324</v>
      </c>
      <c r="E586" s="2" t="s">
        <v>3325</v>
      </c>
      <c r="F586" s="2" t="s">
        <v>3326</v>
      </c>
      <c r="G586" s="2" t="s">
        <v>3327</v>
      </c>
      <c r="H586" s="2" t="s">
        <v>20</v>
      </c>
      <c r="I586" s="2" t="s">
        <v>3328</v>
      </c>
      <c r="J586" s="2" t="s">
        <v>2969</v>
      </c>
      <c r="K586" s="2" t="s">
        <v>1193</v>
      </c>
      <c r="L586" s="2" t="n">
        <v>1</v>
      </c>
      <c r="M586" s="2" t="n">
        <v>43</v>
      </c>
    </row>
    <row r="587" customFormat="false" ht="46.25" hidden="false" customHeight="false" outlineLevel="0" collapsed="false">
      <c r="A587" s="2" t="s">
        <v>3329</v>
      </c>
      <c r="B587" s="2" t="s">
        <v>1185</v>
      </c>
      <c r="C587" s="2" t="s">
        <v>2969</v>
      </c>
      <c r="D587" s="2" t="s">
        <v>3330</v>
      </c>
      <c r="E587" s="2" t="s">
        <v>3331</v>
      </c>
      <c r="F587" s="2" t="s">
        <v>3332</v>
      </c>
      <c r="G587" s="2" t="s">
        <v>3333</v>
      </c>
      <c r="H587" s="2" t="s">
        <v>20</v>
      </c>
      <c r="I587" s="2" t="s">
        <v>3334</v>
      </c>
      <c r="J587" s="2" t="s">
        <v>2969</v>
      </c>
      <c r="K587" s="2" t="s">
        <v>1193</v>
      </c>
      <c r="L587" s="2" t="n">
        <v>2</v>
      </c>
      <c r="M587" s="2" t="n">
        <v>43</v>
      </c>
    </row>
    <row r="588" customFormat="false" ht="46.25" hidden="false" customHeight="false" outlineLevel="0" collapsed="false">
      <c r="A588" s="2" t="s">
        <v>3335</v>
      </c>
      <c r="B588" s="2" t="s">
        <v>1185</v>
      </c>
      <c r="C588" s="2" t="s">
        <v>2969</v>
      </c>
      <c r="D588" s="2" t="s">
        <v>3336</v>
      </c>
      <c r="E588" s="2" t="s">
        <v>3337</v>
      </c>
      <c r="F588" s="2" t="s">
        <v>3338</v>
      </c>
      <c r="G588" s="2" t="s">
        <v>3339</v>
      </c>
      <c r="H588" s="2" t="s">
        <v>20</v>
      </c>
      <c r="I588" s="2" t="s">
        <v>3340</v>
      </c>
      <c r="J588" s="2" t="s">
        <v>2969</v>
      </c>
      <c r="K588" s="2" t="s">
        <v>1193</v>
      </c>
      <c r="L588" s="2" t="n">
        <v>1</v>
      </c>
      <c r="M588" s="2" t="n">
        <v>42</v>
      </c>
    </row>
    <row r="589" customFormat="false" ht="76.1" hidden="false" customHeight="false" outlineLevel="0" collapsed="false">
      <c r="A589" s="2" t="s">
        <v>3341</v>
      </c>
      <c r="B589" s="2" t="s">
        <v>1185</v>
      </c>
      <c r="C589" s="2" t="s">
        <v>2969</v>
      </c>
      <c r="D589" s="2" t="s">
        <v>3342</v>
      </c>
      <c r="E589" s="2" t="s">
        <v>1608</v>
      </c>
      <c r="F589" s="2" t="s">
        <v>1607</v>
      </c>
      <c r="G589" s="2" t="s">
        <v>3290</v>
      </c>
      <c r="H589" s="2" t="s">
        <v>20</v>
      </c>
      <c r="I589" s="2" t="s">
        <v>3343</v>
      </c>
      <c r="J589" s="2" t="s">
        <v>2969</v>
      </c>
      <c r="K589" s="2" t="s">
        <v>1193</v>
      </c>
      <c r="L589" s="2" t="n">
        <v>2</v>
      </c>
      <c r="M589" s="2" t="n">
        <v>68</v>
      </c>
    </row>
    <row r="590" customFormat="false" ht="76.1" hidden="false" customHeight="false" outlineLevel="0" collapsed="false">
      <c r="A590" s="2" t="s">
        <v>3344</v>
      </c>
      <c r="B590" s="2" t="s">
        <v>1185</v>
      </c>
      <c r="C590" s="2" t="s">
        <v>2969</v>
      </c>
      <c r="D590" s="2" t="s">
        <v>3345</v>
      </c>
      <c r="E590" s="2" t="s">
        <v>3346</v>
      </c>
      <c r="F590" s="2" t="s">
        <v>3347</v>
      </c>
      <c r="G590" s="2" t="s">
        <v>3348</v>
      </c>
      <c r="H590" s="2" t="s">
        <v>28</v>
      </c>
      <c r="I590" s="2" t="s">
        <v>3349</v>
      </c>
      <c r="J590" s="2" t="s">
        <v>2969</v>
      </c>
      <c r="K590" s="2" t="s">
        <v>1193</v>
      </c>
      <c r="L590" s="2" t="n">
        <v>2</v>
      </c>
      <c r="M590" s="2" t="n">
        <v>43</v>
      </c>
    </row>
    <row r="591" customFormat="false" ht="46.25" hidden="false" customHeight="false" outlineLevel="0" collapsed="false">
      <c r="A591" s="2" t="s">
        <v>3350</v>
      </c>
      <c r="B591" s="2" t="s">
        <v>1185</v>
      </c>
      <c r="C591" s="2" t="s">
        <v>2969</v>
      </c>
      <c r="D591" s="2" t="s">
        <v>3351</v>
      </c>
      <c r="E591" s="2" t="s">
        <v>3352</v>
      </c>
      <c r="F591" s="2" t="s">
        <v>3353</v>
      </c>
      <c r="G591" s="2" t="s">
        <v>3354</v>
      </c>
      <c r="H591" s="2" t="s">
        <v>20</v>
      </c>
      <c r="I591" s="2" t="s">
        <v>3355</v>
      </c>
      <c r="J591" s="2" t="s">
        <v>2969</v>
      </c>
      <c r="K591" s="2" t="s">
        <v>1193</v>
      </c>
      <c r="L591" s="2" t="n">
        <v>1</v>
      </c>
      <c r="M591" s="2" t="n">
        <v>41</v>
      </c>
    </row>
    <row r="592" customFormat="false" ht="61.15" hidden="false" customHeight="false" outlineLevel="0" collapsed="false">
      <c r="A592" s="2" t="s">
        <v>3356</v>
      </c>
      <c r="B592" s="2" t="s">
        <v>1185</v>
      </c>
      <c r="C592" s="2" t="s">
        <v>2969</v>
      </c>
      <c r="D592" s="2" t="s">
        <v>3357</v>
      </c>
      <c r="E592" s="2" t="s">
        <v>3358</v>
      </c>
      <c r="F592" s="2" t="s">
        <v>3359</v>
      </c>
      <c r="G592" s="2" t="s">
        <v>3360</v>
      </c>
      <c r="H592" s="2" t="s">
        <v>20</v>
      </c>
      <c r="I592" s="2" t="s">
        <v>3361</v>
      </c>
      <c r="J592" s="2" t="s">
        <v>2969</v>
      </c>
      <c r="K592" s="2" t="s">
        <v>1193</v>
      </c>
      <c r="L592" s="2" t="n">
        <v>2</v>
      </c>
      <c r="M592" s="2" t="n">
        <v>42</v>
      </c>
    </row>
    <row r="593" customFormat="false" ht="61.15" hidden="false" customHeight="false" outlineLevel="0" collapsed="false">
      <c r="A593" s="2" t="s">
        <v>3362</v>
      </c>
      <c r="B593" s="2" t="s">
        <v>1185</v>
      </c>
      <c r="C593" s="2" t="s">
        <v>2969</v>
      </c>
      <c r="D593" s="2" t="s">
        <v>3363</v>
      </c>
      <c r="E593" s="2" t="s">
        <v>3364</v>
      </c>
      <c r="F593" s="2" t="s">
        <v>3365</v>
      </c>
      <c r="G593" s="2" t="s">
        <v>3366</v>
      </c>
      <c r="H593" s="2" t="s">
        <v>20</v>
      </c>
      <c r="I593" s="2" t="s">
        <v>3367</v>
      </c>
      <c r="J593" s="2" t="s">
        <v>2969</v>
      </c>
      <c r="K593" s="2" t="s">
        <v>1193</v>
      </c>
      <c r="L593" s="2" t="n">
        <v>2</v>
      </c>
      <c r="M593" s="2" t="n">
        <v>46</v>
      </c>
    </row>
    <row r="594" customFormat="false" ht="46.25" hidden="false" customHeight="false" outlineLevel="0" collapsed="false">
      <c r="A594" s="2" t="s">
        <v>3368</v>
      </c>
      <c r="B594" s="2" t="s">
        <v>1185</v>
      </c>
      <c r="C594" s="2" t="s">
        <v>2969</v>
      </c>
      <c r="D594" s="2" t="s">
        <v>3369</v>
      </c>
      <c r="E594" s="2" t="s">
        <v>3370</v>
      </c>
      <c r="F594" s="2" t="s">
        <v>3371</v>
      </c>
      <c r="G594" s="2" t="s">
        <v>3372</v>
      </c>
      <c r="H594" s="2" t="s">
        <v>20</v>
      </c>
      <c r="I594" s="2" t="s">
        <v>3373</v>
      </c>
      <c r="J594" s="2" t="s">
        <v>2969</v>
      </c>
      <c r="K594" s="2" t="s">
        <v>1193</v>
      </c>
      <c r="L594" s="2" t="n">
        <v>2</v>
      </c>
      <c r="M594" s="2" t="n">
        <v>43</v>
      </c>
    </row>
    <row r="595" customFormat="false" ht="61.15" hidden="false" customHeight="false" outlineLevel="0" collapsed="false">
      <c r="A595" s="2" t="s">
        <v>3374</v>
      </c>
      <c r="B595" s="2" t="s">
        <v>1185</v>
      </c>
      <c r="C595" s="2" t="s">
        <v>2969</v>
      </c>
      <c r="D595" s="2" t="s">
        <v>3375</v>
      </c>
      <c r="E595" s="2" t="s">
        <v>3376</v>
      </c>
      <c r="F595" s="2" t="s">
        <v>3377</v>
      </c>
      <c r="G595" s="2" t="s">
        <v>3378</v>
      </c>
      <c r="H595" s="2" t="s">
        <v>20</v>
      </c>
      <c r="I595" s="2" t="s">
        <v>3379</v>
      </c>
      <c r="J595" s="2" t="s">
        <v>2969</v>
      </c>
      <c r="K595" s="2" t="s">
        <v>1193</v>
      </c>
      <c r="L595" s="2" t="n">
        <v>3</v>
      </c>
      <c r="M595" s="2" t="n">
        <v>43</v>
      </c>
    </row>
    <row r="596" customFormat="false" ht="91" hidden="false" customHeight="false" outlineLevel="0" collapsed="false">
      <c r="A596" s="2" t="s">
        <v>3380</v>
      </c>
      <c r="B596" s="2" t="s">
        <v>1185</v>
      </c>
      <c r="C596" s="2" t="s">
        <v>2969</v>
      </c>
      <c r="D596" s="2" t="s">
        <v>3381</v>
      </c>
      <c r="E596" s="2" t="s">
        <v>3382</v>
      </c>
      <c r="F596" s="2" t="s">
        <v>3383</v>
      </c>
      <c r="G596" s="2" t="s">
        <v>3384</v>
      </c>
      <c r="H596" s="2" t="s">
        <v>28</v>
      </c>
      <c r="I596" s="2" t="s">
        <v>3385</v>
      </c>
      <c r="J596" s="2" t="s">
        <v>2969</v>
      </c>
      <c r="K596" s="2" t="s">
        <v>1193</v>
      </c>
      <c r="L596" s="2" t="n">
        <v>2</v>
      </c>
      <c r="M596" s="2" t="n">
        <v>42</v>
      </c>
    </row>
    <row r="597" customFormat="false" ht="61.15" hidden="false" customHeight="false" outlineLevel="0" collapsed="false">
      <c r="A597" s="2" t="s">
        <v>3386</v>
      </c>
      <c r="B597" s="2" t="s">
        <v>1185</v>
      </c>
      <c r="C597" s="2" t="s">
        <v>2969</v>
      </c>
      <c r="D597" s="2" t="s">
        <v>3387</v>
      </c>
      <c r="E597" s="2" t="s">
        <v>3388</v>
      </c>
      <c r="F597" s="2" t="s">
        <v>3389</v>
      </c>
      <c r="G597" s="2" t="s">
        <v>3390</v>
      </c>
      <c r="H597" s="2" t="s">
        <v>20</v>
      </c>
      <c r="I597" s="2" t="s">
        <v>3391</v>
      </c>
      <c r="J597" s="2" t="s">
        <v>2969</v>
      </c>
      <c r="K597" s="2" t="s">
        <v>1193</v>
      </c>
      <c r="L597" s="2" t="n">
        <v>2</v>
      </c>
      <c r="M597" s="2" t="n">
        <v>43</v>
      </c>
    </row>
    <row r="598" customFormat="false" ht="46.25" hidden="false" customHeight="false" outlineLevel="0" collapsed="false">
      <c r="A598" s="2" t="s">
        <v>3392</v>
      </c>
      <c r="B598" s="2" t="s">
        <v>1185</v>
      </c>
      <c r="C598" s="2" t="s">
        <v>2969</v>
      </c>
      <c r="D598" s="2" t="s">
        <v>3393</v>
      </c>
      <c r="E598" s="2" t="s">
        <v>3394</v>
      </c>
      <c r="F598" s="2" t="s">
        <v>3395</v>
      </c>
      <c r="G598" s="2" t="s">
        <v>3396</v>
      </c>
      <c r="H598" s="2" t="s">
        <v>20</v>
      </c>
      <c r="I598" s="2" t="s">
        <v>3397</v>
      </c>
      <c r="J598" s="2" t="s">
        <v>2969</v>
      </c>
      <c r="K598" s="2" t="s">
        <v>1193</v>
      </c>
      <c r="L598" s="2" t="n">
        <v>2</v>
      </c>
      <c r="M598" s="2" t="n">
        <v>43</v>
      </c>
    </row>
    <row r="599" customFormat="false" ht="61.15" hidden="false" customHeight="false" outlineLevel="0" collapsed="false">
      <c r="A599" s="2" t="s">
        <v>3398</v>
      </c>
      <c r="B599" s="2" t="s">
        <v>1185</v>
      </c>
      <c r="C599" s="2" t="s">
        <v>2969</v>
      </c>
      <c r="D599" s="2" t="s">
        <v>3399</v>
      </c>
      <c r="E599" s="2" t="s">
        <v>3400</v>
      </c>
      <c r="F599" s="2" t="s">
        <v>3401</v>
      </c>
      <c r="G599" s="2" t="s">
        <v>3402</v>
      </c>
      <c r="H599" s="2" t="s">
        <v>20</v>
      </c>
      <c r="I599" s="2" t="s">
        <v>3403</v>
      </c>
      <c r="J599" s="2" t="s">
        <v>2969</v>
      </c>
      <c r="K599" s="2" t="s">
        <v>1193</v>
      </c>
      <c r="L599" s="2" t="n">
        <v>2</v>
      </c>
      <c r="M599" s="2" t="n">
        <v>46</v>
      </c>
    </row>
    <row r="600" customFormat="false" ht="61.15" hidden="false" customHeight="false" outlineLevel="0" collapsed="false">
      <c r="A600" s="2" t="s">
        <v>3404</v>
      </c>
      <c r="B600" s="2" t="s">
        <v>1185</v>
      </c>
      <c r="C600" s="2" t="s">
        <v>2969</v>
      </c>
      <c r="D600" s="2" t="s">
        <v>3405</v>
      </c>
      <c r="E600" s="2" t="s">
        <v>3406</v>
      </c>
      <c r="F600" s="2" t="s">
        <v>3407</v>
      </c>
      <c r="G600" s="2" t="s">
        <v>3408</v>
      </c>
      <c r="H600" s="2" t="s">
        <v>20</v>
      </c>
      <c r="I600" s="2" t="s">
        <v>3409</v>
      </c>
      <c r="J600" s="2" t="s">
        <v>2969</v>
      </c>
      <c r="K600" s="2" t="s">
        <v>1193</v>
      </c>
      <c r="L600" s="2" t="n">
        <v>2</v>
      </c>
      <c r="M600" s="2" t="n">
        <v>44</v>
      </c>
    </row>
    <row r="601" customFormat="false" ht="76.1" hidden="false" customHeight="false" outlineLevel="0" collapsed="false">
      <c r="A601" s="2" t="s">
        <v>3410</v>
      </c>
      <c r="B601" s="2" t="s">
        <v>1185</v>
      </c>
      <c r="C601" s="2" t="s">
        <v>2969</v>
      </c>
      <c r="D601" s="2" t="s">
        <v>3411</v>
      </c>
      <c r="E601" s="2" t="s">
        <v>3412</v>
      </c>
      <c r="F601" s="2" t="s">
        <v>3413</v>
      </c>
      <c r="G601" s="2" t="s">
        <v>3414</v>
      </c>
      <c r="H601" s="2" t="s">
        <v>226</v>
      </c>
      <c r="I601" s="2" t="s">
        <v>3415</v>
      </c>
      <c r="J601" s="2" t="s">
        <v>2969</v>
      </c>
      <c r="K601" s="2" t="s">
        <v>1193</v>
      </c>
      <c r="L601" s="2" t="n">
        <v>3</v>
      </c>
      <c r="M601" s="2" t="n">
        <v>42</v>
      </c>
    </row>
    <row r="602" customFormat="false" ht="91" hidden="false" customHeight="false" outlineLevel="0" collapsed="false">
      <c r="A602" s="2" t="s">
        <v>3416</v>
      </c>
      <c r="B602" s="2" t="s">
        <v>1185</v>
      </c>
      <c r="C602" s="2" t="s">
        <v>2969</v>
      </c>
      <c r="D602" s="2" t="s">
        <v>3417</v>
      </c>
      <c r="E602" s="2" t="s">
        <v>3418</v>
      </c>
      <c r="F602" s="2" t="s">
        <v>3419</v>
      </c>
      <c r="G602" s="2" t="s">
        <v>3420</v>
      </c>
      <c r="H602" s="2" t="s">
        <v>20</v>
      </c>
      <c r="I602" s="2" t="s">
        <v>3421</v>
      </c>
      <c r="J602" s="2" t="s">
        <v>2969</v>
      </c>
      <c r="K602" s="2" t="s">
        <v>1193</v>
      </c>
      <c r="L602" s="2" t="n">
        <v>4</v>
      </c>
      <c r="M602" s="2" t="n">
        <v>44</v>
      </c>
    </row>
    <row r="603" customFormat="false" ht="76.1" hidden="false" customHeight="false" outlineLevel="0" collapsed="false">
      <c r="A603" s="2" t="s">
        <v>3422</v>
      </c>
      <c r="B603" s="2" t="s">
        <v>1185</v>
      </c>
      <c r="C603" s="2" t="s">
        <v>2969</v>
      </c>
      <c r="D603" s="2" t="s">
        <v>3423</v>
      </c>
      <c r="E603" s="2" t="s">
        <v>3424</v>
      </c>
      <c r="F603" s="2" t="s">
        <v>3425</v>
      </c>
      <c r="G603" s="2" t="s">
        <v>3426</v>
      </c>
      <c r="H603" s="2" t="s">
        <v>20</v>
      </c>
      <c r="I603" s="2" t="s">
        <v>3427</v>
      </c>
      <c r="J603" s="2" t="s">
        <v>2969</v>
      </c>
      <c r="K603" s="2" t="s">
        <v>1193</v>
      </c>
      <c r="L603" s="2" t="n">
        <v>3</v>
      </c>
      <c r="M603" s="2" t="n">
        <v>42</v>
      </c>
    </row>
    <row r="604" customFormat="false" ht="91" hidden="false" customHeight="false" outlineLevel="0" collapsed="false">
      <c r="A604" s="2" t="s">
        <v>3428</v>
      </c>
      <c r="B604" s="2" t="s">
        <v>1185</v>
      </c>
      <c r="C604" s="2" t="s">
        <v>2969</v>
      </c>
      <c r="D604" s="2" t="s">
        <v>3429</v>
      </c>
      <c r="E604" s="2" t="s">
        <v>3430</v>
      </c>
      <c r="F604" s="2" t="s">
        <v>3431</v>
      </c>
      <c r="G604" s="2" t="s">
        <v>3432</v>
      </c>
      <c r="H604" s="2" t="s">
        <v>20</v>
      </c>
      <c r="I604" s="2" t="s">
        <v>3433</v>
      </c>
      <c r="J604" s="2" t="s">
        <v>2969</v>
      </c>
      <c r="K604" s="2" t="s">
        <v>1193</v>
      </c>
      <c r="L604" s="2" t="n">
        <v>3</v>
      </c>
      <c r="M604" s="2" t="n">
        <v>42</v>
      </c>
    </row>
    <row r="605" customFormat="false" ht="76.1" hidden="false" customHeight="false" outlineLevel="0" collapsed="false">
      <c r="A605" s="2" t="s">
        <v>3434</v>
      </c>
      <c r="B605" s="2" t="s">
        <v>1185</v>
      </c>
      <c r="C605" s="2" t="s">
        <v>2969</v>
      </c>
      <c r="D605" s="2" t="s">
        <v>3435</v>
      </c>
      <c r="E605" s="2" t="s">
        <v>3436</v>
      </c>
      <c r="F605" s="2" t="s">
        <v>3437</v>
      </c>
      <c r="G605" s="2" t="s">
        <v>3438</v>
      </c>
      <c r="H605" s="2" t="s">
        <v>20</v>
      </c>
      <c r="I605" s="2" t="s">
        <v>3439</v>
      </c>
      <c r="J605" s="2" t="s">
        <v>2969</v>
      </c>
      <c r="K605" s="2" t="s">
        <v>1193</v>
      </c>
      <c r="L605" s="2" t="n">
        <v>3</v>
      </c>
      <c r="M605" s="2" t="n">
        <v>43</v>
      </c>
    </row>
    <row r="606" customFormat="false" ht="61.15" hidden="false" customHeight="false" outlineLevel="0" collapsed="false">
      <c r="A606" s="2" t="s">
        <v>3440</v>
      </c>
      <c r="B606" s="2" t="s">
        <v>1185</v>
      </c>
      <c r="C606" s="2" t="s">
        <v>2969</v>
      </c>
      <c r="D606" s="2" t="s">
        <v>3441</v>
      </c>
      <c r="E606" s="2" t="s">
        <v>3442</v>
      </c>
      <c r="F606" s="2" t="s">
        <v>3443</v>
      </c>
      <c r="G606" s="2" t="s">
        <v>3444</v>
      </c>
      <c r="H606" s="2" t="s">
        <v>20</v>
      </c>
      <c r="I606" s="2" t="s">
        <v>3445</v>
      </c>
      <c r="J606" s="2" t="s">
        <v>2969</v>
      </c>
      <c r="K606" s="2" t="s">
        <v>1193</v>
      </c>
      <c r="L606" s="2" t="n">
        <v>3</v>
      </c>
      <c r="M606" s="2" t="n">
        <v>44</v>
      </c>
    </row>
    <row r="607" customFormat="false" ht="76.1" hidden="false" customHeight="false" outlineLevel="0" collapsed="false">
      <c r="A607" s="2" t="s">
        <v>3446</v>
      </c>
      <c r="B607" s="2" t="s">
        <v>1185</v>
      </c>
      <c r="C607" s="2" t="s">
        <v>3447</v>
      </c>
      <c r="D607" s="2" t="s">
        <v>3448</v>
      </c>
      <c r="E607" s="2" t="s">
        <v>3449</v>
      </c>
      <c r="F607" s="2" t="s">
        <v>3450</v>
      </c>
      <c r="G607" s="2" t="s">
        <v>3451</v>
      </c>
      <c r="H607" s="2" t="s">
        <v>226</v>
      </c>
      <c r="I607" s="2" t="s">
        <v>3452</v>
      </c>
      <c r="J607" s="2" t="s">
        <v>3447</v>
      </c>
      <c r="K607" s="2" t="s">
        <v>1193</v>
      </c>
      <c r="L607" s="2" t="n">
        <v>3</v>
      </c>
      <c r="M607" s="2" t="n">
        <v>48</v>
      </c>
    </row>
    <row r="608" customFormat="false" ht="76.1" hidden="false" customHeight="false" outlineLevel="0" collapsed="false">
      <c r="A608" s="2" t="s">
        <v>3453</v>
      </c>
      <c r="B608" s="2" t="s">
        <v>1185</v>
      </c>
      <c r="C608" s="2" t="s">
        <v>3447</v>
      </c>
      <c r="D608" s="2" t="s">
        <v>3454</v>
      </c>
      <c r="E608" s="2" t="s">
        <v>3455</v>
      </c>
      <c r="F608" s="2" t="s">
        <v>3456</v>
      </c>
      <c r="G608" s="2" t="s">
        <v>3457</v>
      </c>
      <c r="H608" s="2" t="s">
        <v>20</v>
      </c>
      <c r="I608" s="2" t="s">
        <v>3458</v>
      </c>
      <c r="J608" s="2" t="s">
        <v>3447</v>
      </c>
      <c r="K608" s="2" t="s">
        <v>1193</v>
      </c>
      <c r="L608" s="2" t="n">
        <v>2</v>
      </c>
      <c r="M608" s="2" t="n">
        <v>48</v>
      </c>
    </row>
    <row r="609" customFormat="false" ht="61.15" hidden="false" customHeight="false" outlineLevel="0" collapsed="false">
      <c r="A609" s="2" t="s">
        <v>3459</v>
      </c>
      <c r="B609" s="2" t="s">
        <v>1185</v>
      </c>
      <c r="C609" s="2" t="s">
        <v>3447</v>
      </c>
      <c r="D609" s="2" t="s">
        <v>3460</v>
      </c>
      <c r="E609" s="2" t="s">
        <v>3461</v>
      </c>
      <c r="F609" s="2" t="s">
        <v>3462</v>
      </c>
      <c r="G609" s="2" t="s">
        <v>3463</v>
      </c>
      <c r="H609" s="2" t="s">
        <v>20</v>
      </c>
      <c r="I609" s="2" t="s">
        <v>3464</v>
      </c>
      <c r="J609" s="2" t="s">
        <v>3447</v>
      </c>
      <c r="K609" s="2" t="s">
        <v>1193</v>
      </c>
      <c r="L609" s="2" t="n">
        <v>1</v>
      </c>
      <c r="M609" s="2" t="n">
        <v>48</v>
      </c>
    </row>
    <row r="610" customFormat="false" ht="61.15" hidden="false" customHeight="false" outlineLevel="0" collapsed="false">
      <c r="A610" s="2" t="s">
        <v>3465</v>
      </c>
      <c r="B610" s="2" t="s">
        <v>1185</v>
      </c>
      <c r="C610" s="2" t="s">
        <v>3447</v>
      </c>
      <c r="D610" s="2" t="s">
        <v>3466</v>
      </c>
      <c r="E610" s="2" t="s">
        <v>3467</v>
      </c>
      <c r="F610" s="2" t="s">
        <v>3468</v>
      </c>
      <c r="G610" s="2" t="s">
        <v>3469</v>
      </c>
      <c r="H610" s="2" t="s">
        <v>20</v>
      </c>
      <c r="I610" s="2" t="s">
        <v>3470</v>
      </c>
      <c r="J610" s="2" t="s">
        <v>3447</v>
      </c>
      <c r="K610" s="2" t="s">
        <v>1193</v>
      </c>
      <c r="L610" s="2" t="n">
        <v>1</v>
      </c>
      <c r="M610" s="2" t="n">
        <v>47</v>
      </c>
    </row>
    <row r="611" customFormat="false" ht="76.1" hidden="false" customHeight="false" outlineLevel="0" collapsed="false">
      <c r="A611" s="2" t="s">
        <v>3471</v>
      </c>
      <c r="B611" s="2" t="s">
        <v>1185</v>
      </c>
      <c r="C611" s="2" t="s">
        <v>3447</v>
      </c>
      <c r="D611" s="2" t="s">
        <v>3472</v>
      </c>
      <c r="E611" s="2" t="s">
        <v>3473</v>
      </c>
      <c r="F611" s="2" t="s">
        <v>3474</v>
      </c>
      <c r="G611" s="2" t="s">
        <v>3475</v>
      </c>
      <c r="H611" s="2" t="s">
        <v>20</v>
      </c>
      <c r="I611" s="2" t="s">
        <v>3476</v>
      </c>
      <c r="J611" s="2" t="s">
        <v>3447</v>
      </c>
      <c r="K611" s="2" t="s">
        <v>1193</v>
      </c>
      <c r="L611" s="2" t="n">
        <v>2</v>
      </c>
      <c r="M611" s="2" t="n">
        <v>47</v>
      </c>
    </row>
    <row r="612" customFormat="false" ht="61.15" hidden="false" customHeight="false" outlineLevel="0" collapsed="false">
      <c r="A612" s="2" t="s">
        <v>3477</v>
      </c>
      <c r="B612" s="2" t="s">
        <v>1185</v>
      </c>
      <c r="C612" s="2" t="s">
        <v>3447</v>
      </c>
      <c r="D612" s="2" t="s">
        <v>3478</v>
      </c>
      <c r="E612" s="2" t="s">
        <v>3479</v>
      </c>
      <c r="F612" s="2" t="s">
        <v>3480</v>
      </c>
      <c r="G612" s="2" t="s">
        <v>3481</v>
      </c>
      <c r="H612" s="2" t="s">
        <v>20</v>
      </c>
      <c r="I612" s="2" t="s">
        <v>3482</v>
      </c>
      <c r="J612" s="2" t="s">
        <v>3447</v>
      </c>
      <c r="K612" s="2" t="s">
        <v>1193</v>
      </c>
      <c r="L612" s="2" t="n">
        <v>2</v>
      </c>
      <c r="M612" s="2" t="n">
        <v>47</v>
      </c>
    </row>
    <row r="613" customFormat="false" ht="76.1" hidden="false" customHeight="false" outlineLevel="0" collapsed="false">
      <c r="A613" s="2" t="s">
        <v>3483</v>
      </c>
      <c r="B613" s="2" t="s">
        <v>1185</v>
      </c>
      <c r="C613" s="2" t="s">
        <v>3447</v>
      </c>
      <c r="D613" s="2" t="s">
        <v>3484</v>
      </c>
      <c r="E613" s="2" t="s">
        <v>3485</v>
      </c>
      <c r="F613" s="2" t="s">
        <v>3486</v>
      </c>
      <c r="G613" s="2" t="s">
        <v>3487</v>
      </c>
      <c r="H613" s="2" t="s">
        <v>28</v>
      </c>
      <c r="I613" s="2" t="s">
        <v>3488</v>
      </c>
      <c r="J613" s="2" t="s">
        <v>3447</v>
      </c>
      <c r="K613" s="2" t="s">
        <v>1193</v>
      </c>
      <c r="L613" s="2" t="n">
        <v>2</v>
      </c>
      <c r="M613" s="2" t="n">
        <v>47</v>
      </c>
    </row>
    <row r="614" customFormat="false" ht="76.1" hidden="false" customHeight="false" outlineLevel="0" collapsed="false">
      <c r="A614" s="2" t="s">
        <v>3489</v>
      </c>
      <c r="B614" s="2" t="s">
        <v>1185</v>
      </c>
      <c r="C614" s="2" t="s">
        <v>3447</v>
      </c>
      <c r="D614" s="2" t="s">
        <v>3490</v>
      </c>
      <c r="E614" s="2" t="s">
        <v>3491</v>
      </c>
      <c r="F614" s="2" t="s">
        <v>3492</v>
      </c>
      <c r="G614" s="2" t="s">
        <v>3493</v>
      </c>
      <c r="H614" s="2" t="s">
        <v>20</v>
      </c>
      <c r="I614" s="2" t="s">
        <v>3494</v>
      </c>
      <c r="J614" s="2" t="s">
        <v>3447</v>
      </c>
      <c r="K614" s="2" t="s">
        <v>1193</v>
      </c>
      <c r="L614" s="2" t="n">
        <v>2</v>
      </c>
      <c r="M614" s="2" t="n">
        <v>47</v>
      </c>
    </row>
    <row r="615" customFormat="false" ht="91" hidden="false" customHeight="false" outlineLevel="0" collapsed="false">
      <c r="A615" s="2" t="s">
        <v>3495</v>
      </c>
      <c r="B615" s="2" t="s">
        <v>1185</v>
      </c>
      <c r="C615" s="2" t="s">
        <v>3447</v>
      </c>
      <c r="D615" s="2" t="s">
        <v>3496</v>
      </c>
      <c r="E615" s="2" t="s">
        <v>3497</v>
      </c>
      <c r="F615" s="2" t="s">
        <v>3498</v>
      </c>
      <c r="G615" s="2" t="s">
        <v>3499</v>
      </c>
      <c r="H615" s="2" t="s">
        <v>20</v>
      </c>
      <c r="I615" s="2" t="s">
        <v>3500</v>
      </c>
      <c r="J615" s="2" t="s">
        <v>3447</v>
      </c>
      <c r="K615" s="2" t="s">
        <v>1193</v>
      </c>
      <c r="L615" s="2" t="n">
        <v>3</v>
      </c>
      <c r="M615" s="2" t="n">
        <v>48</v>
      </c>
    </row>
    <row r="616" customFormat="false" ht="91" hidden="false" customHeight="false" outlineLevel="0" collapsed="false">
      <c r="A616" s="2" t="s">
        <v>3501</v>
      </c>
      <c r="B616" s="2" t="s">
        <v>1185</v>
      </c>
      <c r="C616" s="2" t="s">
        <v>3447</v>
      </c>
      <c r="D616" s="2" t="s">
        <v>3502</v>
      </c>
      <c r="E616" s="2" t="s">
        <v>3503</v>
      </c>
      <c r="F616" s="2" t="s">
        <v>3504</v>
      </c>
      <c r="G616" s="2" t="s">
        <v>3505</v>
      </c>
      <c r="H616" s="2" t="s">
        <v>28</v>
      </c>
      <c r="I616" s="2" t="s">
        <v>3506</v>
      </c>
      <c r="J616" s="2" t="s">
        <v>3507</v>
      </c>
      <c r="K616" s="2" t="s">
        <v>1193</v>
      </c>
      <c r="L616" s="2" t="n">
        <v>2</v>
      </c>
      <c r="M616" s="2" t="n">
        <v>48</v>
      </c>
    </row>
    <row r="617" customFormat="false" ht="61.15" hidden="false" customHeight="false" outlineLevel="0" collapsed="false">
      <c r="A617" s="2" t="s">
        <v>3508</v>
      </c>
      <c r="B617" s="2" t="s">
        <v>1185</v>
      </c>
      <c r="C617" s="2" t="s">
        <v>3447</v>
      </c>
      <c r="D617" s="2" t="s">
        <v>3509</v>
      </c>
      <c r="E617" s="2" t="s">
        <v>3510</v>
      </c>
      <c r="F617" s="2" t="s">
        <v>3511</v>
      </c>
      <c r="G617" s="2" t="s">
        <v>3512</v>
      </c>
      <c r="H617" s="2" t="s">
        <v>20</v>
      </c>
      <c r="I617" s="2" t="s">
        <v>3513</v>
      </c>
      <c r="J617" s="2" t="s">
        <v>3507</v>
      </c>
      <c r="K617" s="2" t="s">
        <v>1193</v>
      </c>
      <c r="L617" s="2" t="n">
        <v>2</v>
      </c>
      <c r="M617" s="2" t="n">
        <v>48</v>
      </c>
    </row>
    <row r="618" customFormat="false" ht="46.25" hidden="false" customHeight="false" outlineLevel="0" collapsed="false">
      <c r="A618" s="2" t="s">
        <v>3514</v>
      </c>
      <c r="B618" s="2" t="s">
        <v>1185</v>
      </c>
      <c r="C618" s="2" t="s">
        <v>3447</v>
      </c>
      <c r="D618" s="2" t="s">
        <v>3515</v>
      </c>
      <c r="E618" s="2" t="s">
        <v>3516</v>
      </c>
      <c r="F618" s="2" t="s">
        <v>3517</v>
      </c>
      <c r="G618" s="2" t="s">
        <v>3518</v>
      </c>
      <c r="H618" s="2" t="s">
        <v>20</v>
      </c>
      <c r="I618" s="2" t="s">
        <v>3519</v>
      </c>
      <c r="J618" s="2" t="s">
        <v>3507</v>
      </c>
      <c r="K618" s="2" t="s">
        <v>1193</v>
      </c>
      <c r="L618" s="2" t="n">
        <v>3</v>
      </c>
      <c r="M618" s="2" t="n">
        <v>48</v>
      </c>
    </row>
    <row r="619" customFormat="false" ht="61.15" hidden="false" customHeight="false" outlineLevel="0" collapsed="false">
      <c r="A619" s="2" t="s">
        <v>3520</v>
      </c>
      <c r="B619" s="2" t="s">
        <v>1185</v>
      </c>
      <c r="C619" s="2" t="s">
        <v>3447</v>
      </c>
      <c r="D619" s="2" t="s">
        <v>3521</v>
      </c>
      <c r="E619" s="2" t="s">
        <v>3522</v>
      </c>
      <c r="F619" s="2" t="s">
        <v>3523</v>
      </c>
      <c r="G619" s="2" t="s">
        <v>3524</v>
      </c>
      <c r="H619" s="2" t="s">
        <v>20</v>
      </c>
      <c r="I619" s="2" t="s">
        <v>3525</v>
      </c>
      <c r="J619" s="2" t="s">
        <v>3507</v>
      </c>
      <c r="K619" s="2" t="s">
        <v>1193</v>
      </c>
      <c r="L619" s="2" t="n">
        <v>1</v>
      </c>
      <c r="M619" s="2" t="n">
        <v>48</v>
      </c>
    </row>
    <row r="620" customFormat="false" ht="46.25" hidden="false" customHeight="false" outlineLevel="0" collapsed="false">
      <c r="A620" s="2" t="s">
        <v>3526</v>
      </c>
      <c r="B620" s="2" t="s">
        <v>1185</v>
      </c>
      <c r="C620" s="2" t="s">
        <v>3447</v>
      </c>
      <c r="D620" s="2" t="s">
        <v>3527</v>
      </c>
      <c r="E620" s="2" t="s">
        <v>3528</v>
      </c>
      <c r="F620" s="2" t="s">
        <v>3529</v>
      </c>
      <c r="G620" s="2" t="s">
        <v>3530</v>
      </c>
      <c r="H620" s="2" t="s">
        <v>20</v>
      </c>
      <c r="I620" s="2" t="s">
        <v>3531</v>
      </c>
      <c r="J620" s="2" t="s">
        <v>3507</v>
      </c>
      <c r="K620" s="2" t="s">
        <v>1193</v>
      </c>
      <c r="L620" s="2" t="n">
        <v>2</v>
      </c>
      <c r="M620" s="2" t="n">
        <v>48</v>
      </c>
    </row>
    <row r="621" customFormat="false" ht="61.15" hidden="false" customHeight="false" outlineLevel="0" collapsed="false">
      <c r="A621" s="2" t="s">
        <v>3532</v>
      </c>
      <c r="B621" s="2" t="s">
        <v>1185</v>
      </c>
      <c r="C621" s="2" t="s">
        <v>3447</v>
      </c>
      <c r="D621" s="2" t="s">
        <v>3533</v>
      </c>
      <c r="E621" s="2" t="s">
        <v>3534</v>
      </c>
      <c r="F621" s="2" t="s">
        <v>3535</v>
      </c>
      <c r="G621" s="2" t="s">
        <v>3536</v>
      </c>
      <c r="H621" s="2" t="s">
        <v>28</v>
      </c>
      <c r="I621" s="2" t="s">
        <v>3537</v>
      </c>
      <c r="J621" s="2" t="s">
        <v>3538</v>
      </c>
      <c r="K621" s="2" t="s">
        <v>1193</v>
      </c>
      <c r="L621" s="2" t="n">
        <v>1</v>
      </c>
      <c r="M621" s="2" t="n">
        <v>48</v>
      </c>
    </row>
    <row r="622" customFormat="false" ht="46.25" hidden="false" customHeight="false" outlineLevel="0" collapsed="false">
      <c r="A622" s="2" t="s">
        <v>3539</v>
      </c>
      <c r="B622" s="2" t="s">
        <v>1185</v>
      </c>
      <c r="C622" s="2" t="s">
        <v>3447</v>
      </c>
      <c r="D622" s="2" t="s">
        <v>3540</v>
      </c>
      <c r="E622" s="2" t="s">
        <v>3541</v>
      </c>
      <c r="F622" s="2" t="s">
        <v>3542</v>
      </c>
      <c r="G622" s="2" t="s">
        <v>3543</v>
      </c>
      <c r="H622" s="2" t="s">
        <v>20</v>
      </c>
      <c r="I622" s="2" t="s">
        <v>3544</v>
      </c>
      <c r="J622" s="2" t="s">
        <v>3538</v>
      </c>
      <c r="K622" s="2" t="s">
        <v>1193</v>
      </c>
      <c r="L622" s="2" t="n">
        <v>2</v>
      </c>
      <c r="M622" s="2" t="n">
        <v>48</v>
      </c>
    </row>
    <row r="623" customFormat="false" ht="61.15" hidden="false" customHeight="false" outlineLevel="0" collapsed="false">
      <c r="A623" s="2" t="s">
        <v>3545</v>
      </c>
      <c r="B623" s="2" t="s">
        <v>1185</v>
      </c>
      <c r="C623" s="2" t="s">
        <v>3447</v>
      </c>
      <c r="D623" s="2" t="s">
        <v>3546</v>
      </c>
      <c r="E623" s="2" t="s">
        <v>3547</v>
      </c>
      <c r="F623" s="2" t="s">
        <v>3548</v>
      </c>
      <c r="G623" s="2" t="s">
        <v>3549</v>
      </c>
      <c r="H623" s="2" t="s">
        <v>20</v>
      </c>
      <c r="I623" s="2" t="s">
        <v>3550</v>
      </c>
      <c r="J623" s="2" t="s">
        <v>3551</v>
      </c>
      <c r="K623" s="2" t="s">
        <v>1193</v>
      </c>
      <c r="L623" s="2" t="n">
        <v>2</v>
      </c>
      <c r="M623" s="2" t="n">
        <v>48</v>
      </c>
    </row>
    <row r="624" customFormat="false" ht="46.25" hidden="false" customHeight="false" outlineLevel="0" collapsed="false">
      <c r="A624" s="2" t="s">
        <v>3552</v>
      </c>
      <c r="B624" s="2" t="s">
        <v>1185</v>
      </c>
      <c r="C624" s="2" t="s">
        <v>3447</v>
      </c>
      <c r="D624" s="2" t="s">
        <v>3553</v>
      </c>
      <c r="E624" s="2" t="s">
        <v>3554</v>
      </c>
      <c r="F624" s="2" t="s">
        <v>3555</v>
      </c>
      <c r="G624" s="2" t="s">
        <v>3556</v>
      </c>
      <c r="H624" s="2" t="s">
        <v>20</v>
      </c>
      <c r="I624" s="2" t="s">
        <v>3557</v>
      </c>
      <c r="J624" s="2" t="s">
        <v>3538</v>
      </c>
      <c r="K624" s="2" t="s">
        <v>1193</v>
      </c>
      <c r="L624" s="2" t="n">
        <v>2</v>
      </c>
      <c r="M624" s="2" t="n">
        <v>48</v>
      </c>
    </row>
    <row r="625" customFormat="false" ht="61.15" hidden="false" customHeight="false" outlineLevel="0" collapsed="false">
      <c r="A625" s="2" t="s">
        <v>3558</v>
      </c>
      <c r="B625" s="2" t="s">
        <v>1185</v>
      </c>
      <c r="C625" s="2" t="s">
        <v>3447</v>
      </c>
      <c r="D625" s="2" t="s">
        <v>3559</v>
      </c>
      <c r="E625" s="2" t="s">
        <v>3560</v>
      </c>
      <c r="F625" s="2" t="s">
        <v>3561</v>
      </c>
      <c r="G625" s="2" t="s">
        <v>3562</v>
      </c>
      <c r="H625" s="2" t="s">
        <v>20</v>
      </c>
      <c r="I625" s="2" t="s">
        <v>3563</v>
      </c>
      <c r="J625" s="2" t="s">
        <v>3564</v>
      </c>
      <c r="K625" s="2" t="s">
        <v>1193</v>
      </c>
      <c r="L625" s="2" t="n">
        <v>1</v>
      </c>
      <c r="M625" s="2" t="n">
        <v>48</v>
      </c>
    </row>
    <row r="626" customFormat="false" ht="61.15" hidden="false" customHeight="false" outlineLevel="0" collapsed="false">
      <c r="A626" s="2" t="s">
        <v>3565</v>
      </c>
      <c r="B626" s="2" t="s">
        <v>1185</v>
      </c>
      <c r="C626" s="2" t="s">
        <v>3447</v>
      </c>
      <c r="D626" s="2" t="s">
        <v>3566</v>
      </c>
      <c r="E626" s="2" t="s">
        <v>3567</v>
      </c>
      <c r="F626" s="2" t="s">
        <v>3568</v>
      </c>
      <c r="G626" s="2" t="s">
        <v>3569</v>
      </c>
      <c r="H626" s="2" t="s">
        <v>28</v>
      </c>
      <c r="I626" s="2" t="s">
        <v>3570</v>
      </c>
      <c r="J626" s="2" t="s">
        <v>3564</v>
      </c>
      <c r="K626" s="2" t="s">
        <v>1193</v>
      </c>
      <c r="L626" s="2" t="n">
        <v>1</v>
      </c>
      <c r="M626" s="2" t="n">
        <v>48</v>
      </c>
    </row>
    <row r="627" customFormat="false" ht="61.15" hidden="false" customHeight="false" outlineLevel="0" collapsed="false">
      <c r="A627" s="2" t="s">
        <v>3571</v>
      </c>
      <c r="B627" s="2" t="s">
        <v>1185</v>
      </c>
      <c r="C627" s="2" t="s">
        <v>3447</v>
      </c>
      <c r="D627" s="2" t="s">
        <v>3572</v>
      </c>
      <c r="E627" s="2" t="s">
        <v>3573</v>
      </c>
      <c r="F627" s="2" t="s">
        <v>3574</v>
      </c>
      <c r="G627" s="2" t="s">
        <v>3575</v>
      </c>
      <c r="H627" s="2" t="s">
        <v>20</v>
      </c>
      <c r="I627" s="2" t="s">
        <v>3576</v>
      </c>
      <c r="J627" s="2" t="s">
        <v>3577</v>
      </c>
      <c r="K627" s="2" t="s">
        <v>1193</v>
      </c>
      <c r="L627" s="2" t="n">
        <v>1</v>
      </c>
      <c r="M627" s="2" t="n">
        <v>48</v>
      </c>
    </row>
    <row r="628" customFormat="false" ht="76.1" hidden="false" customHeight="false" outlineLevel="0" collapsed="false">
      <c r="A628" s="2" t="s">
        <v>3578</v>
      </c>
      <c r="B628" s="2" t="s">
        <v>1185</v>
      </c>
      <c r="C628" s="2" t="s">
        <v>3447</v>
      </c>
      <c r="D628" s="2" t="s">
        <v>3579</v>
      </c>
      <c r="E628" s="2" t="s">
        <v>3580</v>
      </c>
      <c r="F628" s="2" t="s">
        <v>3581</v>
      </c>
      <c r="G628" s="2" t="s">
        <v>3582</v>
      </c>
      <c r="H628" s="2" t="s">
        <v>20</v>
      </c>
      <c r="I628" s="2" t="s">
        <v>3583</v>
      </c>
      <c r="J628" s="2" t="s">
        <v>3584</v>
      </c>
      <c r="K628" s="2" t="s">
        <v>1193</v>
      </c>
      <c r="L628" s="2" t="n">
        <v>2</v>
      </c>
      <c r="M628" s="2" t="n">
        <v>48</v>
      </c>
    </row>
    <row r="629" customFormat="false" ht="61.15" hidden="false" customHeight="false" outlineLevel="0" collapsed="false">
      <c r="A629" s="2" t="s">
        <v>3585</v>
      </c>
      <c r="B629" s="2" t="s">
        <v>1185</v>
      </c>
      <c r="C629" s="2" t="s">
        <v>3447</v>
      </c>
      <c r="D629" s="2" t="s">
        <v>3586</v>
      </c>
      <c r="E629" s="2" t="s">
        <v>3587</v>
      </c>
      <c r="F629" s="2" t="s">
        <v>3588</v>
      </c>
      <c r="G629" s="2" t="s">
        <v>3589</v>
      </c>
      <c r="H629" s="2" t="s">
        <v>20</v>
      </c>
      <c r="I629" s="2" t="s">
        <v>3590</v>
      </c>
      <c r="J629" s="2" t="s">
        <v>3584</v>
      </c>
      <c r="K629" s="2" t="s">
        <v>1193</v>
      </c>
      <c r="L629" s="2" t="n">
        <v>2</v>
      </c>
      <c r="M629" s="2" t="n">
        <v>48</v>
      </c>
    </row>
    <row r="630" customFormat="false" ht="76.1" hidden="false" customHeight="false" outlineLevel="0" collapsed="false">
      <c r="A630" s="2" t="s">
        <v>3591</v>
      </c>
      <c r="B630" s="2" t="s">
        <v>1185</v>
      </c>
      <c r="C630" s="2" t="s">
        <v>3447</v>
      </c>
      <c r="D630" s="2" t="s">
        <v>3592</v>
      </c>
      <c r="E630" s="2" t="s">
        <v>3593</v>
      </c>
      <c r="F630" s="2" t="s">
        <v>3594</v>
      </c>
      <c r="G630" s="2" t="s">
        <v>3595</v>
      </c>
      <c r="H630" s="2" t="s">
        <v>226</v>
      </c>
      <c r="I630" s="2" t="s">
        <v>3596</v>
      </c>
      <c r="J630" s="2" t="s">
        <v>3584</v>
      </c>
      <c r="K630" s="2" t="s">
        <v>1193</v>
      </c>
      <c r="L630" s="2" t="n">
        <v>2</v>
      </c>
      <c r="M630" s="2" t="n">
        <v>48</v>
      </c>
    </row>
    <row r="631" customFormat="false" ht="46.25" hidden="false" customHeight="false" outlineLevel="0" collapsed="false">
      <c r="A631" s="2" t="s">
        <v>3597</v>
      </c>
      <c r="B631" s="2" t="s">
        <v>1185</v>
      </c>
      <c r="C631" s="2" t="s">
        <v>3447</v>
      </c>
      <c r="D631" s="2" t="s">
        <v>3598</v>
      </c>
      <c r="E631" s="2" t="s">
        <v>3599</v>
      </c>
      <c r="F631" s="2" t="s">
        <v>3600</v>
      </c>
      <c r="G631" s="2" t="s">
        <v>3601</v>
      </c>
      <c r="H631" s="2" t="s">
        <v>20</v>
      </c>
      <c r="I631" s="2" t="s">
        <v>3602</v>
      </c>
      <c r="J631" s="2" t="s">
        <v>3584</v>
      </c>
      <c r="K631" s="2" t="s">
        <v>1193</v>
      </c>
      <c r="L631" s="2" t="n">
        <v>2</v>
      </c>
      <c r="M631" s="2" t="n">
        <v>48</v>
      </c>
    </row>
    <row r="632" customFormat="false" ht="46.25" hidden="false" customHeight="false" outlineLevel="0" collapsed="false">
      <c r="A632" s="2" t="s">
        <v>3603</v>
      </c>
      <c r="B632" s="2" t="s">
        <v>1185</v>
      </c>
      <c r="C632" s="2" t="s">
        <v>3447</v>
      </c>
      <c r="D632" s="2" t="s">
        <v>3604</v>
      </c>
      <c r="E632" s="2" t="s">
        <v>3605</v>
      </c>
      <c r="F632" s="2" t="s">
        <v>3606</v>
      </c>
      <c r="G632" s="2" t="s">
        <v>3607</v>
      </c>
      <c r="H632" s="2" t="s">
        <v>20</v>
      </c>
      <c r="I632" s="2" t="s">
        <v>3608</v>
      </c>
      <c r="J632" s="2" t="s">
        <v>3584</v>
      </c>
      <c r="K632" s="2" t="s">
        <v>1193</v>
      </c>
      <c r="L632" s="2" t="n">
        <v>2</v>
      </c>
      <c r="M632" s="2" t="n">
        <v>48</v>
      </c>
    </row>
    <row r="633" customFormat="false" ht="46.25" hidden="false" customHeight="false" outlineLevel="0" collapsed="false">
      <c r="A633" s="2" t="s">
        <v>3609</v>
      </c>
      <c r="B633" s="2" t="s">
        <v>1185</v>
      </c>
      <c r="C633" s="2" t="s">
        <v>3447</v>
      </c>
      <c r="D633" s="2" t="s">
        <v>3610</v>
      </c>
      <c r="E633" s="2" t="s">
        <v>3611</v>
      </c>
      <c r="F633" s="2" t="s">
        <v>3612</v>
      </c>
      <c r="G633" s="2" t="s">
        <v>3613</v>
      </c>
      <c r="H633" s="2" t="s">
        <v>20</v>
      </c>
      <c r="I633" s="2" t="s">
        <v>3614</v>
      </c>
      <c r="J633" s="2" t="s">
        <v>3538</v>
      </c>
      <c r="K633" s="2" t="s">
        <v>1193</v>
      </c>
      <c r="L633" s="2" t="n">
        <v>1</v>
      </c>
      <c r="M633" s="2" t="n">
        <v>48</v>
      </c>
    </row>
    <row r="634" customFormat="false" ht="46.25" hidden="false" customHeight="false" outlineLevel="0" collapsed="false">
      <c r="A634" s="2" t="s">
        <v>3615</v>
      </c>
      <c r="B634" s="2" t="s">
        <v>1185</v>
      </c>
      <c r="C634" s="2" t="s">
        <v>3447</v>
      </c>
      <c r="D634" s="2" t="s">
        <v>3616</v>
      </c>
      <c r="E634" s="2" t="s">
        <v>3617</v>
      </c>
      <c r="F634" s="2" t="s">
        <v>3618</v>
      </c>
      <c r="G634" s="2" t="s">
        <v>3619</v>
      </c>
      <c r="H634" s="2" t="s">
        <v>20</v>
      </c>
      <c r="I634" s="2" t="s">
        <v>3620</v>
      </c>
      <c r="J634" s="2" t="s">
        <v>3447</v>
      </c>
      <c r="K634" s="2" t="s">
        <v>1193</v>
      </c>
      <c r="L634" s="2" t="n">
        <v>2</v>
      </c>
      <c r="M634" s="2" t="n">
        <v>47</v>
      </c>
    </row>
    <row r="635" customFormat="false" ht="61.15" hidden="false" customHeight="false" outlineLevel="0" collapsed="false">
      <c r="A635" s="2" t="s">
        <v>3621</v>
      </c>
      <c r="B635" s="2" t="s">
        <v>1185</v>
      </c>
      <c r="C635" s="2" t="s">
        <v>3447</v>
      </c>
      <c r="D635" s="2" t="s">
        <v>3622</v>
      </c>
      <c r="E635" s="2" t="s">
        <v>3623</v>
      </c>
      <c r="F635" s="2" t="s">
        <v>3624</v>
      </c>
      <c r="G635" s="2" t="s">
        <v>3625</v>
      </c>
      <c r="H635" s="2" t="s">
        <v>20</v>
      </c>
      <c r="I635" s="2" t="s">
        <v>3626</v>
      </c>
      <c r="J635" s="2" t="s">
        <v>3447</v>
      </c>
      <c r="K635" s="2" t="s">
        <v>1193</v>
      </c>
      <c r="L635" s="2" t="n">
        <v>1</v>
      </c>
      <c r="M635" s="2" t="n">
        <v>48</v>
      </c>
    </row>
    <row r="636" customFormat="false" ht="76.1" hidden="false" customHeight="false" outlineLevel="0" collapsed="false">
      <c r="A636" s="2" t="s">
        <v>3627</v>
      </c>
      <c r="B636" s="2" t="s">
        <v>1185</v>
      </c>
      <c r="C636" s="2" t="s">
        <v>3447</v>
      </c>
      <c r="D636" s="2" t="s">
        <v>3628</v>
      </c>
      <c r="E636" s="2" t="s">
        <v>3629</v>
      </c>
      <c r="F636" s="2" t="s">
        <v>3630</v>
      </c>
      <c r="G636" s="2" t="s">
        <v>3631</v>
      </c>
      <c r="H636" s="2" t="s">
        <v>20</v>
      </c>
      <c r="I636" s="2" t="s">
        <v>3632</v>
      </c>
      <c r="J636" s="2" t="s">
        <v>3584</v>
      </c>
      <c r="K636" s="2" t="s">
        <v>1193</v>
      </c>
      <c r="L636" s="2" t="n">
        <v>2</v>
      </c>
      <c r="M636" s="2" t="n">
        <v>48</v>
      </c>
    </row>
    <row r="637" customFormat="false" ht="46.25" hidden="false" customHeight="false" outlineLevel="0" collapsed="false">
      <c r="A637" s="2" t="s">
        <v>3633</v>
      </c>
      <c r="B637" s="2" t="s">
        <v>1185</v>
      </c>
      <c r="C637" s="2" t="s">
        <v>3447</v>
      </c>
      <c r="D637" s="2" t="s">
        <v>3634</v>
      </c>
      <c r="E637" s="2" t="s">
        <v>3635</v>
      </c>
      <c r="F637" s="2" t="s">
        <v>3636</v>
      </c>
      <c r="G637" s="2" t="s">
        <v>3637</v>
      </c>
      <c r="H637" s="2" t="s">
        <v>20</v>
      </c>
      <c r="I637" s="2" t="s">
        <v>3638</v>
      </c>
      <c r="J637" s="2" t="s">
        <v>3447</v>
      </c>
      <c r="K637" s="2" t="s">
        <v>1193</v>
      </c>
      <c r="L637" s="2" t="n">
        <v>2</v>
      </c>
      <c r="M637" s="2" t="n">
        <v>48</v>
      </c>
    </row>
    <row r="638" customFormat="false" ht="61.15" hidden="false" customHeight="false" outlineLevel="0" collapsed="false">
      <c r="A638" s="2" t="s">
        <v>3639</v>
      </c>
      <c r="B638" s="2" t="s">
        <v>1185</v>
      </c>
      <c r="C638" s="2" t="s">
        <v>3447</v>
      </c>
      <c r="D638" s="2" t="s">
        <v>3640</v>
      </c>
      <c r="E638" s="2" t="s">
        <v>3641</v>
      </c>
      <c r="F638" s="2" t="s">
        <v>3642</v>
      </c>
      <c r="G638" s="2" t="s">
        <v>3643</v>
      </c>
      <c r="H638" s="2" t="s">
        <v>20</v>
      </c>
      <c r="I638" s="2" t="s">
        <v>3644</v>
      </c>
      <c r="J638" s="2" t="s">
        <v>3447</v>
      </c>
      <c r="K638" s="2" t="s">
        <v>1193</v>
      </c>
      <c r="L638" s="2" t="n">
        <v>2</v>
      </c>
      <c r="M638" s="2" t="n">
        <v>47</v>
      </c>
    </row>
    <row r="639" customFormat="false" ht="61.15" hidden="false" customHeight="false" outlineLevel="0" collapsed="false">
      <c r="A639" s="2" t="s">
        <v>3645</v>
      </c>
      <c r="B639" s="2" t="s">
        <v>1185</v>
      </c>
      <c r="C639" s="2" t="s">
        <v>3447</v>
      </c>
      <c r="D639" s="2" t="s">
        <v>3646</v>
      </c>
      <c r="E639" s="2" t="s">
        <v>3647</v>
      </c>
      <c r="F639" s="2" t="s">
        <v>3648</v>
      </c>
      <c r="G639" s="2" t="s">
        <v>3649</v>
      </c>
      <c r="H639" s="2" t="s">
        <v>20</v>
      </c>
      <c r="I639" s="2" t="s">
        <v>3650</v>
      </c>
      <c r="J639" s="2" t="s">
        <v>3447</v>
      </c>
      <c r="K639" s="2" t="s">
        <v>1193</v>
      </c>
      <c r="L639" s="2" t="n">
        <v>1</v>
      </c>
      <c r="M639" s="2" t="n">
        <v>48</v>
      </c>
    </row>
    <row r="640" customFormat="false" ht="46.25" hidden="false" customHeight="false" outlineLevel="0" collapsed="false">
      <c r="A640" s="2" t="s">
        <v>3651</v>
      </c>
      <c r="B640" s="2" t="s">
        <v>1185</v>
      </c>
      <c r="C640" s="2" t="s">
        <v>3447</v>
      </c>
      <c r="D640" s="2" t="s">
        <v>3652</v>
      </c>
      <c r="E640" s="2" t="s">
        <v>3653</v>
      </c>
      <c r="F640" s="2" t="s">
        <v>3654</v>
      </c>
      <c r="G640" s="2" t="s">
        <v>3655</v>
      </c>
      <c r="H640" s="2" t="s">
        <v>20</v>
      </c>
      <c r="I640" s="2" t="s">
        <v>3656</v>
      </c>
      <c r="J640" s="2" t="s">
        <v>3447</v>
      </c>
      <c r="K640" s="2" t="s">
        <v>1193</v>
      </c>
      <c r="L640" s="2" t="n">
        <v>2</v>
      </c>
      <c r="M640" s="2" t="n">
        <v>48</v>
      </c>
    </row>
    <row r="641" customFormat="false" ht="46.25" hidden="false" customHeight="false" outlineLevel="0" collapsed="false">
      <c r="A641" s="2" t="s">
        <v>3657</v>
      </c>
      <c r="B641" s="2" t="s">
        <v>1185</v>
      </c>
      <c r="C641" s="2" t="s">
        <v>3447</v>
      </c>
      <c r="D641" s="2" t="s">
        <v>3658</v>
      </c>
      <c r="E641" s="2" t="s">
        <v>3659</v>
      </c>
      <c r="F641" s="2" t="s">
        <v>3660</v>
      </c>
      <c r="G641" s="2" t="s">
        <v>3661</v>
      </c>
      <c r="H641" s="2" t="s">
        <v>20</v>
      </c>
      <c r="I641" s="2" t="s">
        <v>3662</v>
      </c>
      <c r="J641" s="2" t="s">
        <v>3447</v>
      </c>
      <c r="K641" s="2" t="s">
        <v>1193</v>
      </c>
      <c r="L641" s="2" t="n">
        <v>1</v>
      </c>
      <c r="M641" s="2" t="n">
        <v>48</v>
      </c>
    </row>
    <row r="642" customFormat="false" ht="46.25" hidden="false" customHeight="false" outlineLevel="0" collapsed="false">
      <c r="A642" s="2" t="s">
        <v>3663</v>
      </c>
      <c r="B642" s="2" t="s">
        <v>1185</v>
      </c>
      <c r="C642" s="2" t="s">
        <v>3447</v>
      </c>
      <c r="D642" s="2" t="s">
        <v>3664</v>
      </c>
      <c r="E642" s="2" t="s">
        <v>3665</v>
      </c>
      <c r="F642" s="2" t="s">
        <v>3666</v>
      </c>
      <c r="G642" s="2" t="s">
        <v>3667</v>
      </c>
      <c r="H642" s="2" t="s">
        <v>20</v>
      </c>
      <c r="I642" s="2" t="s">
        <v>3668</v>
      </c>
      <c r="J642" s="2" t="s">
        <v>3447</v>
      </c>
      <c r="K642" s="2" t="s">
        <v>1193</v>
      </c>
      <c r="L642" s="2" t="n">
        <v>2</v>
      </c>
      <c r="M642" s="2" t="n">
        <v>48</v>
      </c>
    </row>
    <row r="643" customFormat="false" ht="61.15" hidden="false" customHeight="false" outlineLevel="0" collapsed="false">
      <c r="A643" s="2" t="s">
        <v>3669</v>
      </c>
      <c r="B643" s="2" t="s">
        <v>1185</v>
      </c>
      <c r="C643" s="2" t="s">
        <v>3447</v>
      </c>
      <c r="D643" s="2" t="s">
        <v>3670</v>
      </c>
      <c r="E643" s="2" t="s">
        <v>3671</v>
      </c>
      <c r="F643" s="2" t="s">
        <v>3672</v>
      </c>
      <c r="G643" s="2" t="s">
        <v>3673</v>
      </c>
      <c r="H643" s="2" t="s">
        <v>20</v>
      </c>
      <c r="I643" s="2" t="s">
        <v>3674</v>
      </c>
      <c r="J643" s="2" t="s">
        <v>3447</v>
      </c>
      <c r="K643" s="2" t="s">
        <v>1193</v>
      </c>
      <c r="L643" s="2" t="n">
        <v>2</v>
      </c>
      <c r="M643" s="2" t="n">
        <v>48</v>
      </c>
    </row>
    <row r="644" customFormat="false" ht="61.15" hidden="false" customHeight="false" outlineLevel="0" collapsed="false">
      <c r="A644" s="2" t="s">
        <v>3675</v>
      </c>
      <c r="B644" s="2" t="s">
        <v>1185</v>
      </c>
      <c r="C644" s="2" t="s">
        <v>3447</v>
      </c>
      <c r="D644" s="2" t="s">
        <v>3676</v>
      </c>
      <c r="E644" s="2" t="s">
        <v>3677</v>
      </c>
      <c r="F644" s="2" t="s">
        <v>3678</v>
      </c>
      <c r="G644" s="2" t="s">
        <v>3679</v>
      </c>
      <c r="H644" s="2" t="s">
        <v>20</v>
      </c>
      <c r="I644" s="2" t="s">
        <v>3680</v>
      </c>
      <c r="J644" s="2" t="s">
        <v>3447</v>
      </c>
      <c r="K644" s="2" t="s">
        <v>1193</v>
      </c>
      <c r="L644" s="2" t="n">
        <v>2</v>
      </c>
      <c r="M644" s="2" t="n">
        <v>48</v>
      </c>
    </row>
    <row r="645" customFormat="false" ht="46.25" hidden="false" customHeight="false" outlineLevel="0" collapsed="false">
      <c r="A645" s="2" t="s">
        <v>3681</v>
      </c>
      <c r="B645" s="2" t="s">
        <v>1185</v>
      </c>
      <c r="C645" s="2" t="s">
        <v>3447</v>
      </c>
      <c r="D645" s="2" t="s">
        <v>3682</v>
      </c>
      <c r="E645" s="2" t="s">
        <v>3683</v>
      </c>
      <c r="F645" s="2" t="s">
        <v>3684</v>
      </c>
      <c r="G645" s="2" t="s">
        <v>3685</v>
      </c>
      <c r="H645" s="2" t="s">
        <v>20</v>
      </c>
      <c r="I645" s="2" t="s">
        <v>3686</v>
      </c>
      <c r="J645" s="2" t="s">
        <v>3447</v>
      </c>
      <c r="K645" s="2" t="s">
        <v>1193</v>
      </c>
      <c r="L645" s="2" t="n">
        <v>2</v>
      </c>
      <c r="M645" s="2" t="n">
        <v>48</v>
      </c>
    </row>
    <row r="646" customFormat="false" ht="46.25" hidden="false" customHeight="false" outlineLevel="0" collapsed="false">
      <c r="A646" s="2" t="s">
        <v>3687</v>
      </c>
      <c r="B646" s="2" t="s">
        <v>1185</v>
      </c>
      <c r="C646" s="2" t="s">
        <v>3447</v>
      </c>
      <c r="D646" s="2" t="s">
        <v>3688</v>
      </c>
      <c r="E646" s="2" t="s">
        <v>3689</v>
      </c>
      <c r="F646" s="2" t="s">
        <v>3690</v>
      </c>
      <c r="G646" s="2" t="s">
        <v>3691</v>
      </c>
      <c r="H646" s="2" t="s">
        <v>20</v>
      </c>
      <c r="I646" s="2" t="s">
        <v>3692</v>
      </c>
      <c r="J646" s="2" t="s">
        <v>3447</v>
      </c>
      <c r="K646" s="2" t="s">
        <v>1193</v>
      </c>
      <c r="L646" s="2" t="n">
        <v>1</v>
      </c>
      <c r="M646" s="2" t="n">
        <v>48</v>
      </c>
    </row>
    <row r="647" customFormat="false" ht="61.15" hidden="false" customHeight="false" outlineLevel="0" collapsed="false">
      <c r="A647" s="2" t="s">
        <v>3693</v>
      </c>
      <c r="B647" s="2" t="s">
        <v>1185</v>
      </c>
      <c r="C647" s="2" t="s">
        <v>3447</v>
      </c>
      <c r="D647" s="2" t="s">
        <v>3694</v>
      </c>
      <c r="E647" s="2" t="s">
        <v>3695</v>
      </c>
      <c r="F647" s="2" t="s">
        <v>3696</v>
      </c>
      <c r="G647" s="2" t="s">
        <v>3697</v>
      </c>
      <c r="H647" s="2" t="s">
        <v>20</v>
      </c>
      <c r="I647" s="2" t="s">
        <v>3698</v>
      </c>
      <c r="J647" s="2" t="s">
        <v>3447</v>
      </c>
      <c r="K647" s="2" t="s">
        <v>1193</v>
      </c>
      <c r="L647" s="2" t="n">
        <v>2</v>
      </c>
      <c r="M647" s="2" t="n">
        <v>48</v>
      </c>
    </row>
    <row r="648" customFormat="false" ht="105.95" hidden="false" customHeight="false" outlineLevel="0" collapsed="false">
      <c r="A648" s="2" t="s">
        <v>3699</v>
      </c>
      <c r="B648" s="2" t="s">
        <v>1185</v>
      </c>
      <c r="C648" s="2" t="s">
        <v>3447</v>
      </c>
      <c r="D648" s="2" t="s">
        <v>3700</v>
      </c>
      <c r="E648" s="2" t="s">
        <v>3701</v>
      </c>
      <c r="F648" s="2" t="s">
        <v>3702</v>
      </c>
      <c r="G648" s="2" t="s">
        <v>3703</v>
      </c>
      <c r="H648" s="2" t="s">
        <v>20</v>
      </c>
      <c r="I648" s="2" t="s">
        <v>3704</v>
      </c>
      <c r="J648" s="2" t="s">
        <v>3447</v>
      </c>
      <c r="K648" s="2" t="s">
        <v>1193</v>
      </c>
      <c r="L648" s="2" t="n">
        <v>2</v>
      </c>
      <c r="M648" s="2" t="n">
        <v>48</v>
      </c>
    </row>
    <row r="649" customFormat="false" ht="76.1" hidden="false" customHeight="false" outlineLevel="0" collapsed="false">
      <c r="A649" s="2" t="s">
        <v>3705</v>
      </c>
      <c r="B649" s="2" t="s">
        <v>1185</v>
      </c>
      <c r="C649" s="2" t="s">
        <v>3447</v>
      </c>
      <c r="D649" s="2" t="s">
        <v>3706</v>
      </c>
      <c r="E649" s="2" t="s">
        <v>3707</v>
      </c>
      <c r="F649" s="2" t="s">
        <v>3708</v>
      </c>
      <c r="G649" s="2" t="s">
        <v>3709</v>
      </c>
      <c r="H649" s="2" t="s">
        <v>20</v>
      </c>
      <c r="I649" s="2" t="s">
        <v>3710</v>
      </c>
      <c r="J649" s="2" t="s">
        <v>3447</v>
      </c>
      <c r="K649" s="2" t="s">
        <v>1193</v>
      </c>
      <c r="L649" s="2" t="n">
        <v>3</v>
      </c>
      <c r="M649" s="2" t="n">
        <v>48</v>
      </c>
    </row>
    <row r="650" customFormat="false" ht="76.1" hidden="false" customHeight="false" outlineLevel="0" collapsed="false">
      <c r="A650" s="2" t="s">
        <v>3711</v>
      </c>
      <c r="B650" s="2" t="s">
        <v>1185</v>
      </c>
      <c r="C650" s="2" t="s">
        <v>3447</v>
      </c>
      <c r="D650" s="2" t="s">
        <v>3712</v>
      </c>
      <c r="E650" s="2" t="s">
        <v>3713</v>
      </c>
      <c r="F650" s="2" t="s">
        <v>3714</v>
      </c>
      <c r="G650" s="2" t="s">
        <v>3715</v>
      </c>
      <c r="H650" s="2" t="s">
        <v>20</v>
      </c>
      <c r="I650" s="2" t="s">
        <v>3716</v>
      </c>
      <c r="J650" s="2" t="s">
        <v>3447</v>
      </c>
      <c r="K650" s="2" t="s">
        <v>1193</v>
      </c>
      <c r="L650" s="2" t="n">
        <v>3</v>
      </c>
      <c r="M650" s="2" t="n">
        <v>48</v>
      </c>
    </row>
    <row r="651" customFormat="false" ht="120.85" hidden="false" customHeight="false" outlineLevel="0" collapsed="false">
      <c r="A651" s="2" t="s">
        <v>3717</v>
      </c>
      <c r="B651" s="2" t="s">
        <v>1185</v>
      </c>
      <c r="C651" s="2" t="s">
        <v>3447</v>
      </c>
      <c r="D651" s="2" t="s">
        <v>3718</v>
      </c>
      <c r="E651" s="2" t="s">
        <v>3719</v>
      </c>
      <c r="F651" s="2" t="s">
        <v>3720</v>
      </c>
      <c r="G651" s="2" t="s">
        <v>3721</v>
      </c>
      <c r="H651" s="2" t="s">
        <v>20</v>
      </c>
      <c r="I651" s="2" t="s">
        <v>3722</v>
      </c>
      <c r="J651" s="2" t="s">
        <v>3564</v>
      </c>
      <c r="K651" s="2" t="s">
        <v>1193</v>
      </c>
      <c r="L651" s="2" t="n">
        <v>3</v>
      </c>
      <c r="M651" s="2" t="n">
        <v>48</v>
      </c>
    </row>
    <row r="652" customFormat="false" ht="120.85" hidden="false" customHeight="false" outlineLevel="0" collapsed="false">
      <c r="A652" s="2" t="s">
        <v>3723</v>
      </c>
      <c r="B652" s="2" t="s">
        <v>1185</v>
      </c>
      <c r="C652" s="2" t="s">
        <v>3447</v>
      </c>
      <c r="D652" s="2" t="s">
        <v>3724</v>
      </c>
      <c r="E652" s="2" t="s">
        <v>3725</v>
      </c>
      <c r="F652" s="2" t="s">
        <v>3726</v>
      </c>
      <c r="G652" s="2" t="s">
        <v>3727</v>
      </c>
      <c r="H652" s="2" t="s">
        <v>20</v>
      </c>
      <c r="I652" s="2" t="s">
        <v>3728</v>
      </c>
      <c r="J652" s="2" t="s">
        <v>3447</v>
      </c>
      <c r="K652" s="2" t="s">
        <v>1193</v>
      </c>
      <c r="L652" s="2" t="n">
        <v>4</v>
      </c>
      <c r="M652" s="2" t="n">
        <v>48</v>
      </c>
    </row>
    <row r="653" customFormat="false" ht="61.15" hidden="false" customHeight="false" outlineLevel="0" collapsed="false">
      <c r="A653" s="2" t="s">
        <v>3729</v>
      </c>
      <c r="B653" s="2" t="s">
        <v>1185</v>
      </c>
      <c r="C653" s="2" t="s">
        <v>3447</v>
      </c>
      <c r="D653" s="2" t="s">
        <v>3730</v>
      </c>
      <c r="E653" s="2" t="s">
        <v>3731</v>
      </c>
      <c r="F653" s="2" t="s">
        <v>3732</v>
      </c>
      <c r="G653" s="2" t="s">
        <v>3733</v>
      </c>
      <c r="H653" s="2" t="s">
        <v>20</v>
      </c>
      <c r="I653" s="2" t="s">
        <v>3734</v>
      </c>
      <c r="J653" s="2" t="s">
        <v>3447</v>
      </c>
      <c r="K653" s="2" t="s">
        <v>1193</v>
      </c>
      <c r="L653" s="2" t="n">
        <v>3</v>
      </c>
      <c r="M653" s="2" t="n">
        <v>48</v>
      </c>
    </row>
    <row r="654" customFormat="false" ht="61.15" hidden="false" customHeight="false" outlineLevel="0" collapsed="false">
      <c r="A654" s="2" t="s">
        <v>3735</v>
      </c>
      <c r="B654" s="2" t="s">
        <v>1185</v>
      </c>
      <c r="C654" s="2" t="s">
        <v>3447</v>
      </c>
      <c r="D654" s="2" t="s">
        <v>3736</v>
      </c>
      <c r="E654" s="2" t="s">
        <v>3737</v>
      </c>
      <c r="F654" s="2" t="s">
        <v>3738</v>
      </c>
      <c r="G654" s="2" t="s">
        <v>3739</v>
      </c>
      <c r="H654" s="2" t="s">
        <v>20</v>
      </c>
      <c r="I654" s="2" t="s">
        <v>3740</v>
      </c>
      <c r="J654" s="2" t="s">
        <v>3447</v>
      </c>
      <c r="K654" s="2" t="s">
        <v>1193</v>
      </c>
      <c r="L654" s="2" t="n">
        <v>3</v>
      </c>
      <c r="M654" s="2" t="n">
        <v>48</v>
      </c>
    </row>
    <row r="655" customFormat="false" ht="91" hidden="false" customHeight="false" outlineLevel="0" collapsed="false">
      <c r="A655" s="2" t="s">
        <v>3741</v>
      </c>
      <c r="B655" s="2" t="s">
        <v>1185</v>
      </c>
      <c r="C655" s="2" t="s">
        <v>3742</v>
      </c>
      <c r="D655" s="2" t="s">
        <v>3743</v>
      </c>
      <c r="E655" s="2" t="s">
        <v>3744</v>
      </c>
      <c r="F655" s="2" t="s">
        <v>3745</v>
      </c>
      <c r="G655" s="2" t="s">
        <v>3746</v>
      </c>
      <c r="H655" s="2" t="s">
        <v>28</v>
      </c>
      <c r="I655" s="2" t="s">
        <v>3747</v>
      </c>
      <c r="J655" s="2" t="s">
        <v>3742</v>
      </c>
      <c r="K655" s="2" t="s">
        <v>1193</v>
      </c>
      <c r="L655" s="2" t="n">
        <v>3</v>
      </c>
      <c r="M655" s="2" t="n">
        <v>52</v>
      </c>
    </row>
    <row r="656" customFormat="false" ht="61.15" hidden="false" customHeight="false" outlineLevel="0" collapsed="false">
      <c r="A656" s="2" t="s">
        <v>3748</v>
      </c>
      <c r="B656" s="2" t="s">
        <v>1185</v>
      </c>
      <c r="C656" s="2" t="s">
        <v>3742</v>
      </c>
      <c r="D656" s="2" t="s">
        <v>3749</v>
      </c>
      <c r="E656" s="2" t="s">
        <v>3750</v>
      </c>
      <c r="F656" s="2" t="s">
        <v>3751</v>
      </c>
      <c r="G656" s="2" t="s">
        <v>3752</v>
      </c>
      <c r="H656" s="2" t="s">
        <v>20</v>
      </c>
      <c r="I656" s="2" t="s">
        <v>3753</v>
      </c>
      <c r="J656" s="2" t="s">
        <v>3754</v>
      </c>
      <c r="K656" s="2" t="s">
        <v>1193</v>
      </c>
      <c r="L656" s="2" t="n">
        <v>2</v>
      </c>
      <c r="M656" s="2" t="n">
        <v>51</v>
      </c>
    </row>
    <row r="657" customFormat="false" ht="46.25" hidden="false" customHeight="false" outlineLevel="0" collapsed="false">
      <c r="A657" s="2" t="s">
        <v>3755</v>
      </c>
      <c r="B657" s="2" t="s">
        <v>1185</v>
      </c>
      <c r="C657" s="2" t="s">
        <v>3742</v>
      </c>
      <c r="D657" s="2" t="s">
        <v>3756</v>
      </c>
      <c r="E657" s="2" t="s">
        <v>3757</v>
      </c>
      <c r="F657" s="2" t="s">
        <v>3758</v>
      </c>
      <c r="G657" s="2" t="s">
        <v>3759</v>
      </c>
      <c r="H657" s="2" t="s">
        <v>20</v>
      </c>
      <c r="I657" s="2" t="s">
        <v>3760</v>
      </c>
      <c r="J657" s="2" t="s">
        <v>3761</v>
      </c>
      <c r="K657" s="2" t="s">
        <v>1193</v>
      </c>
      <c r="L657" s="2" t="n">
        <v>1</v>
      </c>
      <c r="M657" s="2" t="n">
        <v>51</v>
      </c>
    </row>
    <row r="658" customFormat="false" ht="61.15" hidden="false" customHeight="false" outlineLevel="0" collapsed="false">
      <c r="A658" s="2" t="s">
        <v>3762</v>
      </c>
      <c r="B658" s="2" t="s">
        <v>1185</v>
      </c>
      <c r="C658" s="2" t="s">
        <v>3742</v>
      </c>
      <c r="D658" s="2" t="s">
        <v>3763</v>
      </c>
      <c r="E658" s="2" t="s">
        <v>3764</v>
      </c>
      <c r="F658" s="2" t="s">
        <v>3765</v>
      </c>
      <c r="G658" s="2" t="s">
        <v>3766</v>
      </c>
      <c r="H658" s="2" t="s">
        <v>20</v>
      </c>
      <c r="I658" s="2" t="s">
        <v>3767</v>
      </c>
      <c r="J658" s="2" t="s">
        <v>3761</v>
      </c>
      <c r="K658" s="2" t="s">
        <v>1193</v>
      </c>
      <c r="L658" s="2" t="n">
        <v>2</v>
      </c>
      <c r="M658" s="2" t="n">
        <v>51</v>
      </c>
    </row>
    <row r="659" customFormat="false" ht="46.25" hidden="false" customHeight="false" outlineLevel="0" collapsed="false">
      <c r="A659" s="2" t="s">
        <v>3768</v>
      </c>
      <c r="B659" s="2" t="s">
        <v>1185</v>
      </c>
      <c r="C659" s="2" t="s">
        <v>3742</v>
      </c>
      <c r="D659" s="2" t="s">
        <v>3769</v>
      </c>
      <c r="E659" s="2" t="s">
        <v>3770</v>
      </c>
      <c r="F659" s="2" t="s">
        <v>3771</v>
      </c>
      <c r="G659" s="2" t="s">
        <v>3772</v>
      </c>
      <c r="H659" s="2" t="s">
        <v>28</v>
      </c>
      <c r="I659" s="2" t="s">
        <v>3773</v>
      </c>
      <c r="J659" s="2" t="s">
        <v>3761</v>
      </c>
      <c r="K659" s="2" t="s">
        <v>1193</v>
      </c>
      <c r="L659" s="2" t="n">
        <v>2</v>
      </c>
      <c r="M659" s="2" t="n">
        <v>51</v>
      </c>
    </row>
    <row r="660" customFormat="false" ht="105.95" hidden="false" customHeight="false" outlineLevel="0" collapsed="false">
      <c r="A660" s="2" t="s">
        <v>3774</v>
      </c>
      <c r="B660" s="2" t="s">
        <v>1185</v>
      </c>
      <c r="C660" s="2" t="s">
        <v>3742</v>
      </c>
      <c r="D660" s="2" t="s">
        <v>3775</v>
      </c>
      <c r="E660" s="2" t="s">
        <v>3776</v>
      </c>
      <c r="F660" s="2" t="s">
        <v>3777</v>
      </c>
      <c r="G660" s="2" t="s">
        <v>3778</v>
      </c>
      <c r="H660" s="2" t="s">
        <v>226</v>
      </c>
      <c r="I660" s="2" t="s">
        <v>3779</v>
      </c>
      <c r="J660" s="2" t="s">
        <v>3780</v>
      </c>
      <c r="K660" s="2" t="s">
        <v>1193</v>
      </c>
      <c r="L660" s="2" t="n">
        <v>2</v>
      </c>
      <c r="M660" s="2" t="n">
        <v>51</v>
      </c>
    </row>
    <row r="661" customFormat="false" ht="46.25" hidden="false" customHeight="false" outlineLevel="0" collapsed="false">
      <c r="A661" s="2" t="s">
        <v>3781</v>
      </c>
      <c r="B661" s="2" t="s">
        <v>1185</v>
      </c>
      <c r="C661" s="2" t="s">
        <v>3742</v>
      </c>
      <c r="D661" s="2" t="s">
        <v>3782</v>
      </c>
      <c r="E661" s="2" t="s">
        <v>3783</v>
      </c>
      <c r="F661" s="2" t="s">
        <v>3784</v>
      </c>
      <c r="G661" s="2" t="s">
        <v>3785</v>
      </c>
      <c r="H661" s="2" t="s">
        <v>20</v>
      </c>
      <c r="I661" s="2" t="s">
        <v>3786</v>
      </c>
      <c r="J661" s="2" t="s">
        <v>3780</v>
      </c>
      <c r="K661" s="2" t="s">
        <v>1193</v>
      </c>
      <c r="L661" s="2" t="n">
        <v>2</v>
      </c>
      <c r="M661" s="2" t="n">
        <v>51</v>
      </c>
    </row>
    <row r="662" customFormat="false" ht="46.25" hidden="false" customHeight="false" outlineLevel="0" collapsed="false">
      <c r="A662" s="2" t="s">
        <v>3787</v>
      </c>
      <c r="B662" s="2" t="s">
        <v>1185</v>
      </c>
      <c r="C662" s="2" t="s">
        <v>3742</v>
      </c>
      <c r="D662" s="2" t="s">
        <v>3788</v>
      </c>
      <c r="E662" s="2" t="s">
        <v>3789</v>
      </c>
      <c r="F662" s="2" t="s">
        <v>3790</v>
      </c>
      <c r="G662" s="2" t="s">
        <v>3783</v>
      </c>
      <c r="H662" s="2" t="s">
        <v>20</v>
      </c>
      <c r="I662" s="2" t="s">
        <v>3791</v>
      </c>
      <c r="J662" s="2" t="s">
        <v>3780</v>
      </c>
      <c r="K662" s="2" t="s">
        <v>1193</v>
      </c>
      <c r="L662" s="2" t="n">
        <v>2</v>
      </c>
      <c r="M662" s="2" t="n">
        <v>51</v>
      </c>
    </row>
    <row r="663" customFormat="false" ht="135.8" hidden="false" customHeight="false" outlineLevel="0" collapsed="false">
      <c r="A663" s="2" t="s">
        <v>3792</v>
      </c>
      <c r="B663" s="2" t="s">
        <v>1185</v>
      </c>
      <c r="C663" s="2" t="s">
        <v>3742</v>
      </c>
      <c r="D663" s="2" t="s">
        <v>3793</v>
      </c>
      <c r="E663" s="2" t="s">
        <v>3794</v>
      </c>
      <c r="F663" s="2" t="s">
        <v>3795</v>
      </c>
      <c r="G663" s="2" t="s">
        <v>3796</v>
      </c>
      <c r="H663" s="2" t="s">
        <v>20</v>
      </c>
      <c r="I663" s="2" t="s">
        <v>3797</v>
      </c>
      <c r="J663" s="2" t="s">
        <v>3780</v>
      </c>
      <c r="K663" s="2" t="s">
        <v>1193</v>
      </c>
      <c r="L663" s="2" t="n">
        <v>3</v>
      </c>
      <c r="M663" s="2" t="n">
        <v>51</v>
      </c>
    </row>
    <row r="664" customFormat="false" ht="46.25" hidden="false" customHeight="false" outlineLevel="0" collapsed="false">
      <c r="A664" s="2" t="s">
        <v>3798</v>
      </c>
      <c r="B664" s="2" t="s">
        <v>1185</v>
      </c>
      <c r="C664" s="2" t="s">
        <v>3742</v>
      </c>
      <c r="D664" s="2" t="s">
        <v>3799</v>
      </c>
      <c r="E664" s="2" t="s">
        <v>3800</v>
      </c>
      <c r="F664" s="2" t="s">
        <v>3801</v>
      </c>
      <c r="G664" s="2" t="s">
        <v>3802</v>
      </c>
      <c r="H664" s="2" t="s">
        <v>226</v>
      </c>
      <c r="I664" s="2" t="s">
        <v>3803</v>
      </c>
      <c r="J664" s="2" t="s">
        <v>3780</v>
      </c>
      <c r="K664" s="2" t="s">
        <v>1193</v>
      </c>
      <c r="L664" s="2" t="n">
        <v>2</v>
      </c>
      <c r="M664" s="2" t="n">
        <v>52</v>
      </c>
    </row>
    <row r="665" customFormat="false" ht="61.15" hidden="false" customHeight="false" outlineLevel="0" collapsed="false">
      <c r="A665" s="2" t="s">
        <v>3804</v>
      </c>
      <c r="B665" s="2" t="s">
        <v>1185</v>
      </c>
      <c r="C665" s="2" t="s">
        <v>3742</v>
      </c>
      <c r="D665" s="2" t="s">
        <v>3805</v>
      </c>
      <c r="E665" s="2" t="s">
        <v>3806</v>
      </c>
      <c r="F665" s="2" t="s">
        <v>3807</v>
      </c>
      <c r="G665" s="2" t="s">
        <v>3808</v>
      </c>
      <c r="H665" s="2" t="s">
        <v>20</v>
      </c>
      <c r="I665" s="2" t="s">
        <v>3809</v>
      </c>
      <c r="J665" s="2" t="s">
        <v>3780</v>
      </c>
      <c r="K665" s="2" t="s">
        <v>1193</v>
      </c>
      <c r="L665" s="2" t="n">
        <v>2</v>
      </c>
      <c r="M665" s="2" t="n">
        <v>52</v>
      </c>
    </row>
    <row r="666" customFormat="false" ht="46.25" hidden="false" customHeight="false" outlineLevel="0" collapsed="false">
      <c r="A666" s="2" t="s">
        <v>3810</v>
      </c>
      <c r="B666" s="2" t="s">
        <v>1185</v>
      </c>
      <c r="C666" s="2" t="s">
        <v>3742</v>
      </c>
      <c r="D666" s="2" t="s">
        <v>3811</v>
      </c>
      <c r="E666" s="2" t="s">
        <v>3812</v>
      </c>
      <c r="F666" s="2" t="s">
        <v>3813</v>
      </c>
      <c r="G666" s="2" t="s">
        <v>3814</v>
      </c>
      <c r="H666" s="2" t="s">
        <v>20</v>
      </c>
      <c r="I666" s="2" t="s">
        <v>3815</v>
      </c>
      <c r="J666" s="2" t="s">
        <v>3780</v>
      </c>
      <c r="K666" s="2" t="s">
        <v>1193</v>
      </c>
      <c r="L666" s="2" t="n">
        <v>2</v>
      </c>
      <c r="M666" s="2" t="n">
        <v>52</v>
      </c>
    </row>
    <row r="667" customFormat="false" ht="61.15" hidden="false" customHeight="false" outlineLevel="0" collapsed="false">
      <c r="A667" s="2" t="s">
        <v>3816</v>
      </c>
      <c r="B667" s="2" t="s">
        <v>1185</v>
      </c>
      <c r="C667" s="2" t="s">
        <v>3742</v>
      </c>
      <c r="D667" s="2" t="s">
        <v>3817</v>
      </c>
      <c r="E667" s="2" t="s">
        <v>3818</v>
      </c>
      <c r="F667" s="2" t="s">
        <v>3819</v>
      </c>
      <c r="G667" s="2" t="s">
        <v>3820</v>
      </c>
      <c r="H667" s="2" t="s">
        <v>20</v>
      </c>
      <c r="I667" s="2" t="s">
        <v>3821</v>
      </c>
      <c r="J667" s="2" t="s">
        <v>3822</v>
      </c>
      <c r="K667" s="2" t="s">
        <v>1193</v>
      </c>
      <c r="L667" s="2" t="n">
        <v>2</v>
      </c>
      <c r="M667" s="2" t="n">
        <v>52</v>
      </c>
    </row>
    <row r="668" customFormat="false" ht="61.15" hidden="false" customHeight="false" outlineLevel="0" collapsed="false">
      <c r="A668" s="2" t="s">
        <v>3823</v>
      </c>
      <c r="B668" s="2" t="s">
        <v>1185</v>
      </c>
      <c r="C668" s="2" t="s">
        <v>3742</v>
      </c>
      <c r="D668" s="2" t="s">
        <v>3824</v>
      </c>
      <c r="E668" s="2" t="s">
        <v>3825</v>
      </c>
      <c r="F668" s="2" t="s">
        <v>3826</v>
      </c>
      <c r="G668" s="2" t="s">
        <v>3827</v>
      </c>
      <c r="H668" s="2" t="s">
        <v>20</v>
      </c>
      <c r="I668" s="2" t="s">
        <v>3828</v>
      </c>
      <c r="J668" s="2" t="s">
        <v>3822</v>
      </c>
      <c r="K668" s="2" t="s">
        <v>1193</v>
      </c>
      <c r="L668" s="2" t="n">
        <v>2</v>
      </c>
      <c r="M668" s="2" t="n">
        <v>52</v>
      </c>
    </row>
    <row r="669" customFormat="false" ht="76.1" hidden="false" customHeight="false" outlineLevel="0" collapsed="false">
      <c r="A669" s="2" t="s">
        <v>3829</v>
      </c>
      <c r="B669" s="2" t="s">
        <v>1185</v>
      </c>
      <c r="C669" s="2" t="s">
        <v>3742</v>
      </c>
      <c r="D669" s="2" t="s">
        <v>3830</v>
      </c>
      <c r="E669" s="2" t="s">
        <v>3831</v>
      </c>
      <c r="F669" s="2" t="s">
        <v>3832</v>
      </c>
      <c r="G669" s="2" t="s">
        <v>3833</v>
      </c>
      <c r="H669" s="2" t="s">
        <v>20</v>
      </c>
      <c r="I669" s="2" t="s">
        <v>3834</v>
      </c>
      <c r="J669" s="2" t="s">
        <v>3835</v>
      </c>
      <c r="K669" s="2" t="s">
        <v>1193</v>
      </c>
      <c r="L669" s="2" t="n">
        <v>1</v>
      </c>
      <c r="M669" s="2" t="n">
        <v>110</v>
      </c>
    </row>
    <row r="670" customFormat="false" ht="61.15" hidden="false" customHeight="false" outlineLevel="0" collapsed="false">
      <c r="A670" s="2" t="s">
        <v>3836</v>
      </c>
      <c r="B670" s="2" t="s">
        <v>1185</v>
      </c>
      <c r="C670" s="2" t="s">
        <v>3742</v>
      </c>
      <c r="D670" s="2" t="s">
        <v>3837</v>
      </c>
      <c r="E670" s="2" t="s">
        <v>3838</v>
      </c>
      <c r="F670" s="2" t="s">
        <v>3839</v>
      </c>
      <c r="G670" s="2" t="s">
        <v>3840</v>
      </c>
      <c r="H670" s="2" t="s">
        <v>20</v>
      </c>
      <c r="I670" s="2" t="s">
        <v>3841</v>
      </c>
      <c r="J670" s="2" t="s">
        <v>3742</v>
      </c>
      <c r="K670" s="2" t="s">
        <v>1193</v>
      </c>
      <c r="L670" s="2" t="n">
        <v>2</v>
      </c>
      <c r="M670" s="2" t="n">
        <v>52</v>
      </c>
    </row>
    <row r="671" customFormat="false" ht="46.25" hidden="false" customHeight="false" outlineLevel="0" collapsed="false">
      <c r="A671" s="2" t="s">
        <v>3842</v>
      </c>
      <c r="B671" s="2" t="s">
        <v>1185</v>
      </c>
      <c r="C671" s="2" t="s">
        <v>3742</v>
      </c>
      <c r="D671" s="2" t="s">
        <v>3843</v>
      </c>
      <c r="E671" s="2" t="s">
        <v>3844</v>
      </c>
      <c r="F671" s="2" t="s">
        <v>3845</v>
      </c>
      <c r="G671" s="2" t="s">
        <v>3846</v>
      </c>
      <c r="H671" s="2" t="s">
        <v>20</v>
      </c>
      <c r="I671" s="2" t="s">
        <v>3847</v>
      </c>
      <c r="J671" s="2" t="s">
        <v>3742</v>
      </c>
      <c r="K671" s="2" t="s">
        <v>1193</v>
      </c>
      <c r="L671" s="2" t="n">
        <v>2</v>
      </c>
      <c r="M671" s="2" t="n">
        <v>51</v>
      </c>
    </row>
    <row r="672" customFormat="false" ht="61.15" hidden="false" customHeight="false" outlineLevel="0" collapsed="false">
      <c r="A672" s="2" t="s">
        <v>3848</v>
      </c>
      <c r="B672" s="2" t="s">
        <v>1185</v>
      </c>
      <c r="C672" s="2" t="s">
        <v>3742</v>
      </c>
      <c r="D672" s="2" t="s">
        <v>3849</v>
      </c>
      <c r="E672" s="2" t="s">
        <v>3850</v>
      </c>
      <c r="F672" s="2" t="s">
        <v>3851</v>
      </c>
      <c r="G672" s="2" t="s">
        <v>3852</v>
      </c>
      <c r="H672" s="2" t="s">
        <v>20</v>
      </c>
      <c r="I672" s="2" t="s">
        <v>3853</v>
      </c>
      <c r="J672" s="2" t="s">
        <v>3742</v>
      </c>
      <c r="K672" s="2" t="s">
        <v>1193</v>
      </c>
      <c r="L672" s="2" t="n">
        <v>2</v>
      </c>
      <c r="M672" s="2" t="n">
        <v>52</v>
      </c>
    </row>
    <row r="673" customFormat="false" ht="76.1" hidden="false" customHeight="false" outlineLevel="0" collapsed="false">
      <c r="A673" s="2" t="s">
        <v>3854</v>
      </c>
      <c r="B673" s="2" t="s">
        <v>1185</v>
      </c>
      <c r="C673" s="2" t="s">
        <v>3742</v>
      </c>
      <c r="D673" s="2" t="s">
        <v>3855</v>
      </c>
      <c r="E673" s="2" t="s">
        <v>3856</v>
      </c>
      <c r="F673" s="2" t="s">
        <v>3857</v>
      </c>
      <c r="G673" s="2" t="s">
        <v>3858</v>
      </c>
      <c r="H673" s="2" t="s">
        <v>28</v>
      </c>
      <c r="I673" s="2" t="s">
        <v>3859</v>
      </c>
      <c r="J673" s="2" t="s">
        <v>3742</v>
      </c>
      <c r="K673" s="2" t="s">
        <v>1193</v>
      </c>
      <c r="L673" s="2" t="n">
        <v>2</v>
      </c>
      <c r="M673" s="2" t="n">
        <v>51</v>
      </c>
    </row>
    <row r="674" customFormat="false" ht="61.15" hidden="false" customHeight="false" outlineLevel="0" collapsed="false">
      <c r="A674" s="2" t="s">
        <v>3860</v>
      </c>
      <c r="B674" s="2" t="s">
        <v>1185</v>
      </c>
      <c r="C674" s="2" t="s">
        <v>3742</v>
      </c>
      <c r="D674" s="2" t="s">
        <v>3861</v>
      </c>
      <c r="E674" s="2" t="s">
        <v>2727</v>
      </c>
      <c r="F674" s="2" t="s">
        <v>3862</v>
      </c>
      <c r="G674" s="2" t="s">
        <v>3863</v>
      </c>
      <c r="H674" s="2" t="s">
        <v>20</v>
      </c>
      <c r="I674" s="2" t="s">
        <v>3864</v>
      </c>
      <c r="J674" s="2" t="s">
        <v>3742</v>
      </c>
      <c r="K674" s="2" t="s">
        <v>1193</v>
      </c>
      <c r="L674" s="2" t="n">
        <v>2</v>
      </c>
      <c r="M674" s="2" t="n">
        <v>51</v>
      </c>
    </row>
    <row r="675" customFormat="false" ht="46.25" hidden="false" customHeight="false" outlineLevel="0" collapsed="false">
      <c r="A675" s="2" t="s">
        <v>3865</v>
      </c>
      <c r="B675" s="2" t="s">
        <v>1185</v>
      </c>
      <c r="C675" s="2" t="s">
        <v>3742</v>
      </c>
      <c r="D675" s="2" t="s">
        <v>3866</v>
      </c>
      <c r="E675" s="2" t="s">
        <v>3867</v>
      </c>
      <c r="F675" s="2" t="s">
        <v>3868</v>
      </c>
      <c r="G675" s="2" t="s">
        <v>3869</v>
      </c>
      <c r="H675" s="2" t="s">
        <v>20</v>
      </c>
      <c r="I675" s="2" t="s">
        <v>3870</v>
      </c>
      <c r="J675" s="2" t="s">
        <v>3742</v>
      </c>
      <c r="K675" s="2" t="s">
        <v>1193</v>
      </c>
      <c r="L675" s="2" t="n">
        <v>1</v>
      </c>
      <c r="M675" s="2" t="n">
        <v>51</v>
      </c>
    </row>
    <row r="676" customFormat="false" ht="61.15" hidden="false" customHeight="false" outlineLevel="0" collapsed="false">
      <c r="A676" s="2" t="s">
        <v>3871</v>
      </c>
      <c r="B676" s="2" t="s">
        <v>1185</v>
      </c>
      <c r="C676" s="2" t="s">
        <v>3742</v>
      </c>
      <c r="D676" s="2" t="s">
        <v>3872</v>
      </c>
      <c r="E676" s="2" t="s">
        <v>3873</v>
      </c>
      <c r="F676" s="2" t="s">
        <v>3874</v>
      </c>
      <c r="G676" s="2" t="s">
        <v>3875</v>
      </c>
      <c r="H676" s="2" t="s">
        <v>20</v>
      </c>
      <c r="I676" s="2" t="s">
        <v>3876</v>
      </c>
      <c r="J676" s="2" t="s">
        <v>3742</v>
      </c>
      <c r="K676" s="2" t="s">
        <v>1193</v>
      </c>
      <c r="L676" s="2" t="n">
        <v>2</v>
      </c>
      <c r="M676" s="2" t="n">
        <v>51</v>
      </c>
    </row>
    <row r="677" customFormat="false" ht="61.15" hidden="false" customHeight="false" outlineLevel="0" collapsed="false">
      <c r="A677" s="2" t="s">
        <v>3877</v>
      </c>
      <c r="B677" s="2" t="s">
        <v>1185</v>
      </c>
      <c r="C677" s="2" t="s">
        <v>3742</v>
      </c>
      <c r="D677" s="2" t="s">
        <v>3878</v>
      </c>
      <c r="E677" s="2" t="s">
        <v>3879</v>
      </c>
      <c r="F677" s="2" t="s">
        <v>3880</v>
      </c>
      <c r="G677" s="2" t="s">
        <v>3881</v>
      </c>
      <c r="H677" s="2" t="s">
        <v>20</v>
      </c>
      <c r="I677" s="2" t="s">
        <v>3882</v>
      </c>
      <c r="J677" s="2" t="s">
        <v>3742</v>
      </c>
      <c r="K677" s="2" t="s">
        <v>1193</v>
      </c>
      <c r="L677" s="2" t="n">
        <v>2</v>
      </c>
      <c r="M677" s="2" t="n">
        <v>51</v>
      </c>
    </row>
    <row r="678" customFormat="false" ht="46.25" hidden="false" customHeight="false" outlineLevel="0" collapsed="false">
      <c r="A678" s="2" t="s">
        <v>3883</v>
      </c>
      <c r="B678" s="2" t="s">
        <v>1185</v>
      </c>
      <c r="C678" s="2" t="s">
        <v>3742</v>
      </c>
      <c r="D678" s="2" t="s">
        <v>3884</v>
      </c>
      <c r="E678" s="2" t="s">
        <v>3885</v>
      </c>
      <c r="F678" s="2" t="s">
        <v>3886</v>
      </c>
      <c r="G678" s="2" t="s">
        <v>3887</v>
      </c>
      <c r="H678" s="2" t="s">
        <v>20</v>
      </c>
      <c r="I678" s="2" t="s">
        <v>3888</v>
      </c>
      <c r="J678" s="2" t="s">
        <v>3742</v>
      </c>
      <c r="K678" s="2" t="s">
        <v>1193</v>
      </c>
      <c r="L678" s="2" t="n">
        <v>2</v>
      </c>
      <c r="M678" s="2" t="n">
        <v>51</v>
      </c>
    </row>
    <row r="679" customFormat="false" ht="46.25" hidden="false" customHeight="false" outlineLevel="0" collapsed="false">
      <c r="A679" s="2" t="s">
        <v>3889</v>
      </c>
      <c r="B679" s="2" t="s">
        <v>1185</v>
      </c>
      <c r="C679" s="2" t="s">
        <v>3742</v>
      </c>
      <c r="D679" s="2" t="s">
        <v>3890</v>
      </c>
      <c r="E679" s="2" t="s">
        <v>3891</v>
      </c>
      <c r="F679" s="2" t="s">
        <v>3892</v>
      </c>
      <c r="G679" s="2" t="s">
        <v>3893</v>
      </c>
      <c r="H679" s="2" t="s">
        <v>20</v>
      </c>
      <c r="I679" s="2" t="s">
        <v>3894</v>
      </c>
      <c r="J679" s="2" t="s">
        <v>3742</v>
      </c>
      <c r="K679" s="2" t="s">
        <v>1193</v>
      </c>
      <c r="L679" s="2" t="n">
        <v>2</v>
      </c>
      <c r="M679" s="2" t="n">
        <v>52</v>
      </c>
    </row>
    <row r="680" customFormat="false" ht="105.95" hidden="false" customHeight="false" outlineLevel="0" collapsed="false">
      <c r="A680" s="2" t="s">
        <v>3895</v>
      </c>
      <c r="B680" s="2" t="s">
        <v>1185</v>
      </c>
      <c r="C680" s="2" t="s">
        <v>3742</v>
      </c>
      <c r="D680" s="2" t="s">
        <v>3896</v>
      </c>
      <c r="E680" s="2" t="s">
        <v>3897</v>
      </c>
      <c r="F680" s="2" t="s">
        <v>3898</v>
      </c>
      <c r="G680" s="2" t="s">
        <v>3899</v>
      </c>
      <c r="H680" s="2" t="s">
        <v>20</v>
      </c>
      <c r="I680" s="2" t="s">
        <v>3900</v>
      </c>
      <c r="J680" s="2" t="s">
        <v>3742</v>
      </c>
      <c r="K680" s="2" t="s">
        <v>1193</v>
      </c>
      <c r="L680" s="2" t="n">
        <v>2</v>
      </c>
      <c r="M680" s="2" t="n">
        <v>52</v>
      </c>
    </row>
    <row r="681" customFormat="false" ht="91" hidden="false" customHeight="false" outlineLevel="0" collapsed="false">
      <c r="A681" s="2" t="s">
        <v>3901</v>
      </c>
      <c r="B681" s="2" t="s">
        <v>1185</v>
      </c>
      <c r="C681" s="2" t="s">
        <v>3742</v>
      </c>
      <c r="D681" s="2" t="s">
        <v>3902</v>
      </c>
      <c r="E681" s="2" t="s">
        <v>3903</v>
      </c>
      <c r="F681" s="2" t="s">
        <v>3904</v>
      </c>
      <c r="G681" s="2" t="s">
        <v>3905</v>
      </c>
      <c r="H681" s="2" t="s">
        <v>20</v>
      </c>
      <c r="I681" s="2" t="s">
        <v>3906</v>
      </c>
      <c r="J681" s="2" t="s">
        <v>3907</v>
      </c>
      <c r="K681" s="2" t="s">
        <v>1193</v>
      </c>
      <c r="L681" s="2" t="n">
        <v>2</v>
      </c>
      <c r="M681" s="2" t="n">
        <v>52</v>
      </c>
    </row>
    <row r="682" customFormat="false" ht="91" hidden="false" customHeight="false" outlineLevel="0" collapsed="false">
      <c r="A682" s="2" t="s">
        <v>3908</v>
      </c>
      <c r="B682" s="2" t="s">
        <v>1185</v>
      </c>
      <c r="C682" s="2" t="s">
        <v>3742</v>
      </c>
      <c r="D682" s="2" t="s">
        <v>3909</v>
      </c>
      <c r="E682" s="2" t="s">
        <v>3910</v>
      </c>
      <c r="F682" s="2" t="s">
        <v>3911</v>
      </c>
      <c r="G682" s="2" t="s">
        <v>3912</v>
      </c>
      <c r="H682" s="2" t="s">
        <v>20</v>
      </c>
      <c r="I682" s="2" t="s">
        <v>3913</v>
      </c>
      <c r="J682" s="2" t="s">
        <v>3742</v>
      </c>
      <c r="K682" s="2" t="s">
        <v>1193</v>
      </c>
      <c r="L682" s="2" t="n">
        <v>2</v>
      </c>
      <c r="M682" s="2" t="n">
        <v>51</v>
      </c>
    </row>
    <row r="683" customFormat="false" ht="76.1" hidden="false" customHeight="false" outlineLevel="0" collapsed="false">
      <c r="A683" s="2" t="s">
        <v>3914</v>
      </c>
      <c r="B683" s="2" t="s">
        <v>1185</v>
      </c>
      <c r="C683" s="2" t="s">
        <v>3742</v>
      </c>
      <c r="D683" s="2" t="s">
        <v>3915</v>
      </c>
      <c r="E683" s="2" t="s">
        <v>480</v>
      </c>
      <c r="F683" s="2" t="s">
        <v>3916</v>
      </c>
      <c r="G683" s="2" t="s">
        <v>481</v>
      </c>
      <c r="H683" s="2" t="s">
        <v>20</v>
      </c>
      <c r="I683" s="2" t="s">
        <v>3917</v>
      </c>
      <c r="J683" s="2" t="s">
        <v>3742</v>
      </c>
      <c r="K683" s="2" t="s">
        <v>1193</v>
      </c>
      <c r="L683" s="2" t="n">
        <v>2</v>
      </c>
      <c r="M683" s="2" t="n">
        <v>51</v>
      </c>
    </row>
    <row r="684" customFormat="false" ht="46.25" hidden="false" customHeight="false" outlineLevel="0" collapsed="false">
      <c r="A684" s="2" t="s">
        <v>3918</v>
      </c>
      <c r="B684" s="2" t="s">
        <v>1185</v>
      </c>
      <c r="C684" s="2" t="s">
        <v>3742</v>
      </c>
      <c r="D684" s="2" t="s">
        <v>3919</v>
      </c>
      <c r="E684" s="2" t="s">
        <v>3920</v>
      </c>
      <c r="F684" s="2" t="s">
        <v>3921</v>
      </c>
      <c r="G684" s="2" t="s">
        <v>3922</v>
      </c>
      <c r="H684" s="2" t="s">
        <v>20</v>
      </c>
      <c r="I684" s="2" t="s">
        <v>3923</v>
      </c>
      <c r="J684" s="2" t="s">
        <v>3742</v>
      </c>
      <c r="K684" s="2" t="s">
        <v>1193</v>
      </c>
      <c r="L684" s="2" t="n">
        <v>2</v>
      </c>
      <c r="M684" s="2" t="n">
        <v>51</v>
      </c>
    </row>
    <row r="685" customFormat="false" ht="76.1" hidden="false" customHeight="false" outlineLevel="0" collapsed="false">
      <c r="A685" s="2" t="s">
        <v>3924</v>
      </c>
      <c r="B685" s="2" t="s">
        <v>1185</v>
      </c>
      <c r="C685" s="2" t="s">
        <v>3742</v>
      </c>
      <c r="D685" s="2" t="s">
        <v>3925</v>
      </c>
      <c r="E685" s="2" t="s">
        <v>3926</v>
      </c>
      <c r="F685" s="2" t="s">
        <v>3927</v>
      </c>
      <c r="G685" s="2" t="s">
        <v>3928</v>
      </c>
      <c r="H685" s="2" t="s">
        <v>20</v>
      </c>
      <c r="I685" s="2" t="s">
        <v>3929</v>
      </c>
      <c r="J685" s="2" t="s">
        <v>3742</v>
      </c>
      <c r="K685" s="2" t="s">
        <v>1193</v>
      </c>
      <c r="L685" s="2" t="n">
        <v>2</v>
      </c>
      <c r="M685" s="2" t="n">
        <v>52</v>
      </c>
    </row>
    <row r="686" customFormat="false" ht="46.25" hidden="false" customHeight="false" outlineLevel="0" collapsed="false">
      <c r="A686" s="2" t="s">
        <v>3930</v>
      </c>
      <c r="B686" s="2" t="s">
        <v>1185</v>
      </c>
      <c r="C686" s="2" t="s">
        <v>3742</v>
      </c>
      <c r="D686" s="2" t="s">
        <v>3931</v>
      </c>
      <c r="E686" s="2" t="s">
        <v>3932</v>
      </c>
      <c r="F686" s="2" t="s">
        <v>3933</v>
      </c>
      <c r="G686" s="2" t="s">
        <v>3934</v>
      </c>
      <c r="H686" s="2" t="s">
        <v>20</v>
      </c>
      <c r="I686" s="2" t="s">
        <v>3935</v>
      </c>
      <c r="J686" s="2" t="s">
        <v>3780</v>
      </c>
      <c r="K686" s="2" t="s">
        <v>1193</v>
      </c>
      <c r="L686" s="2" t="n">
        <v>3</v>
      </c>
      <c r="M686" s="2" t="n">
        <v>51</v>
      </c>
    </row>
    <row r="687" customFormat="false" ht="91" hidden="false" customHeight="false" outlineLevel="0" collapsed="false">
      <c r="A687" s="2" t="s">
        <v>3936</v>
      </c>
      <c r="B687" s="2" t="s">
        <v>1185</v>
      </c>
      <c r="C687" s="2" t="s">
        <v>3742</v>
      </c>
      <c r="D687" s="2" t="s">
        <v>3937</v>
      </c>
      <c r="E687" s="2" t="s">
        <v>3938</v>
      </c>
      <c r="F687" s="2" t="s">
        <v>3939</v>
      </c>
      <c r="G687" s="2" t="s">
        <v>3940</v>
      </c>
      <c r="H687" s="2" t="s">
        <v>20</v>
      </c>
      <c r="I687" s="2" t="s">
        <v>3941</v>
      </c>
      <c r="J687" s="2" t="s">
        <v>3742</v>
      </c>
      <c r="K687" s="2" t="s">
        <v>1193</v>
      </c>
      <c r="L687" s="2" t="n">
        <v>3</v>
      </c>
      <c r="M687" s="2" t="n">
        <v>51</v>
      </c>
    </row>
    <row r="688" customFormat="false" ht="76.1" hidden="false" customHeight="false" outlineLevel="0" collapsed="false">
      <c r="A688" s="2" t="s">
        <v>3942</v>
      </c>
      <c r="B688" s="2" t="s">
        <v>1185</v>
      </c>
      <c r="C688" s="2" t="s">
        <v>3742</v>
      </c>
      <c r="D688" s="2" t="s">
        <v>3943</v>
      </c>
      <c r="E688" s="2" t="s">
        <v>3944</v>
      </c>
      <c r="F688" s="2" t="s">
        <v>3945</v>
      </c>
      <c r="G688" s="2" t="s">
        <v>3946</v>
      </c>
      <c r="H688" s="2" t="s">
        <v>20</v>
      </c>
      <c r="I688" s="2" t="s">
        <v>3947</v>
      </c>
      <c r="J688" s="2" t="s">
        <v>3907</v>
      </c>
      <c r="K688" s="2" t="s">
        <v>1193</v>
      </c>
      <c r="L688" s="2" t="n">
        <v>3</v>
      </c>
      <c r="M688" s="2" t="n">
        <v>52</v>
      </c>
    </row>
    <row r="689" customFormat="false" ht="61.15" hidden="false" customHeight="false" outlineLevel="0" collapsed="false">
      <c r="A689" s="2" t="s">
        <v>3948</v>
      </c>
      <c r="B689" s="2" t="s">
        <v>1185</v>
      </c>
      <c r="C689" s="2" t="s">
        <v>3742</v>
      </c>
      <c r="D689" s="2" t="s">
        <v>3949</v>
      </c>
      <c r="E689" s="2" t="s">
        <v>3950</v>
      </c>
      <c r="F689" s="2" t="s">
        <v>3951</v>
      </c>
      <c r="G689" s="2" t="s">
        <v>3952</v>
      </c>
      <c r="H689" s="2" t="s">
        <v>20</v>
      </c>
      <c r="I689" s="2" t="s">
        <v>3953</v>
      </c>
      <c r="J689" s="2" t="s">
        <v>3742</v>
      </c>
      <c r="K689" s="2" t="s">
        <v>1193</v>
      </c>
      <c r="L689" s="2" t="n">
        <v>3</v>
      </c>
      <c r="M689" s="2" t="n">
        <v>51</v>
      </c>
    </row>
    <row r="690" customFormat="false" ht="91" hidden="false" customHeight="false" outlineLevel="0" collapsed="false">
      <c r="A690" s="2" t="s">
        <v>3954</v>
      </c>
      <c r="B690" s="2" t="s">
        <v>1185</v>
      </c>
      <c r="C690" s="2" t="s">
        <v>3742</v>
      </c>
      <c r="D690" s="2" t="s">
        <v>3955</v>
      </c>
      <c r="E690" s="2" t="s">
        <v>3956</v>
      </c>
      <c r="F690" s="2" t="s">
        <v>3957</v>
      </c>
      <c r="G690" s="2" t="s">
        <v>3958</v>
      </c>
      <c r="H690" s="2" t="s">
        <v>20</v>
      </c>
      <c r="I690" s="2" t="s">
        <v>3959</v>
      </c>
      <c r="J690" s="2" t="s">
        <v>3742</v>
      </c>
      <c r="K690" s="2" t="s">
        <v>1193</v>
      </c>
      <c r="L690" s="2" t="n">
        <v>3</v>
      </c>
      <c r="M690" s="2" t="n">
        <v>52</v>
      </c>
    </row>
    <row r="691" customFormat="false" ht="76.1" hidden="false" customHeight="false" outlineLevel="0" collapsed="false">
      <c r="A691" s="2" t="s">
        <v>3960</v>
      </c>
      <c r="B691" s="2" t="s">
        <v>1185</v>
      </c>
      <c r="C691" s="2" t="s">
        <v>3742</v>
      </c>
      <c r="D691" s="2" t="s">
        <v>3961</v>
      </c>
      <c r="E691" s="2" t="s">
        <v>3962</v>
      </c>
      <c r="F691" s="2" t="s">
        <v>3963</v>
      </c>
      <c r="G691" s="2" t="s">
        <v>3964</v>
      </c>
      <c r="H691" s="2" t="s">
        <v>20</v>
      </c>
      <c r="I691" s="2" t="s">
        <v>3965</v>
      </c>
      <c r="J691" s="2" t="s">
        <v>3742</v>
      </c>
      <c r="K691" s="2" t="s">
        <v>1193</v>
      </c>
      <c r="L691" s="2" t="n">
        <v>4</v>
      </c>
      <c r="M691" s="2" t="n">
        <v>51</v>
      </c>
    </row>
    <row r="692" customFormat="false" ht="76.1" hidden="false" customHeight="false" outlineLevel="0" collapsed="false">
      <c r="A692" s="2" t="s">
        <v>3966</v>
      </c>
      <c r="B692" s="2" t="s">
        <v>1185</v>
      </c>
      <c r="C692" s="2" t="s">
        <v>3742</v>
      </c>
      <c r="D692" s="2" t="s">
        <v>3967</v>
      </c>
      <c r="E692" s="2" t="s">
        <v>3968</v>
      </c>
      <c r="F692" s="2" t="s">
        <v>3969</v>
      </c>
      <c r="G692" s="2" t="s">
        <v>3970</v>
      </c>
      <c r="H692" s="2" t="s">
        <v>20</v>
      </c>
      <c r="I692" s="2" t="s">
        <v>3971</v>
      </c>
      <c r="J692" s="2" t="s">
        <v>3742</v>
      </c>
      <c r="K692" s="2" t="s">
        <v>1193</v>
      </c>
      <c r="L692" s="2" t="n">
        <v>3</v>
      </c>
      <c r="M692" s="2" t="n">
        <v>52</v>
      </c>
    </row>
    <row r="693" customFormat="false" ht="91" hidden="false" customHeight="false" outlineLevel="0" collapsed="false">
      <c r="A693" s="2" t="s">
        <v>3972</v>
      </c>
      <c r="B693" s="2" t="s">
        <v>1185</v>
      </c>
      <c r="C693" s="2" t="s">
        <v>3973</v>
      </c>
      <c r="D693" s="2" t="s">
        <v>3974</v>
      </c>
      <c r="E693" s="2" t="s">
        <v>3975</v>
      </c>
      <c r="F693" s="2" t="s">
        <v>3976</v>
      </c>
      <c r="G693" s="2" t="s">
        <v>3977</v>
      </c>
      <c r="H693" s="2" t="s">
        <v>20</v>
      </c>
      <c r="I693" s="2" t="s">
        <v>3978</v>
      </c>
      <c r="J693" s="2" t="s">
        <v>3973</v>
      </c>
      <c r="K693" s="2" t="s">
        <v>1193</v>
      </c>
      <c r="L693" s="2" t="n">
        <v>3</v>
      </c>
      <c r="M693" s="2" t="n">
        <v>54</v>
      </c>
    </row>
    <row r="694" customFormat="false" ht="76.1" hidden="false" customHeight="false" outlineLevel="0" collapsed="false">
      <c r="A694" s="2" t="s">
        <v>3979</v>
      </c>
      <c r="B694" s="2" t="s">
        <v>1185</v>
      </c>
      <c r="C694" s="2" t="s">
        <v>3973</v>
      </c>
      <c r="D694" s="2" t="s">
        <v>3980</v>
      </c>
      <c r="E694" s="2" t="s">
        <v>3981</v>
      </c>
      <c r="F694" s="2" t="s">
        <v>3982</v>
      </c>
      <c r="G694" s="2" t="s">
        <v>3983</v>
      </c>
      <c r="H694" s="2" t="s">
        <v>20</v>
      </c>
      <c r="I694" s="2" t="s">
        <v>3984</v>
      </c>
      <c r="J694" s="2" t="s">
        <v>3973</v>
      </c>
      <c r="K694" s="2" t="s">
        <v>1193</v>
      </c>
      <c r="L694" s="2" t="n">
        <v>1</v>
      </c>
      <c r="M694" s="2" t="n">
        <v>54</v>
      </c>
    </row>
    <row r="695" customFormat="false" ht="91" hidden="false" customHeight="false" outlineLevel="0" collapsed="false">
      <c r="A695" s="2" t="s">
        <v>3985</v>
      </c>
      <c r="B695" s="2" t="s">
        <v>1185</v>
      </c>
      <c r="C695" s="2" t="s">
        <v>3973</v>
      </c>
      <c r="D695" s="2" t="s">
        <v>3986</v>
      </c>
      <c r="E695" s="2" t="s">
        <v>3987</v>
      </c>
      <c r="F695" s="2" t="s">
        <v>3988</v>
      </c>
      <c r="G695" s="2" t="s">
        <v>3989</v>
      </c>
      <c r="H695" s="2" t="s">
        <v>20</v>
      </c>
      <c r="I695" s="2" t="s">
        <v>3990</v>
      </c>
      <c r="J695" s="2" t="s">
        <v>3973</v>
      </c>
      <c r="K695" s="2" t="s">
        <v>1193</v>
      </c>
      <c r="L695" s="2" t="n">
        <v>4</v>
      </c>
      <c r="M695" s="2" t="n">
        <v>54</v>
      </c>
    </row>
    <row r="696" customFormat="false" ht="76.1" hidden="false" customHeight="false" outlineLevel="0" collapsed="false">
      <c r="A696" s="2" t="s">
        <v>3991</v>
      </c>
      <c r="B696" s="2" t="s">
        <v>1185</v>
      </c>
      <c r="C696" s="2" t="s">
        <v>3973</v>
      </c>
      <c r="D696" s="2" t="s">
        <v>3992</v>
      </c>
      <c r="E696" s="2" t="s">
        <v>3993</v>
      </c>
      <c r="F696" s="2" t="s">
        <v>3994</v>
      </c>
      <c r="G696" s="2" t="s">
        <v>3995</v>
      </c>
      <c r="H696" s="2" t="s">
        <v>20</v>
      </c>
      <c r="I696" s="2" t="s">
        <v>3996</v>
      </c>
      <c r="J696" s="2" t="s">
        <v>3973</v>
      </c>
      <c r="K696" s="2" t="s">
        <v>1193</v>
      </c>
      <c r="L696" s="2" t="n">
        <v>3</v>
      </c>
      <c r="M696" s="2" t="n">
        <v>54</v>
      </c>
    </row>
    <row r="697" customFormat="false" ht="61.15" hidden="false" customHeight="false" outlineLevel="0" collapsed="false">
      <c r="A697" s="2" t="s">
        <v>3997</v>
      </c>
      <c r="B697" s="2" t="s">
        <v>1185</v>
      </c>
      <c r="C697" s="2" t="s">
        <v>3973</v>
      </c>
      <c r="D697" s="2" t="s">
        <v>3998</v>
      </c>
      <c r="E697" s="2" t="s">
        <v>3999</v>
      </c>
      <c r="F697" s="2" t="s">
        <v>4000</v>
      </c>
      <c r="G697" s="2" t="s">
        <v>4001</v>
      </c>
      <c r="H697" s="2" t="s">
        <v>20</v>
      </c>
      <c r="I697" s="2" t="s">
        <v>4002</v>
      </c>
      <c r="J697" s="2" t="s">
        <v>3973</v>
      </c>
      <c r="K697" s="2" t="s">
        <v>1193</v>
      </c>
      <c r="L697" s="2" t="n">
        <v>2</v>
      </c>
      <c r="M697" s="2" t="n">
        <v>54</v>
      </c>
    </row>
    <row r="698" customFormat="false" ht="46.25" hidden="false" customHeight="false" outlineLevel="0" collapsed="false">
      <c r="A698" s="2" t="s">
        <v>4003</v>
      </c>
      <c r="B698" s="2" t="s">
        <v>1185</v>
      </c>
      <c r="C698" s="2" t="s">
        <v>3973</v>
      </c>
      <c r="D698" s="2" t="s">
        <v>4004</v>
      </c>
      <c r="E698" s="2" t="s">
        <v>1948</v>
      </c>
      <c r="F698" s="2" t="s">
        <v>4005</v>
      </c>
      <c r="G698" s="2" t="s">
        <v>3178</v>
      </c>
      <c r="H698" s="2" t="s">
        <v>20</v>
      </c>
      <c r="I698" s="2" t="s">
        <v>4006</v>
      </c>
      <c r="J698" s="2" t="s">
        <v>3973</v>
      </c>
      <c r="K698" s="2" t="s">
        <v>1193</v>
      </c>
      <c r="L698" s="2" t="n">
        <v>1</v>
      </c>
      <c r="M698" s="2" t="n">
        <v>53</v>
      </c>
    </row>
    <row r="699" customFormat="false" ht="46.25" hidden="false" customHeight="false" outlineLevel="0" collapsed="false">
      <c r="A699" s="2" t="s">
        <v>4007</v>
      </c>
      <c r="B699" s="2" t="s">
        <v>1185</v>
      </c>
      <c r="C699" s="2" t="s">
        <v>3973</v>
      </c>
      <c r="D699" s="2" t="s">
        <v>4008</v>
      </c>
      <c r="E699" s="2" t="s">
        <v>2727</v>
      </c>
      <c r="F699" s="2" t="s">
        <v>4009</v>
      </c>
      <c r="G699" s="2" t="s">
        <v>4010</v>
      </c>
      <c r="H699" s="2" t="s">
        <v>20</v>
      </c>
      <c r="I699" s="2" t="s">
        <v>4011</v>
      </c>
      <c r="J699" s="2" t="s">
        <v>4012</v>
      </c>
      <c r="K699" s="2" t="s">
        <v>1193</v>
      </c>
      <c r="L699" s="2" t="n">
        <v>2</v>
      </c>
      <c r="M699" s="2" t="n">
        <v>53</v>
      </c>
    </row>
    <row r="700" customFormat="false" ht="76.1" hidden="false" customHeight="false" outlineLevel="0" collapsed="false">
      <c r="A700" s="2" t="s">
        <v>4013</v>
      </c>
      <c r="B700" s="2" t="s">
        <v>1185</v>
      </c>
      <c r="C700" s="2" t="s">
        <v>3973</v>
      </c>
      <c r="D700" s="2" t="s">
        <v>4014</v>
      </c>
      <c r="E700" s="2" t="s">
        <v>4015</v>
      </c>
      <c r="F700" s="2" t="s">
        <v>4016</v>
      </c>
      <c r="G700" s="2" t="s">
        <v>4017</v>
      </c>
      <c r="H700" s="2" t="s">
        <v>20</v>
      </c>
      <c r="I700" s="2" t="s">
        <v>4018</v>
      </c>
      <c r="J700" s="2" t="s">
        <v>4012</v>
      </c>
      <c r="K700" s="2" t="s">
        <v>1193</v>
      </c>
      <c r="L700" s="2" t="n">
        <v>2</v>
      </c>
      <c r="M700" s="2" t="n">
        <v>53</v>
      </c>
    </row>
    <row r="701" customFormat="false" ht="46.25" hidden="false" customHeight="false" outlineLevel="0" collapsed="false">
      <c r="A701" s="2" t="s">
        <v>4019</v>
      </c>
      <c r="B701" s="2" t="s">
        <v>1185</v>
      </c>
      <c r="C701" s="2" t="s">
        <v>3973</v>
      </c>
      <c r="D701" s="2" t="s">
        <v>4020</v>
      </c>
      <c r="E701" s="2" t="s">
        <v>4021</v>
      </c>
      <c r="F701" s="2" t="s">
        <v>4022</v>
      </c>
      <c r="G701" s="2" t="s">
        <v>4023</v>
      </c>
      <c r="H701" s="2" t="s">
        <v>20</v>
      </c>
      <c r="I701" s="2" t="s">
        <v>4024</v>
      </c>
      <c r="J701" s="2" t="s">
        <v>4012</v>
      </c>
      <c r="K701" s="2" t="s">
        <v>1193</v>
      </c>
      <c r="L701" s="2" t="n">
        <v>1</v>
      </c>
      <c r="M701" s="2" t="n">
        <v>54</v>
      </c>
    </row>
    <row r="702" customFormat="false" ht="61.15" hidden="false" customHeight="false" outlineLevel="0" collapsed="false">
      <c r="A702" s="2" t="s">
        <v>4025</v>
      </c>
      <c r="B702" s="2" t="s">
        <v>1185</v>
      </c>
      <c r="C702" s="2" t="s">
        <v>3973</v>
      </c>
      <c r="D702" s="2" t="s">
        <v>4026</v>
      </c>
      <c r="E702" s="2" t="s">
        <v>4027</v>
      </c>
      <c r="F702" s="2" t="s">
        <v>4028</v>
      </c>
      <c r="G702" s="2" t="s">
        <v>4029</v>
      </c>
      <c r="H702" s="2" t="s">
        <v>20</v>
      </c>
      <c r="I702" s="2" t="s">
        <v>4030</v>
      </c>
      <c r="J702" s="2" t="s">
        <v>4012</v>
      </c>
      <c r="K702" s="2" t="s">
        <v>1193</v>
      </c>
      <c r="L702" s="2" t="n">
        <v>1</v>
      </c>
      <c r="M702" s="2" t="n">
        <v>54</v>
      </c>
    </row>
    <row r="703" customFormat="false" ht="61.15" hidden="false" customHeight="false" outlineLevel="0" collapsed="false">
      <c r="A703" s="2" t="s">
        <v>4031</v>
      </c>
      <c r="B703" s="2" t="s">
        <v>1185</v>
      </c>
      <c r="C703" s="2" t="s">
        <v>3973</v>
      </c>
      <c r="D703" s="2" t="s">
        <v>4032</v>
      </c>
      <c r="E703" s="2" t="s">
        <v>4033</v>
      </c>
      <c r="F703" s="2" t="s">
        <v>4034</v>
      </c>
      <c r="G703" s="2" t="s">
        <v>4035</v>
      </c>
      <c r="H703" s="2" t="s">
        <v>226</v>
      </c>
      <c r="I703" s="2" t="s">
        <v>4036</v>
      </c>
      <c r="J703" s="2" t="s">
        <v>4012</v>
      </c>
      <c r="K703" s="2" t="s">
        <v>1193</v>
      </c>
      <c r="L703" s="2" t="n">
        <v>2</v>
      </c>
      <c r="M703" s="2" t="n">
        <v>54</v>
      </c>
    </row>
    <row r="704" customFormat="false" ht="76.1" hidden="false" customHeight="false" outlineLevel="0" collapsed="false">
      <c r="A704" s="2" t="s">
        <v>4037</v>
      </c>
      <c r="B704" s="2" t="s">
        <v>1185</v>
      </c>
      <c r="C704" s="2" t="s">
        <v>3973</v>
      </c>
      <c r="D704" s="2" t="s">
        <v>4038</v>
      </c>
      <c r="E704" s="2" t="s">
        <v>4039</v>
      </c>
      <c r="F704" s="2" t="s">
        <v>4040</v>
      </c>
      <c r="G704" s="2" t="s">
        <v>4041</v>
      </c>
      <c r="H704" s="2" t="s">
        <v>20</v>
      </c>
      <c r="I704" s="2" t="s">
        <v>4042</v>
      </c>
      <c r="J704" s="2" t="s">
        <v>4012</v>
      </c>
      <c r="K704" s="2" t="s">
        <v>1193</v>
      </c>
      <c r="L704" s="2" t="n">
        <v>2</v>
      </c>
      <c r="M704" s="2" t="n">
        <v>54</v>
      </c>
    </row>
    <row r="705" customFormat="false" ht="76.1" hidden="false" customHeight="false" outlineLevel="0" collapsed="false">
      <c r="A705" s="2" t="s">
        <v>4043</v>
      </c>
      <c r="B705" s="2" t="s">
        <v>1185</v>
      </c>
      <c r="C705" s="2" t="s">
        <v>3973</v>
      </c>
      <c r="D705" s="2" t="s">
        <v>4044</v>
      </c>
      <c r="E705" s="2" t="s">
        <v>4045</v>
      </c>
      <c r="F705" s="2" t="s">
        <v>4046</v>
      </c>
      <c r="G705" s="2" t="s">
        <v>4047</v>
      </c>
      <c r="H705" s="2" t="s">
        <v>20</v>
      </c>
      <c r="I705" s="2" t="s">
        <v>4048</v>
      </c>
      <c r="J705" s="2" t="s">
        <v>4012</v>
      </c>
      <c r="K705" s="2" t="s">
        <v>1193</v>
      </c>
      <c r="L705" s="2" t="n">
        <v>2</v>
      </c>
      <c r="M705" s="2" t="n">
        <v>54</v>
      </c>
    </row>
    <row r="706" customFormat="false" ht="46.25" hidden="false" customHeight="false" outlineLevel="0" collapsed="false">
      <c r="A706" s="2" t="s">
        <v>4049</v>
      </c>
      <c r="B706" s="2" t="s">
        <v>1185</v>
      </c>
      <c r="C706" s="2" t="s">
        <v>3973</v>
      </c>
      <c r="D706" s="2" t="s">
        <v>4050</v>
      </c>
      <c r="E706" s="2" t="s">
        <v>4051</v>
      </c>
      <c r="F706" s="2" t="s">
        <v>4052</v>
      </c>
      <c r="G706" s="2" t="s">
        <v>4053</v>
      </c>
      <c r="H706" s="2" t="s">
        <v>226</v>
      </c>
      <c r="I706" s="2" t="s">
        <v>4054</v>
      </c>
      <c r="J706" s="2" t="s">
        <v>4055</v>
      </c>
      <c r="K706" s="2" t="s">
        <v>1193</v>
      </c>
      <c r="L706" s="2" t="n">
        <v>2</v>
      </c>
      <c r="M706" s="2" t="n">
        <v>54</v>
      </c>
    </row>
    <row r="707" customFormat="false" ht="61.15" hidden="false" customHeight="false" outlineLevel="0" collapsed="false">
      <c r="A707" s="2" t="s">
        <v>4056</v>
      </c>
      <c r="B707" s="2" t="s">
        <v>1185</v>
      </c>
      <c r="C707" s="2" t="s">
        <v>3973</v>
      </c>
      <c r="D707" s="2" t="s">
        <v>4057</v>
      </c>
      <c r="E707" s="2" t="s">
        <v>4058</v>
      </c>
      <c r="F707" s="2" t="s">
        <v>4059</v>
      </c>
      <c r="G707" s="2" t="s">
        <v>4060</v>
      </c>
      <c r="H707" s="2" t="s">
        <v>226</v>
      </c>
      <c r="I707" s="2" t="s">
        <v>4061</v>
      </c>
      <c r="J707" s="2" t="s">
        <v>4055</v>
      </c>
      <c r="K707" s="2" t="s">
        <v>1193</v>
      </c>
      <c r="L707" s="2" t="n">
        <v>2</v>
      </c>
      <c r="M707" s="2" t="n">
        <v>54</v>
      </c>
    </row>
    <row r="708" customFormat="false" ht="61.15" hidden="false" customHeight="false" outlineLevel="0" collapsed="false">
      <c r="A708" s="2" t="s">
        <v>4062</v>
      </c>
      <c r="B708" s="2" t="s">
        <v>1185</v>
      </c>
      <c r="C708" s="2" t="s">
        <v>3973</v>
      </c>
      <c r="D708" s="2" t="s">
        <v>4063</v>
      </c>
      <c r="E708" s="2" t="s">
        <v>4064</v>
      </c>
      <c r="F708" s="2" t="s">
        <v>4065</v>
      </c>
      <c r="G708" s="2" t="s">
        <v>4066</v>
      </c>
      <c r="H708" s="2" t="s">
        <v>226</v>
      </c>
      <c r="I708" s="2" t="s">
        <v>4067</v>
      </c>
      <c r="J708" s="2" t="s">
        <v>4055</v>
      </c>
      <c r="K708" s="2" t="s">
        <v>1193</v>
      </c>
      <c r="L708" s="2" t="n">
        <v>2</v>
      </c>
      <c r="M708" s="2" t="n">
        <v>54</v>
      </c>
    </row>
    <row r="709" customFormat="false" ht="61.15" hidden="false" customHeight="false" outlineLevel="0" collapsed="false">
      <c r="A709" s="2" t="s">
        <v>4068</v>
      </c>
      <c r="B709" s="2" t="s">
        <v>1185</v>
      </c>
      <c r="C709" s="2" t="s">
        <v>3973</v>
      </c>
      <c r="D709" s="2" t="s">
        <v>4069</v>
      </c>
      <c r="E709" s="2" t="s">
        <v>4070</v>
      </c>
      <c r="F709" s="2" t="s">
        <v>4071</v>
      </c>
      <c r="G709" s="2" t="s">
        <v>4072</v>
      </c>
      <c r="H709" s="2" t="s">
        <v>226</v>
      </c>
      <c r="I709" s="2" t="s">
        <v>4073</v>
      </c>
      <c r="J709" s="2" t="s">
        <v>4055</v>
      </c>
      <c r="K709" s="2" t="s">
        <v>1193</v>
      </c>
      <c r="L709" s="2" t="n">
        <v>2</v>
      </c>
      <c r="M709" s="2" t="n">
        <v>54</v>
      </c>
    </row>
    <row r="710" customFormat="false" ht="61.15" hidden="false" customHeight="false" outlineLevel="0" collapsed="false">
      <c r="A710" s="2" t="s">
        <v>4074</v>
      </c>
      <c r="B710" s="2" t="s">
        <v>1185</v>
      </c>
      <c r="C710" s="2" t="s">
        <v>3973</v>
      </c>
      <c r="D710" s="2" t="s">
        <v>4075</v>
      </c>
      <c r="E710" s="2" t="s">
        <v>4076</v>
      </c>
      <c r="F710" s="2" t="s">
        <v>4077</v>
      </c>
      <c r="G710" s="2" t="s">
        <v>4078</v>
      </c>
      <c r="H710" s="2" t="s">
        <v>20</v>
      </c>
      <c r="I710" s="2" t="s">
        <v>4079</v>
      </c>
      <c r="J710" s="2" t="s">
        <v>4055</v>
      </c>
      <c r="K710" s="2" t="s">
        <v>1193</v>
      </c>
      <c r="L710" s="2" t="n">
        <v>1</v>
      </c>
      <c r="M710" s="2" t="n">
        <v>54</v>
      </c>
    </row>
    <row r="711" customFormat="false" ht="76.1" hidden="false" customHeight="false" outlineLevel="0" collapsed="false">
      <c r="A711" s="2" t="s">
        <v>4080</v>
      </c>
      <c r="B711" s="2" t="s">
        <v>1185</v>
      </c>
      <c r="C711" s="2" t="s">
        <v>3973</v>
      </c>
      <c r="D711" s="2" t="s">
        <v>4081</v>
      </c>
      <c r="E711" s="2" t="s">
        <v>4082</v>
      </c>
      <c r="F711" s="2" t="s">
        <v>4083</v>
      </c>
      <c r="G711" s="2" t="s">
        <v>4084</v>
      </c>
      <c r="H711" s="2" t="s">
        <v>20</v>
      </c>
      <c r="I711" s="2" t="s">
        <v>4085</v>
      </c>
      <c r="J711" s="2" t="s">
        <v>4055</v>
      </c>
      <c r="K711" s="2" t="s">
        <v>1193</v>
      </c>
      <c r="L711" s="2" t="n">
        <v>2</v>
      </c>
      <c r="M711" s="2" t="n">
        <v>54</v>
      </c>
    </row>
    <row r="712" customFormat="false" ht="76.1" hidden="false" customHeight="false" outlineLevel="0" collapsed="false">
      <c r="A712" s="2" t="s">
        <v>4086</v>
      </c>
      <c r="B712" s="2" t="s">
        <v>1185</v>
      </c>
      <c r="C712" s="2" t="s">
        <v>3973</v>
      </c>
      <c r="D712" s="2" t="s">
        <v>4087</v>
      </c>
      <c r="E712" s="2" t="s">
        <v>4088</v>
      </c>
      <c r="F712" s="2" t="s">
        <v>4089</v>
      </c>
      <c r="G712" s="2" t="s">
        <v>4090</v>
      </c>
      <c r="H712" s="2" t="s">
        <v>20</v>
      </c>
      <c r="I712" s="2" t="s">
        <v>4091</v>
      </c>
      <c r="J712" s="2" t="s">
        <v>4055</v>
      </c>
      <c r="K712" s="2" t="s">
        <v>1193</v>
      </c>
      <c r="L712" s="2" t="n">
        <v>2</v>
      </c>
      <c r="M712" s="2" t="n">
        <v>54</v>
      </c>
    </row>
    <row r="713" customFormat="false" ht="61.15" hidden="false" customHeight="false" outlineLevel="0" collapsed="false">
      <c r="A713" s="2" t="s">
        <v>4092</v>
      </c>
      <c r="B713" s="2" t="s">
        <v>1185</v>
      </c>
      <c r="C713" s="2" t="s">
        <v>3973</v>
      </c>
      <c r="D713" s="2" t="s">
        <v>4093</v>
      </c>
      <c r="E713" s="2" t="s">
        <v>4094</v>
      </c>
      <c r="F713" s="2" t="s">
        <v>4095</v>
      </c>
      <c r="G713" s="2" t="s">
        <v>4096</v>
      </c>
      <c r="H713" s="2" t="s">
        <v>20</v>
      </c>
      <c r="I713" s="2" t="s">
        <v>4097</v>
      </c>
      <c r="J713" s="2" t="s">
        <v>4055</v>
      </c>
      <c r="K713" s="2" t="s">
        <v>1193</v>
      </c>
      <c r="L713" s="2" t="n">
        <v>3</v>
      </c>
      <c r="M713" s="2" t="n">
        <v>54</v>
      </c>
    </row>
    <row r="714" customFormat="false" ht="76.1" hidden="false" customHeight="false" outlineLevel="0" collapsed="false">
      <c r="A714" s="2" t="s">
        <v>4098</v>
      </c>
      <c r="B714" s="2" t="s">
        <v>1185</v>
      </c>
      <c r="C714" s="2" t="s">
        <v>3973</v>
      </c>
      <c r="D714" s="2" t="s">
        <v>4099</v>
      </c>
      <c r="E714" s="2" t="s">
        <v>4100</v>
      </c>
      <c r="F714" s="2" t="s">
        <v>4101</v>
      </c>
      <c r="G714" s="2" t="s">
        <v>4102</v>
      </c>
      <c r="H714" s="2" t="s">
        <v>20</v>
      </c>
      <c r="I714" s="2" t="s">
        <v>4103</v>
      </c>
      <c r="J714" s="2" t="s">
        <v>3973</v>
      </c>
      <c r="K714" s="2" t="s">
        <v>1193</v>
      </c>
      <c r="L714" s="2" t="n">
        <v>3</v>
      </c>
      <c r="M714" s="2" t="n">
        <v>54</v>
      </c>
    </row>
    <row r="715" customFormat="false" ht="61.15" hidden="false" customHeight="false" outlineLevel="0" collapsed="false">
      <c r="A715" s="2" t="s">
        <v>4104</v>
      </c>
      <c r="B715" s="2" t="s">
        <v>1185</v>
      </c>
      <c r="C715" s="2" t="s">
        <v>3973</v>
      </c>
      <c r="D715" s="2" t="s">
        <v>4105</v>
      </c>
      <c r="E715" s="2" t="s">
        <v>4106</v>
      </c>
      <c r="F715" s="2" t="s">
        <v>4107</v>
      </c>
      <c r="G715" s="2" t="s">
        <v>4108</v>
      </c>
      <c r="H715" s="2" t="s">
        <v>20</v>
      </c>
      <c r="I715" s="2" t="s">
        <v>4109</v>
      </c>
      <c r="J715" s="2" t="s">
        <v>3973</v>
      </c>
      <c r="K715" s="2" t="s">
        <v>1193</v>
      </c>
      <c r="L715" s="2" t="n">
        <v>2</v>
      </c>
      <c r="M715" s="2" t="n">
        <v>54</v>
      </c>
    </row>
    <row r="716" customFormat="false" ht="46.25" hidden="false" customHeight="false" outlineLevel="0" collapsed="false">
      <c r="A716" s="2" t="s">
        <v>4110</v>
      </c>
      <c r="B716" s="2" t="s">
        <v>1185</v>
      </c>
      <c r="C716" s="2" t="s">
        <v>3973</v>
      </c>
      <c r="D716" s="2" t="s">
        <v>4111</v>
      </c>
      <c r="E716" s="2" t="s">
        <v>4112</v>
      </c>
      <c r="F716" s="2" t="s">
        <v>4113</v>
      </c>
      <c r="G716" s="2" t="s">
        <v>4114</v>
      </c>
      <c r="H716" s="2" t="s">
        <v>20</v>
      </c>
      <c r="I716" s="2" t="s">
        <v>4115</v>
      </c>
      <c r="J716" s="2" t="s">
        <v>3973</v>
      </c>
      <c r="K716" s="2" t="s">
        <v>1193</v>
      </c>
      <c r="L716" s="2" t="n">
        <v>1</v>
      </c>
      <c r="M716" s="2" t="n">
        <v>54</v>
      </c>
    </row>
    <row r="717" customFormat="false" ht="61.15" hidden="false" customHeight="false" outlineLevel="0" collapsed="false">
      <c r="A717" s="2" t="s">
        <v>4116</v>
      </c>
      <c r="B717" s="2" t="s">
        <v>1185</v>
      </c>
      <c r="C717" s="2" t="s">
        <v>3973</v>
      </c>
      <c r="D717" s="2" t="s">
        <v>4117</v>
      </c>
      <c r="E717" s="2" t="s">
        <v>4118</v>
      </c>
      <c r="F717" s="2" t="s">
        <v>4119</v>
      </c>
      <c r="G717" s="2" t="s">
        <v>4120</v>
      </c>
      <c r="H717" s="2" t="s">
        <v>20</v>
      </c>
      <c r="I717" s="2" t="s">
        <v>4121</v>
      </c>
      <c r="J717" s="2" t="s">
        <v>3973</v>
      </c>
      <c r="K717" s="2" t="s">
        <v>1193</v>
      </c>
      <c r="L717" s="2" t="n">
        <v>2</v>
      </c>
      <c r="M717" s="2" t="n">
        <v>54</v>
      </c>
    </row>
    <row r="718" customFormat="false" ht="91" hidden="false" customHeight="false" outlineLevel="0" collapsed="false">
      <c r="A718" s="2" t="s">
        <v>4122</v>
      </c>
      <c r="B718" s="2" t="s">
        <v>1185</v>
      </c>
      <c r="C718" s="2" t="s">
        <v>3973</v>
      </c>
      <c r="D718" s="2" t="s">
        <v>4123</v>
      </c>
      <c r="E718" s="2" t="s">
        <v>4124</v>
      </c>
      <c r="F718" s="2" t="s">
        <v>4125</v>
      </c>
      <c r="G718" s="2" t="s">
        <v>4126</v>
      </c>
      <c r="H718" s="2" t="s">
        <v>20</v>
      </c>
      <c r="I718" s="2" t="s">
        <v>4127</v>
      </c>
      <c r="J718" s="2" t="s">
        <v>4055</v>
      </c>
      <c r="K718" s="2" t="s">
        <v>1193</v>
      </c>
      <c r="L718" s="2" t="n">
        <v>1</v>
      </c>
      <c r="M718" s="2" t="n">
        <v>54</v>
      </c>
    </row>
    <row r="719" customFormat="false" ht="91" hidden="false" customHeight="false" outlineLevel="0" collapsed="false">
      <c r="A719" s="2" t="s">
        <v>4128</v>
      </c>
      <c r="B719" s="2" t="s">
        <v>1185</v>
      </c>
      <c r="C719" s="2" t="s">
        <v>3973</v>
      </c>
      <c r="D719" s="2" t="s">
        <v>4129</v>
      </c>
      <c r="E719" s="2" t="s">
        <v>4130</v>
      </c>
      <c r="F719" s="2" t="s">
        <v>4131</v>
      </c>
      <c r="G719" s="2" t="s">
        <v>4132</v>
      </c>
      <c r="H719" s="2" t="s">
        <v>20</v>
      </c>
      <c r="I719" s="2" t="s">
        <v>4133</v>
      </c>
      <c r="J719" s="2" t="s">
        <v>4055</v>
      </c>
      <c r="K719" s="2" t="s">
        <v>1193</v>
      </c>
      <c r="L719" s="2" t="n">
        <v>2</v>
      </c>
      <c r="M719" s="2" t="n">
        <v>54</v>
      </c>
    </row>
    <row r="720" customFormat="false" ht="91" hidden="false" customHeight="false" outlineLevel="0" collapsed="false">
      <c r="A720" s="2" t="s">
        <v>4134</v>
      </c>
      <c r="B720" s="2" t="s">
        <v>1185</v>
      </c>
      <c r="C720" s="2" t="s">
        <v>3973</v>
      </c>
      <c r="D720" s="2" t="s">
        <v>4135</v>
      </c>
      <c r="E720" s="2" t="s">
        <v>4136</v>
      </c>
      <c r="F720" s="2" t="s">
        <v>4137</v>
      </c>
      <c r="G720" s="2" t="s">
        <v>4138</v>
      </c>
      <c r="H720" s="2" t="s">
        <v>20</v>
      </c>
      <c r="I720" s="2" t="s">
        <v>4139</v>
      </c>
      <c r="J720" s="2" t="s">
        <v>3973</v>
      </c>
      <c r="K720" s="2" t="s">
        <v>1193</v>
      </c>
      <c r="L720" s="2" t="n">
        <v>2</v>
      </c>
      <c r="M720" s="2" t="n">
        <v>54</v>
      </c>
    </row>
    <row r="721" customFormat="false" ht="61.15" hidden="false" customHeight="false" outlineLevel="0" collapsed="false">
      <c r="A721" s="2" t="s">
        <v>4140</v>
      </c>
      <c r="B721" s="2" t="s">
        <v>1185</v>
      </c>
      <c r="C721" s="2" t="s">
        <v>3973</v>
      </c>
      <c r="D721" s="2" t="s">
        <v>4141</v>
      </c>
      <c r="E721" s="2" t="s">
        <v>4142</v>
      </c>
      <c r="F721" s="2" t="s">
        <v>4143</v>
      </c>
      <c r="G721" s="2" t="s">
        <v>4144</v>
      </c>
      <c r="H721" s="2" t="s">
        <v>20</v>
      </c>
      <c r="I721" s="2" t="s">
        <v>4145</v>
      </c>
      <c r="J721" s="2" t="s">
        <v>3973</v>
      </c>
      <c r="K721" s="2" t="s">
        <v>1193</v>
      </c>
      <c r="L721" s="2" t="n">
        <v>2</v>
      </c>
      <c r="M721" s="2" t="n">
        <v>54</v>
      </c>
    </row>
    <row r="722" customFormat="false" ht="46.25" hidden="false" customHeight="false" outlineLevel="0" collapsed="false">
      <c r="A722" s="2" t="s">
        <v>4146</v>
      </c>
      <c r="B722" s="2" t="s">
        <v>1185</v>
      </c>
      <c r="C722" s="2" t="s">
        <v>3973</v>
      </c>
      <c r="D722" s="2" t="s">
        <v>4147</v>
      </c>
      <c r="E722" s="2" t="s">
        <v>4148</v>
      </c>
      <c r="F722" s="2" t="s">
        <v>4149</v>
      </c>
      <c r="G722" s="2" t="s">
        <v>4150</v>
      </c>
      <c r="H722" s="2" t="s">
        <v>20</v>
      </c>
      <c r="I722" s="2" t="s">
        <v>4151</v>
      </c>
      <c r="J722" s="2" t="s">
        <v>3973</v>
      </c>
      <c r="K722" s="2" t="s">
        <v>1193</v>
      </c>
      <c r="L722" s="2" t="n">
        <v>2</v>
      </c>
      <c r="M722" s="2" t="n">
        <v>54</v>
      </c>
    </row>
    <row r="723" customFormat="false" ht="46.25" hidden="false" customHeight="false" outlineLevel="0" collapsed="false">
      <c r="A723" s="2" t="s">
        <v>4152</v>
      </c>
      <c r="B723" s="2" t="s">
        <v>1185</v>
      </c>
      <c r="C723" s="2" t="s">
        <v>3973</v>
      </c>
      <c r="D723" s="2" t="s">
        <v>4153</v>
      </c>
      <c r="E723" s="2" t="s">
        <v>4154</v>
      </c>
      <c r="F723" s="2" t="s">
        <v>4155</v>
      </c>
      <c r="G723" s="2" t="s">
        <v>4156</v>
      </c>
      <c r="H723" s="2" t="s">
        <v>20</v>
      </c>
      <c r="I723" s="2" t="s">
        <v>4157</v>
      </c>
      <c r="J723" s="2" t="s">
        <v>4055</v>
      </c>
      <c r="K723" s="2" t="s">
        <v>1193</v>
      </c>
      <c r="L723" s="2" t="n">
        <v>2</v>
      </c>
      <c r="M723" s="2" t="n">
        <v>54</v>
      </c>
    </row>
    <row r="724" customFormat="false" ht="61.15" hidden="false" customHeight="false" outlineLevel="0" collapsed="false">
      <c r="A724" s="2" t="s">
        <v>4158</v>
      </c>
      <c r="B724" s="2" t="s">
        <v>1185</v>
      </c>
      <c r="C724" s="2" t="s">
        <v>3973</v>
      </c>
      <c r="D724" s="2" t="s">
        <v>4159</v>
      </c>
      <c r="E724" s="2" t="s">
        <v>4160</v>
      </c>
      <c r="F724" s="2" t="s">
        <v>1338</v>
      </c>
      <c r="G724" s="2" t="s">
        <v>1366</v>
      </c>
      <c r="H724" s="2" t="s">
        <v>20</v>
      </c>
      <c r="I724" s="2" t="s">
        <v>4161</v>
      </c>
      <c r="J724" s="2" t="s">
        <v>3973</v>
      </c>
      <c r="K724" s="2" t="s">
        <v>1193</v>
      </c>
      <c r="L724" s="2" t="n">
        <v>2</v>
      </c>
      <c r="M724" s="2" t="n">
        <v>54</v>
      </c>
    </row>
    <row r="725" customFormat="false" ht="61.15" hidden="false" customHeight="false" outlineLevel="0" collapsed="false">
      <c r="A725" s="2" t="s">
        <v>4162</v>
      </c>
      <c r="B725" s="2" t="s">
        <v>1185</v>
      </c>
      <c r="C725" s="2" t="s">
        <v>3973</v>
      </c>
      <c r="D725" s="2" t="s">
        <v>4163</v>
      </c>
      <c r="E725" s="2" t="s">
        <v>4164</v>
      </c>
      <c r="F725" s="2" t="s">
        <v>4165</v>
      </c>
      <c r="G725" s="2" t="s">
        <v>4166</v>
      </c>
      <c r="H725" s="2" t="s">
        <v>20</v>
      </c>
      <c r="I725" s="2" t="s">
        <v>4167</v>
      </c>
      <c r="J725" s="2" t="s">
        <v>3973</v>
      </c>
      <c r="K725" s="2" t="s">
        <v>1193</v>
      </c>
      <c r="L725" s="2" t="n">
        <v>2</v>
      </c>
      <c r="M725" s="2" t="n">
        <v>54</v>
      </c>
    </row>
    <row r="726" customFormat="false" ht="76.1" hidden="false" customHeight="false" outlineLevel="0" collapsed="false">
      <c r="A726" s="2" t="s">
        <v>4168</v>
      </c>
      <c r="B726" s="2" t="s">
        <v>1185</v>
      </c>
      <c r="C726" s="2" t="s">
        <v>3973</v>
      </c>
      <c r="D726" s="2" t="s">
        <v>4169</v>
      </c>
      <c r="E726" s="2" t="s">
        <v>4170</v>
      </c>
      <c r="F726" s="2" t="s">
        <v>4171</v>
      </c>
      <c r="G726" s="2" t="s">
        <v>4172</v>
      </c>
      <c r="H726" s="2" t="s">
        <v>20</v>
      </c>
      <c r="I726" s="2" t="s">
        <v>4173</v>
      </c>
      <c r="J726" s="2" t="s">
        <v>3973</v>
      </c>
      <c r="K726" s="2" t="s">
        <v>1193</v>
      </c>
      <c r="L726" s="2" t="n">
        <v>3</v>
      </c>
      <c r="M726" s="2" t="n">
        <v>54</v>
      </c>
    </row>
    <row r="727" customFormat="false" ht="61.15" hidden="false" customHeight="false" outlineLevel="0" collapsed="false">
      <c r="A727" s="2" t="s">
        <v>4174</v>
      </c>
      <c r="B727" s="2" t="s">
        <v>1185</v>
      </c>
      <c r="C727" s="2" t="s">
        <v>3973</v>
      </c>
      <c r="D727" s="2" t="s">
        <v>4175</v>
      </c>
      <c r="E727" s="2" t="s">
        <v>4154</v>
      </c>
      <c r="F727" s="2" t="s">
        <v>4170</v>
      </c>
      <c r="G727" s="2" t="s">
        <v>4172</v>
      </c>
      <c r="H727" s="2" t="s">
        <v>20</v>
      </c>
      <c r="I727" s="2" t="s">
        <v>4176</v>
      </c>
      <c r="J727" s="2" t="s">
        <v>3973</v>
      </c>
      <c r="K727" s="2" t="s">
        <v>1193</v>
      </c>
      <c r="L727" s="2" t="n">
        <v>3</v>
      </c>
      <c r="M727" s="2" t="n">
        <v>54</v>
      </c>
    </row>
    <row r="728" customFormat="false" ht="61.15" hidden="false" customHeight="false" outlineLevel="0" collapsed="false">
      <c r="A728" s="2" t="s">
        <v>4177</v>
      </c>
      <c r="B728" s="2" t="s">
        <v>1185</v>
      </c>
      <c r="C728" s="2" t="s">
        <v>3973</v>
      </c>
      <c r="D728" s="2" t="s">
        <v>4178</v>
      </c>
      <c r="E728" s="2" t="s">
        <v>3993</v>
      </c>
      <c r="F728" s="2" t="s">
        <v>4179</v>
      </c>
      <c r="G728" s="2" t="s">
        <v>3995</v>
      </c>
      <c r="H728" s="2" t="s">
        <v>20</v>
      </c>
      <c r="I728" s="2" t="s">
        <v>4180</v>
      </c>
      <c r="J728" s="2" t="s">
        <v>3973</v>
      </c>
      <c r="K728" s="2" t="s">
        <v>1193</v>
      </c>
      <c r="L728" s="2" t="n">
        <v>4</v>
      </c>
      <c r="M728" s="2" t="n">
        <v>54</v>
      </c>
    </row>
    <row r="729" customFormat="false" ht="61.15" hidden="false" customHeight="false" outlineLevel="0" collapsed="false">
      <c r="A729" s="2" t="s">
        <v>4181</v>
      </c>
      <c r="B729" s="2" t="s">
        <v>1185</v>
      </c>
      <c r="C729" s="2" t="s">
        <v>3973</v>
      </c>
      <c r="D729" s="2" t="s">
        <v>4182</v>
      </c>
      <c r="E729" s="2" t="s">
        <v>4183</v>
      </c>
      <c r="F729" s="2" t="s">
        <v>4184</v>
      </c>
      <c r="G729" s="2" t="s">
        <v>4185</v>
      </c>
      <c r="H729" s="2" t="s">
        <v>20</v>
      </c>
      <c r="I729" s="2" t="s">
        <v>4186</v>
      </c>
      <c r="J729" s="2" t="s">
        <v>3973</v>
      </c>
      <c r="K729" s="2" t="s">
        <v>1193</v>
      </c>
      <c r="L729" s="2" t="n">
        <v>3</v>
      </c>
      <c r="M729" s="2" t="n">
        <v>54</v>
      </c>
    </row>
    <row r="730" customFormat="false" ht="76.1" hidden="false" customHeight="false" outlineLevel="0" collapsed="false">
      <c r="A730" s="2" t="s">
        <v>4187</v>
      </c>
      <c r="B730" s="2" t="s">
        <v>1185</v>
      </c>
      <c r="C730" s="2" t="s">
        <v>3973</v>
      </c>
      <c r="D730" s="2" t="s">
        <v>4188</v>
      </c>
      <c r="E730" s="2" t="s">
        <v>4189</v>
      </c>
      <c r="F730" s="2" t="s">
        <v>4184</v>
      </c>
      <c r="G730" s="2" t="s">
        <v>4183</v>
      </c>
      <c r="H730" s="2" t="s">
        <v>20</v>
      </c>
      <c r="I730" s="2" t="s">
        <v>4190</v>
      </c>
      <c r="J730" s="2" t="s">
        <v>3973</v>
      </c>
      <c r="K730" s="2" t="s">
        <v>1193</v>
      </c>
      <c r="L730" s="2" t="n">
        <v>3</v>
      </c>
      <c r="M730" s="2" t="n">
        <v>54</v>
      </c>
    </row>
    <row r="731" customFormat="false" ht="61.15" hidden="false" customHeight="false" outlineLevel="0" collapsed="false">
      <c r="A731" s="2" t="s">
        <v>4191</v>
      </c>
      <c r="B731" s="2" t="s">
        <v>1185</v>
      </c>
      <c r="C731" s="2" t="s">
        <v>3973</v>
      </c>
      <c r="D731" s="2" t="s">
        <v>4192</v>
      </c>
      <c r="E731" s="2" t="s">
        <v>4193</v>
      </c>
      <c r="F731" s="2" t="s">
        <v>4170</v>
      </c>
      <c r="G731" s="2" t="s">
        <v>4172</v>
      </c>
      <c r="H731" s="2" t="s">
        <v>20</v>
      </c>
      <c r="I731" s="2" t="s">
        <v>4194</v>
      </c>
      <c r="J731" s="2" t="s">
        <v>3973</v>
      </c>
      <c r="K731" s="2" t="s">
        <v>1193</v>
      </c>
      <c r="L731" s="2" t="n">
        <v>3</v>
      </c>
      <c r="M731" s="2" t="n">
        <v>54</v>
      </c>
    </row>
    <row r="732" customFormat="false" ht="76.1" hidden="false" customHeight="false" outlineLevel="0" collapsed="false">
      <c r="A732" s="2" t="s">
        <v>4195</v>
      </c>
      <c r="B732" s="2" t="s">
        <v>1185</v>
      </c>
      <c r="C732" s="2" t="s">
        <v>4196</v>
      </c>
      <c r="D732" s="2" t="s">
        <v>4197</v>
      </c>
      <c r="E732" s="2" t="s">
        <v>4198</v>
      </c>
      <c r="F732" s="2" t="s">
        <v>4199</v>
      </c>
      <c r="G732" s="2" t="s">
        <v>4200</v>
      </c>
      <c r="H732" s="2" t="s">
        <v>20</v>
      </c>
      <c r="I732" s="2" t="s">
        <v>4201</v>
      </c>
      <c r="J732" s="2" t="s">
        <v>4196</v>
      </c>
      <c r="K732" s="2" t="s">
        <v>1193</v>
      </c>
      <c r="L732" s="2" t="n">
        <v>4</v>
      </c>
      <c r="M732" s="2" t="n">
        <v>56</v>
      </c>
    </row>
    <row r="733" customFormat="false" ht="76.1" hidden="false" customHeight="false" outlineLevel="0" collapsed="false">
      <c r="A733" s="2" t="s">
        <v>4202</v>
      </c>
      <c r="B733" s="2" t="s">
        <v>1185</v>
      </c>
      <c r="C733" s="2" t="s">
        <v>4196</v>
      </c>
      <c r="D733" s="2" t="s">
        <v>4203</v>
      </c>
      <c r="E733" s="2" t="s">
        <v>4183</v>
      </c>
      <c r="F733" s="2" t="s">
        <v>4204</v>
      </c>
      <c r="G733" s="2" t="s">
        <v>4205</v>
      </c>
      <c r="H733" s="2" t="s">
        <v>20</v>
      </c>
      <c r="I733" s="2" t="s">
        <v>4206</v>
      </c>
      <c r="J733" s="2" t="s">
        <v>4196</v>
      </c>
      <c r="K733" s="2" t="s">
        <v>1193</v>
      </c>
      <c r="L733" s="2" t="n">
        <v>3</v>
      </c>
      <c r="M733" s="2" t="n">
        <v>56</v>
      </c>
    </row>
    <row r="734" customFormat="false" ht="76.1" hidden="false" customHeight="false" outlineLevel="0" collapsed="false">
      <c r="A734" s="2" t="s">
        <v>4207</v>
      </c>
      <c r="B734" s="2" t="s">
        <v>1185</v>
      </c>
      <c r="C734" s="2" t="s">
        <v>4196</v>
      </c>
      <c r="D734" s="2" t="s">
        <v>4208</v>
      </c>
      <c r="E734" s="2" t="s">
        <v>4209</v>
      </c>
      <c r="F734" s="2" t="s">
        <v>4210</v>
      </c>
      <c r="G734" s="2" t="s">
        <v>4211</v>
      </c>
      <c r="H734" s="2" t="s">
        <v>226</v>
      </c>
      <c r="I734" s="2" t="s">
        <v>4212</v>
      </c>
      <c r="J734" s="2" t="s">
        <v>4196</v>
      </c>
      <c r="K734" s="2" t="s">
        <v>1193</v>
      </c>
      <c r="L734" s="2" t="n">
        <v>4</v>
      </c>
      <c r="M734" s="2" t="n">
        <v>56</v>
      </c>
    </row>
    <row r="735" customFormat="false" ht="61.15" hidden="false" customHeight="false" outlineLevel="0" collapsed="false">
      <c r="A735" s="2" t="s">
        <v>4213</v>
      </c>
      <c r="B735" s="2" t="s">
        <v>1185</v>
      </c>
      <c r="C735" s="2" t="s">
        <v>4196</v>
      </c>
      <c r="D735" s="2" t="s">
        <v>4214</v>
      </c>
      <c r="E735" s="2" t="s">
        <v>2940</v>
      </c>
      <c r="F735" s="2" t="s">
        <v>4215</v>
      </c>
      <c r="G735" s="2" t="s">
        <v>4216</v>
      </c>
      <c r="H735" s="2" t="s">
        <v>20</v>
      </c>
      <c r="I735" s="2" t="s">
        <v>4217</v>
      </c>
      <c r="J735" s="2" t="s">
        <v>4196</v>
      </c>
      <c r="K735" s="2" t="s">
        <v>1193</v>
      </c>
      <c r="L735" s="2" t="n">
        <v>3</v>
      </c>
      <c r="M735" s="2" t="n">
        <v>55</v>
      </c>
    </row>
    <row r="736" customFormat="false" ht="61.15" hidden="false" customHeight="false" outlineLevel="0" collapsed="false">
      <c r="A736" s="2" t="s">
        <v>4218</v>
      </c>
      <c r="B736" s="2" t="s">
        <v>1185</v>
      </c>
      <c r="C736" s="2" t="s">
        <v>4196</v>
      </c>
      <c r="D736" s="2" t="s">
        <v>4219</v>
      </c>
      <c r="E736" s="2" t="s">
        <v>1948</v>
      </c>
      <c r="F736" s="2" t="s">
        <v>4220</v>
      </c>
      <c r="G736" s="2" t="s">
        <v>2295</v>
      </c>
      <c r="H736" s="2" t="s">
        <v>20</v>
      </c>
      <c r="I736" s="2" t="s">
        <v>4221</v>
      </c>
      <c r="J736" s="2" t="s">
        <v>4196</v>
      </c>
      <c r="K736" s="2" t="s">
        <v>1193</v>
      </c>
      <c r="L736" s="2" t="n">
        <v>4</v>
      </c>
      <c r="M736" s="2" t="n">
        <v>55</v>
      </c>
    </row>
    <row r="737" customFormat="false" ht="61.15" hidden="false" customHeight="false" outlineLevel="0" collapsed="false">
      <c r="A737" s="2" t="s">
        <v>4222</v>
      </c>
      <c r="B737" s="2" t="s">
        <v>1185</v>
      </c>
      <c r="C737" s="2" t="s">
        <v>4196</v>
      </c>
      <c r="D737" s="2" t="s">
        <v>4223</v>
      </c>
      <c r="E737" s="2" t="s">
        <v>4224</v>
      </c>
      <c r="F737" s="2" t="s">
        <v>4225</v>
      </c>
      <c r="G737" s="2" t="s">
        <v>4226</v>
      </c>
      <c r="H737" s="2" t="s">
        <v>20</v>
      </c>
      <c r="I737" s="2" t="s">
        <v>4227</v>
      </c>
      <c r="J737" s="2" t="s">
        <v>4228</v>
      </c>
      <c r="K737" s="2" t="s">
        <v>1193</v>
      </c>
      <c r="L737" s="2" t="n">
        <v>1</v>
      </c>
      <c r="M737" s="2" t="n">
        <v>55</v>
      </c>
    </row>
    <row r="738" customFormat="false" ht="76.1" hidden="false" customHeight="false" outlineLevel="0" collapsed="false">
      <c r="A738" s="2" t="s">
        <v>4229</v>
      </c>
      <c r="B738" s="2" t="s">
        <v>1185</v>
      </c>
      <c r="C738" s="2" t="s">
        <v>4196</v>
      </c>
      <c r="D738" s="2" t="s">
        <v>4230</v>
      </c>
      <c r="E738" s="2" t="s">
        <v>4231</v>
      </c>
      <c r="F738" s="2" t="s">
        <v>4232</v>
      </c>
      <c r="G738" s="2" t="s">
        <v>4233</v>
      </c>
      <c r="H738" s="2" t="s">
        <v>20</v>
      </c>
      <c r="I738" s="2" t="s">
        <v>4234</v>
      </c>
      <c r="J738" s="2" t="s">
        <v>4228</v>
      </c>
      <c r="K738" s="2" t="s">
        <v>1193</v>
      </c>
      <c r="L738" s="2" t="n">
        <v>3</v>
      </c>
      <c r="M738" s="2" t="n">
        <v>55</v>
      </c>
    </row>
    <row r="739" customFormat="false" ht="76.1" hidden="false" customHeight="false" outlineLevel="0" collapsed="false">
      <c r="A739" s="2" t="s">
        <v>4235</v>
      </c>
      <c r="B739" s="2" t="s">
        <v>1185</v>
      </c>
      <c r="C739" s="2" t="s">
        <v>4196</v>
      </c>
      <c r="D739" s="2" t="s">
        <v>4236</v>
      </c>
      <c r="E739" s="2" t="s">
        <v>4237</v>
      </c>
      <c r="F739" s="2" t="s">
        <v>4238</v>
      </c>
      <c r="G739" s="2" t="s">
        <v>4239</v>
      </c>
      <c r="H739" s="2" t="s">
        <v>20</v>
      </c>
      <c r="I739" s="2" t="s">
        <v>4240</v>
      </c>
      <c r="J739" s="2" t="s">
        <v>4228</v>
      </c>
      <c r="K739" s="2" t="s">
        <v>1193</v>
      </c>
      <c r="L739" s="2" t="n">
        <v>2</v>
      </c>
      <c r="M739" s="2" t="n">
        <v>55</v>
      </c>
    </row>
    <row r="740" customFormat="false" ht="61.15" hidden="false" customHeight="false" outlineLevel="0" collapsed="false">
      <c r="A740" s="2" t="s">
        <v>4241</v>
      </c>
      <c r="B740" s="2" t="s">
        <v>1185</v>
      </c>
      <c r="C740" s="2" t="s">
        <v>4196</v>
      </c>
      <c r="D740" s="2" t="s">
        <v>4242</v>
      </c>
      <c r="E740" s="2" t="s">
        <v>1948</v>
      </c>
      <c r="F740" s="2" t="s">
        <v>3178</v>
      </c>
      <c r="G740" s="2" t="s">
        <v>4005</v>
      </c>
      <c r="H740" s="2" t="s">
        <v>20</v>
      </c>
      <c r="I740" s="2" t="s">
        <v>4243</v>
      </c>
      <c r="J740" s="2" t="s">
        <v>4228</v>
      </c>
      <c r="K740" s="2" t="s">
        <v>1193</v>
      </c>
      <c r="L740" s="2" t="n">
        <v>1</v>
      </c>
      <c r="M740" s="2" t="n">
        <v>55</v>
      </c>
    </row>
    <row r="741" customFormat="false" ht="61.15" hidden="false" customHeight="false" outlineLevel="0" collapsed="false">
      <c r="A741" s="2" t="s">
        <v>4244</v>
      </c>
      <c r="B741" s="2" t="s">
        <v>1185</v>
      </c>
      <c r="C741" s="2" t="s">
        <v>4196</v>
      </c>
      <c r="D741" s="2" t="s">
        <v>4245</v>
      </c>
      <c r="E741" s="2" t="s">
        <v>2940</v>
      </c>
      <c r="F741" s="2" t="s">
        <v>4246</v>
      </c>
      <c r="G741" s="2" t="s">
        <v>4247</v>
      </c>
      <c r="H741" s="2" t="s">
        <v>20</v>
      </c>
      <c r="I741" s="2" t="s">
        <v>4248</v>
      </c>
      <c r="J741" s="2" t="s">
        <v>4249</v>
      </c>
      <c r="K741" s="2" t="s">
        <v>1193</v>
      </c>
      <c r="L741" s="2" t="n">
        <v>2</v>
      </c>
      <c r="M741" s="2" t="n">
        <v>55</v>
      </c>
    </row>
    <row r="742" customFormat="false" ht="46.25" hidden="false" customHeight="false" outlineLevel="0" collapsed="false">
      <c r="A742" s="2" t="s">
        <v>4250</v>
      </c>
      <c r="B742" s="2" t="s">
        <v>1185</v>
      </c>
      <c r="C742" s="2" t="s">
        <v>4196</v>
      </c>
      <c r="D742" s="2" t="s">
        <v>4251</v>
      </c>
      <c r="E742" s="2" t="s">
        <v>4252</v>
      </c>
      <c r="F742" s="2" t="s">
        <v>4253</v>
      </c>
      <c r="G742" s="2" t="s">
        <v>4254</v>
      </c>
      <c r="H742" s="2" t="s">
        <v>226</v>
      </c>
      <c r="I742" s="2" t="s">
        <v>4255</v>
      </c>
      <c r="J742" s="2" t="s">
        <v>4249</v>
      </c>
      <c r="K742" s="2" t="s">
        <v>1193</v>
      </c>
      <c r="L742" s="2" t="n">
        <v>1</v>
      </c>
      <c r="M742" s="2" t="n">
        <v>55</v>
      </c>
    </row>
    <row r="743" customFormat="false" ht="76.1" hidden="false" customHeight="false" outlineLevel="0" collapsed="false">
      <c r="A743" s="2" t="s">
        <v>4256</v>
      </c>
      <c r="B743" s="2" t="s">
        <v>1185</v>
      </c>
      <c r="C743" s="2" t="s">
        <v>4196</v>
      </c>
      <c r="D743" s="2" t="s">
        <v>4257</v>
      </c>
      <c r="E743" s="2" t="s">
        <v>4258</v>
      </c>
      <c r="F743" s="2" t="s">
        <v>4259</v>
      </c>
      <c r="G743" s="2" t="s">
        <v>4260</v>
      </c>
      <c r="H743" s="2" t="s">
        <v>20</v>
      </c>
      <c r="I743" s="2" t="s">
        <v>4261</v>
      </c>
      <c r="J743" s="2" t="s">
        <v>4249</v>
      </c>
      <c r="K743" s="2" t="s">
        <v>1193</v>
      </c>
      <c r="L743" s="2" t="n">
        <v>3</v>
      </c>
      <c r="M743" s="2" t="n">
        <v>55</v>
      </c>
    </row>
    <row r="744" customFormat="false" ht="76.1" hidden="false" customHeight="false" outlineLevel="0" collapsed="false">
      <c r="A744" s="2" t="s">
        <v>4262</v>
      </c>
      <c r="B744" s="2" t="s">
        <v>1185</v>
      </c>
      <c r="C744" s="2" t="s">
        <v>4196</v>
      </c>
      <c r="D744" s="2" t="s">
        <v>4263</v>
      </c>
      <c r="E744" s="2" t="s">
        <v>4264</v>
      </c>
      <c r="F744" s="2" t="s">
        <v>4265</v>
      </c>
      <c r="G744" s="2" t="s">
        <v>4266</v>
      </c>
      <c r="H744" s="2" t="s">
        <v>226</v>
      </c>
      <c r="I744" s="2" t="s">
        <v>4267</v>
      </c>
      <c r="J744" s="2" t="s">
        <v>4249</v>
      </c>
      <c r="K744" s="2" t="s">
        <v>1193</v>
      </c>
      <c r="L744" s="2" t="n">
        <v>3</v>
      </c>
      <c r="M744" s="2" t="n">
        <v>55</v>
      </c>
    </row>
    <row r="745" customFormat="false" ht="61.15" hidden="false" customHeight="false" outlineLevel="0" collapsed="false">
      <c r="A745" s="2" t="s">
        <v>4268</v>
      </c>
      <c r="B745" s="2" t="s">
        <v>1185</v>
      </c>
      <c r="C745" s="2" t="s">
        <v>4196</v>
      </c>
      <c r="D745" s="2" t="s">
        <v>4269</v>
      </c>
      <c r="E745" s="2" t="s">
        <v>4270</v>
      </c>
      <c r="F745" s="2" t="s">
        <v>4271</v>
      </c>
      <c r="G745" s="2" t="s">
        <v>4272</v>
      </c>
      <c r="H745" s="2" t="s">
        <v>28</v>
      </c>
      <c r="I745" s="2" t="s">
        <v>4273</v>
      </c>
      <c r="J745" s="2" t="s">
        <v>4249</v>
      </c>
      <c r="K745" s="2" t="s">
        <v>1193</v>
      </c>
      <c r="L745" s="2" t="n">
        <v>2</v>
      </c>
      <c r="M745" s="2" t="n">
        <v>55</v>
      </c>
    </row>
    <row r="746" customFormat="false" ht="76.1" hidden="false" customHeight="false" outlineLevel="0" collapsed="false">
      <c r="A746" s="2" t="s">
        <v>4274</v>
      </c>
      <c r="B746" s="2" t="s">
        <v>1185</v>
      </c>
      <c r="C746" s="2" t="s">
        <v>4196</v>
      </c>
      <c r="D746" s="2" t="s">
        <v>4275</v>
      </c>
      <c r="E746" s="2" t="s">
        <v>4276</v>
      </c>
      <c r="F746" s="2" t="s">
        <v>4277</v>
      </c>
      <c r="G746" s="2" t="s">
        <v>4278</v>
      </c>
      <c r="H746" s="2" t="s">
        <v>20</v>
      </c>
      <c r="I746" s="2" t="s">
        <v>4279</v>
      </c>
      <c r="J746" s="2" t="s">
        <v>4196</v>
      </c>
      <c r="K746" s="2" t="s">
        <v>1193</v>
      </c>
      <c r="L746" s="2" t="n">
        <v>2</v>
      </c>
      <c r="M746" s="2" t="n">
        <v>55</v>
      </c>
    </row>
    <row r="747" customFormat="false" ht="61.15" hidden="false" customHeight="false" outlineLevel="0" collapsed="false">
      <c r="A747" s="2" t="s">
        <v>4280</v>
      </c>
      <c r="B747" s="2" t="s">
        <v>1185</v>
      </c>
      <c r="C747" s="2" t="s">
        <v>4196</v>
      </c>
      <c r="D747" s="2" t="s">
        <v>4281</v>
      </c>
      <c r="E747" s="2" t="s">
        <v>4282</v>
      </c>
      <c r="F747" s="2" t="s">
        <v>4283</v>
      </c>
      <c r="G747" s="2" t="s">
        <v>4284</v>
      </c>
      <c r="H747" s="2" t="s">
        <v>20</v>
      </c>
      <c r="I747" s="2" t="s">
        <v>4285</v>
      </c>
      <c r="J747" s="2" t="s">
        <v>4196</v>
      </c>
      <c r="K747" s="2" t="s">
        <v>1193</v>
      </c>
      <c r="L747" s="2" t="n">
        <v>2</v>
      </c>
      <c r="M747" s="2" t="n">
        <v>55</v>
      </c>
    </row>
    <row r="748" customFormat="false" ht="61.15" hidden="false" customHeight="false" outlineLevel="0" collapsed="false">
      <c r="A748" s="2" t="s">
        <v>4286</v>
      </c>
      <c r="B748" s="2" t="s">
        <v>1185</v>
      </c>
      <c r="C748" s="2" t="s">
        <v>4196</v>
      </c>
      <c r="D748" s="2" t="s">
        <v>4287</v>
      </c>
      <c r="E748" s="2" t="s">
        <v>4288</v>
      </c>
      <c r="F748" s="2" t="s">
        <v>4289</v>
      </c>
      <c r="G748" s="2" t="s">
        <v>4290</v>
      </c>
      <c r="H748" s="2" t="s">
        <v>20</v>
      </c>
      <c r="I748" s="2" t="s">
        <v>4291</v>
      </c>
      <c r="J748" s="2" t="s">
        <v>4196</v>
      </c>
      <c r="K748" s="2" t="s">
        <v>1193</v>
      </c>
      <c r="L748" s="2" t="n">
        <v>2</v>
      </c>
      <c r="M748" s="2" t="n">
        <v>55</v>
      </c>
    </row>
    <row r="749" customFormat="false" ht="61.15" hidden="false" customHeight="false" outlineLevel="0" collapsed="false">
      <c r="A749" s="2" t="s">
        <v>4292</v>
      </c>
      <c r="B749" s="2" t="s">
        <v>1185</v>
      </c>
      <c r="C749" s="2" t="s">
        <v>4196</v>
      </c>
      <c r="D749" s="2" t="s">
        <v>4293</v>
      </c>
      <c r="E749" s="2" t="s">
        <v>1948</v>
      </c>
      <c r="F749" s="2" t="s">
        <v>4294</v>
      </c>
      <c r="G749" s="2" t="s">
        <v>4295</v>
      </c>
      <c r="H749" s="2" t="s">
        <v>20</v>
      </c>
      <c r="I749" s="2" t="s">
        <v>4296</v>
      </c>
      <c r="J749" s="2" t="s">
        <v>4196</v>
      </c>
      <c r="K749" s="2" t="s">
        <v>1193</v>
      </c>
      <c r="L749" s="2" t="n">
        <v>2</v>
      </c>
      <c r="M749" s="2" t="n">
        <v>55</v>
      </c>
    </row>
    <row r="750" customFormat="false" ht="76.1" hidden="false" customHeight="false" outlineLevel="0" collapsed="false">
      <c r="A750" s="2" t="s">
        <v>4297</v>
      </c>
      <c r="B750" s="2" t="s">
        <v>1185</v>
      </c>
      <c r="C750" s="2" t="s">
        <v>4196</v>
      </c>
      <c r="D750" s="2" t="s">
        <v>4298</v>
      </c>
      <c r="E750" s="2" t="s">
        <v>4299</v>
      </c>
      <c r="F750" s="2" t="s">
        <v>4300</v>
      </c>
      <c r="G750" s="2" t="s">
        <v>4301</v>
      </c>
      <c r="H750" s="2" t="s">
        <v>20</v>
      </c>
      <c r="I750" s="2" t="s">
        <v>4302</v>
      </c>
      <c r="J750" s="2" t="s">
        <v>4196</v>
      </c>
      <c r="K750" s="2" t="s">
        <v>1193</v>
      </c>
      <c r="L750" s="2" t="n">
        <v>2</v>
      </c>
      <c r="M750" s="2" t="n">
        <v>55</v>
      </c>
    </row>
    <row r="751" customFormat="false" ht="105.95" hidden="false" customHeight="false" outlineLevel="0" collapsed="false">
      <c r="A751" s="2" t="s">
        <v>4303</v>
      </c>
      <c r="B751" s="2" t="s">
        <v>1185</v>
      </c>
      <c r="C751" s="2" t="s">
        <v>4196</v>
      </c>
      <c r="D751" s="2" t="s">
        <v>4304</v>
      </c>
      <c r="E751" s="2" t="s">
        <v>4156</v>
      </c>
      <c r="F751" s="2" t="s">
        <v>4305</v>
      </c>
      <c r="G751" s="2" t="s">
        <v>4306</v>
      </c>
      <c r="H751" s="2" t="s">
        <v>20</v>
      </c>
      <c r="I751" s="2" t="s">
        <v>4307</v>
      </c>
      <c r="J751" s="2" t="s">
        <v>4249</v>
      </c>
      <c r="K751" s="2" t="s">
        <v>1193</v>
      </c>
      <c r="L751" s="2" t="n">
        <v>3</v>
      </c>
      <c r="M751" s="2" t="n">
        <v>55</v>
      </c>
    </row>
    <row r="752" customFormat="false" ht="61.15" hidden="false" customHeight="false" outlineLevel="0" collapsed="false">
      <c r="A752" s="2" t="s">
        <v>4308</v>
      </c>
      <c r="B752" s="2" t="s">
        <v>1185</v>
      </c>
      <c r="C752" s="2" t="s">
        <v>4196</v>
      </c>
      <c r="D752" s="2" t="s">
        <v>4309</v>
      </c>
      <c r="E752" s="2" t="s">
        <v>4310</v>
      </c>
      <c r="F752" s="2" t="s">
        <v>4311</v>
      </c>
      <c r="G752" s="2" t="s">
        <v>4312</v>
      </c>
      <c r="H752" s="2" t="s">
        <v>20</v>
      </c>
      <c r="I752" s="2" t="s">
        <v>4313</v>
      </c>
      <c r="J752" s="2" t="s">
        <v>4196</v>
      </c>
      <c r="K752" s="2" t="s">
        <v>1193</v>
      </c>
      <c r="L752" s="2" t="n">
        <v>2</v>
      </c>
      <c r="M752" s="2" t="n">
        <v>55</v>
      </c>
    </row>
    <row r="753" customFormat="false" ht="61.15" hidden="false" customHeight="false" outlineLevel="0" collapsed="false">
      <c r="A753" s="2" t="s">
        <v>4314</v>
      </c>
      <c r="B753" s="2" t="s">
        <v>1185</v>
      </c>
      <c r="C753" s="2" t="s">
        <v>4196</v>
      </c>
      <c r="D753" s="2" t="s">
        <v>4315</v>
      </c>
      <c r="E753" s="2" t="s">
        <v>4316</v>
      </c>
      <c r="F753" s="2" t="s">
        <v>4317</v>
      </c>
      <c r="G753" s="2" t="s">
        <v>4318</v>
      </c>
      <c r="H753" s="2" t="s">
        <v>20</v>
      </c>
      <c r="I753" s="2" t="s">
        <v>4319</v>
      </c>
      <c r="J753" s="2" t="s">
        <v>4196</v>
      </c>
      <c r="K753" s="2" t="s">
        <v>1193</v>
      </c>
      <c r="L753" s="2" t="n">
        <v>2</v>
      </c>
      <c r="M753" s="2" t="n">
        <v>55</v>
      </c>
    </row>
    <row r="754" customFormat="false" ht="91" hidden="false" customHeight="false" outlineLevel="0" collapsed="false">
      <c r="A754" s="2" t="s">
        <v>4320</v>
      </c>
      <c r="B754" s="2" t="s">
        <v>1185</v>
      </c>
      <c r="C754" s="2" t="s">
        <v>4196</v>
      </c>
      <c r="D754" s="2" t="s">
        <v>4321</v>
      </c>
      <c r="E754" s="2" t="s">
        <v>4322</v>
      </c>
      <c r="F754" s="2" t="s">
        <v>4323</v>
      </c>
      <c r="G754" s="2" t="s">
        <v>4324</v>
      </c>
      <c r="H754" s="2" t="s">
        <v>20</v>
      </c>
      <c r="I754" s="2" t="s">
        <v>4325</v>
      </c>
      <c r="J754" s="2" t="s">
        <v>4196</v>
      </c>
      <c r="K754" s="2" t="s">
        <v>1193</v>
      </c>
      <c r="L754" s="2" t="n">
        <v>2</v>
      </c>
      <c r="M754" s="2" t="n">
        <v>55</v>
      </c>
    </row>
    <row r="755" customFormat="false" ht="61.15" hidden="false" customHeight="false" outlineLevel="0" collapsed="false">
      <c r="A755" s="2" t="s">
        <v>4326</v>
      </c>
      <c r="B755" s="2" t="s">
        <v>1185</v>
      </c>
      <c r="C755" s="2" t="s">
        <v>4196</v>
      </c>
      <c r="D755" s="2" t="s">
        <v>4327</v>
      </c>
      <c r="E755" s="2" t="s">
        <v>4328</v>
      </c>
      <c r="F755" s="2" t="s">
        <v>4329</v>
      </c>
      <c r="G755" s="2" t="s">
        <v>4330</v>
      </c>
      <c r="H755" s="2" t="s">
        <v>20</v>
      </c>
      <c r="I755" s="2" t="s">
        <v>4331</v>
      </c>
      <c r="J755" s="2" t="s">
        <v>4196</v>
      </c>
      <c r="K755" s="2" t="s">
        <v>1193</v>
      </c>
      <c r="L755" s="2" t="n">
        <v>2</v>
      </c>
      <c r="M755" s="2" t="n">
        <v>55</v>
      </c>
    </row>
    <row r="756" customFormat="false" ht="46.25" hidden="false" customHeight="false" outlineLevel="0" collapsed="false">
      <c r="A756" s="2" t="s">
        <v>4332</v>
      </c>
      <c r="B756" s="2" t="s">
        <v>1185</v>
      </c>
      <c r="C756" s="2" t="s">
        <v>4196</v>
      </c>
      <c r="D756" s="2" t="s">
        <v>4333</v>
      </c>
      <c r="E756" s="2" t="s">
        <v>2940</v>
      </c>
      <c r="F756" s="2" t="s">
        <v>4334</v>
      </c>
      <c r="G756" s="2" t="s">
        <v>4335</v>
      </c>
      <c r="H756" s="2" t="s">
        <v>20</v>
      </c>
      <c r="I756" s="2" t="s">
        <v>4336</v>
      </c>
      <c r="J756" s="2" t="s">
        <v>4196</v>
      </c>
      <c r="K756" s="2" t="s">
        <v>1193</v>
      </c>
      <c r="L756" s="2" t="n">
        <v>2</v>
      </c>
      <c r="M756" s="2" t="n">
        <v>55</v>
      </c>
    </row>
    <row r="757" customFormat="false" ht="61.15" hidden="false" customHeight="false" outlineLevel="0" collapsed="false">
      <c r="A757" s="2" t="s">
        <v>4337</v>
      </c>
      <c r="B757" s="2" t="s">
        <v>1185</v>
      </c>
      <c r="C757" s="2" t="s">
        <v>4196</v>
      </c>
      <c r="D757" s="2" t="s">
        <v>4338</v>
      </c>
      <c r="E757" s="2" t="s">
        <v>4339</v>
      </c>
      <c r="F757" s="2" t="s">
        <v>4340</v>
      </c>
      <c r="G757" s="2" t="s">
        <v>4341</v>
      </c>
      <c r="H757" s="2" t="s">
        <v>20</v>
      </c>
      <c r="I757" s="2" t="s">
        <v>4342</v>
      </c>
      <c r="J757" s="2" t="s">
        <v>4196</v>
      </c>
      <c r="K757" s="2" t="s">
        <v>1193</v>
      </c>
      <c r="L757" s="2" t="n">
        <v>3</v>
      </c>
      <c r="M757" s="2" t="n">
        <v>55</v>
      </c>
    </row>
    <row r="758" customFormat="false" ht="91" hidden="false" customHeight="false" outlineLevel="0" collapsed="false">
      <c r="A758" s="2" t="s">
        <v>4343</v>
      </c>
      <c r="B758" s="2" t="s">
        <v>1185</v>
      </c>
      <c r="C758" s="2" t="s">
        <v>4196</v>
      </c>
      <c r="D758" s="2" t="s">
        <v>4344</v>
      </c>
      <c r="E758" s="2" t="s">
        <v>4345</v>
      </c>
      <c r="F758" s="2" t="s">
        <v>4346</v>
      </c>
      <c r="G758" s="2" t="s">
        <v>4347</v>
      </c>
      <c r="H758" s="2" t="s">
        <v>20</v>
      </c>
      <c r="I758" s="2" t="s">
        <v>4348</v>
      </c>
      <c r="J758" s="2" t="s">
        <v>4196</v>
      </c>
      <c r="K758" s="2" t="s">
        <v>1193</v>
      </c>
      <c r="L758" s="2" t="n">
        <v>4</v>
      </c>
      <c r="M758" s="2" t="n">
        <v>55</v>
      </c>
    </row>
    <row r="759" customFormat="false" ht="76.1" hidden="false" customHeight="false" outlineLevel="0" collapsed="false">
      <c r="A759" s="2" t="s">
        <v>4349</v>
      </c>
      <c r="B759" s="2" t="s">
        <v>1185</v>
      </c>
      <c r="C759" s="2" t="s">
        <v>4196</v>
      </c>
      <c r="D759" s="2" t="s">
        <v>4350</v>
      </c>
      <c r="E759" s="2" t="s">
        <v>4351</v>
      </c>
      <c r="F759" s="2" t="s">
        <v>4352</v>
      </c>
      <c r="G759" s="2" t="s">
        <v>4353</v>
      </c>
      <c r="H759" s="2" t="s">
        <v>20</v>
      </c>
      <c r="I759" s="2" t="s">
        <v>4354</v>
      </c>
      <c r="J759" s="2" t="s">
        <v>4196</v>
      </c>
      <c r="K759" s="2" t="s">
        <v>1193</v>
      </c>
      <c r="L759" s="2" t="n">
        <v>3</v>
      </c>
      <c r="M759" s="2" t="n">
        <v>55</v>
      </c>
    </row>
    <row r="760" customFormat="false" ht="76.1" hidden="false" customHeight="false" outlineLevel="0" collapsed="false">
      <c r="A760" s="2" t="s">
        <v>4355</v>
      </c>
      <c r="B760" s="2" t="s">
        <v>1185</v>
      </c>
      <c r="C760" s="2" t="s">
        <v>4196</v>
      </c>
      <c r="D760" s="2" t="s">
        <v>4356</v>
      </c>
      <c r="E760" s="2" t="s">
        <v>4357</v>
      </c>
      <c r="F760" s="2" t="s">
        <v>4358</v>
      </c>
      <c r="G760" s="2" t="s">
        <v>4359</v>
      </c>
      <c r="H760" s="2" t="s">
        <v>20</v>
      </c>
      <c r="I760" s="2" t="s">
        <v>4360</v>
      </c>
      <c r="J760" s="2" t="s">
        <v>4196</v>
      </c>
      <c r="K760" s="2" t="s">
        <v>1193</v>
      </c>
      <c r="L760" s="2" t="n">
        <v>3</v>
      </c>
      <c r="M760" s="2" t="n">
        <v>55</v>
      </c>
    </row>
    <row r="761" customFormat="false" ht="91" hidden="false" customHeight="false" outlineLevel="0" collapsed="false">
      <c r="A761" s="2" t="s">
        <v>4361</v>
      </c>
      <c r="B761" s="2" t="s">
        <v>1185</v>
      </c>
      <c r="C761" s="2" t="s">
        <v>4196</v>
      </c>
      <c r="D761" s="2" t="s">
        <v>4362</v>
      </c>
      <c r="E761" s="2" t="s">
        <v>4363</v>
      </c>
      <c r="F761" s="2" t="s">
        <v>4364</v>
      </c>
      <c r="G761" s="2" t="s">
        <v>4365</v>
      </c>
      <c r="H761" s="2" t="s">
        <v>20</v>
      </c>
      <c r="I761" s="2" t="s">
        <v>4366</v>
      </c>
      <c r="J761" s="2" t="s">
        <v>4196</v>
      </c>
      <c r="K761" s="2" t="s">
        <v>1193</v>
      </c>
      <c r="L761" s="2" t="n">
        <v>4</v>
      </c>
      <c r="M761" s="2" t="n">
        <v>55</v>
      </c>
    </row>
    <row r="762" customFormat="false" ht="46.25" hidden="false" customHeight="false" outlineLevel="0" collapsed="false">
      <c r="A762" s="2" t="s">
        <v>4367</v>
      </c>
      <c r="B762" s="2" t="s">
        <v>1185</v>
      </c>
      <c r="C762" s="2" t="s">
        <v>4368</v>
      </c>
      <c r="D762" s="2" t="s">
        <v>4369</v>
      </c>
      <c r="E762" s="2" t="s">
        <v>1833</v>
      </c>
      <c r="F762" s="2" t="s">
        <v>2356</v>
      </c>
      <c r="G762" s="2" t="s">
        <v>4370</v>
      </c>
      <c r="H762" s="2" t="s">
        <v>20</v>
      </c>
      <c r="I762" s="2" t="s">
        <v>4371</v>
      </c>
      <c r="J762" s="2" t="s">
        <v>4372</v>
      </c>
      <c r="K762" s="2" t="s">
        <v>1193</v>
      </c>
      <c r="L762" s="2" t="n">
        <v>2</v>
      </c>
      <c r="M762" s="2" t="n">
        <v>56</v>
      </c>
    </row>
    <row r="763" customFormat="false" ht="61.15" hidden="false" customHeight="false" outlineLevel="0" collapsed="false">
      <c r="A763" s="2" t="s">
        <v>4373</v>
      </c>
      <c r="B763" s="2" t="s">
        <v>1185</v>
      </c>
      <c r="C763" s="2" t="s">
        <v>4368</v>
      </c>
      <c r="D763" s="2" t="s">
        <v>4374</v>
      </c>
      <c r="E763" s="2" t="s">
        <v>1948</v>
      </c>
      <c r="F763" s="2" t="s">
        <v>4375</v>
      </c>
      <c r="G763" s="2" t="s">
        <v>4376</v>
      </c>
      <c r="H763" s="2" t="s">
        <v>20</v>
      </c>
      <c r="I763" s="2" t="s">
        <v>4377</v>
      </c>
      <c r="J763" s="2" t="s">
        <v>4372</v>
      </c>
      <c r="K763" s="2" t="s">
        <v>1193</v>
      </c>
      <c r="L763" s="2" t="n">
        <v>2</v>
      </c>
      <c r="M763" s="2" t="n">
        <v>56</v>
      </c>
    </row>
    <row r="764" customFormat="false" ht="76.1" hidden="false" customHeight="false" outlineLevel="0" collapsed="false">
      <c r="A764" s="2" t="s">
        <v>4378</v>
      </c>
      <c r="B764" s="2" t="s">
        <v>1185</v>
      </c>
      <c r="C764" s="2" t="s">
        <v>4368</v>
      </c>
      <c r="D764" s="2" t="s">
        <v>4379</v>
      </c>
      <c r="E764" s="2" t="s">
        <v>4380</v>
      </c>
      <c r="F764" s="2" t="s">
        <v>4381</v>
      </c>
      <c r="G764" s="2" t="s">
        <v>4382</v>
      </c>
      <c r="H764" s="2" t="s">
        <v>20</v>
      </c>
      <c r="I764" s="2" t="s">
        <v>4383</v>
      </c>
      <c r="J764" s="2" t="s">
        <v>4384</v>
      </c>
      <c r="K764" s="2" t="s">
        <v>1193</v>
      </c>
      <c r="L764" s="2" t="n">
        <v>2</v>
      </c>
      <c r="M764" s="2" t="n">
        <v>56</v>
      </c>
    </row>
    <row r="765" customFormat="false" ht="61.15" hidden="false" customHeight="false" outlineLevel="0" collapsed="false">
      <c r="A765" s="2" t="s">
        <v>4385</v>
      </c>
      <c r="B765" s="2" t="s">
        <v>1185</v>
      </c>
      <c r="C765" s="2" t="s">
        <v>4368</v>
      </c>
      <c r="D765" s="2" t="s">
        <v>4386</v>
      </c>
      <c r="E765" s="2" t="s">
        <v>4387</v>
      </c>
      <c r="F765" s="2" t="s">
        <v>4388</v>
      </c>
      <c r="G765" s="2" t="s">
        <v>4389</v>
      </c>
      <c r="H765" s="2" t="s">
        <v>20</v>
      </c>
      <c r="I765" s="2" t="s">
        <v>4390</v>
      </c>
      <c r="J765" s="2" t="s">
        <v>4384</v>
      </c>
      <c r="K765" s="2" t="s">
        <v>1193</v>
      </c>
      <c r="L765" s="2" t="n">
        <v>2</v>
      </c>
      <c r="M765" s="2" t="n">
        <v>56</v>
      </c>
    </row>
    <row r="766" customFormat="false" ht="61.15" hidden="false" customHeight="false" outlineLevel="0" collapsed="false">
      <c r="A766" s="2" t="s">
        <v>4391</v>
      </c>
      <c r="B766" s="2" t="s">
        <v>1185</v>
      </c>
      <c r="C766" s="2" t="s">
        <v>4368</v>
      </c>
      <c r="D766" s="2" t="s">
        <v>4392</v>
      </c>
      <c r="E766" s="2" t="s">
        <v>2727</v>
      </c>
      <c r="F766" s="2" t="s">
        <v>4393</v>
      </c>
      <c r="G766" s="2" t="s">
        <v>4394</v>
      </c>
      <c r="H766" s="2" t="s">
        <v>20</v>
      </c>
      <c r="I766" s="2" t="s">
        <v>4395</v>
      </c>
      <c r="J766" s="2" t="s">
        <v>4396</v>
      </c>
      <c r="K766" s="2" t="s">
        <v>1193</v>
      </c>
      <c r="L766" s="2" t="n">
        <v>2</v>
      </c>
      <c r="M766" s="2" t="n">
        <v>57</v>
      </c>
    </row>
    <row r="767" customFormat="false" ht="61.15" hidden="false" customHeight="false" outlineLevel="0" collapsed="false">
      <c r="A767" s="2" t="s">
        <v>4397</v>
      </c>
      <c r="B767" s="2" t="s">
        <v>1185</v>
      </c>
      <c r="C767" s="2" t="s">
        <v>4368</v>
      </c>
      <c r="D767" s="2" t="s">
        <v>4398</v>
      </c>
      <c r="E767" s="2" t="s">
        <v>4399</v>
      </c>
      <c r="F767" s="2" t="s">
        <v>4400</v>
      </c>
      <c r="G767" s="2" t="s">
        <v>4401</v>
      </c>
      <c r="H767" s="2" t="s">
        <v>20</v>
      </c>
      <c r="I767" s="2" t="s">
        <v>4402</v>
      </c>
      <c r="J767" s="2" t="s">
        <v>4396</v>
      </c>
      <c r="K767" s="2" t="s">
        <v>1193</v>
      </c>
      <c r="L767" s="2" t="n">
        <v>2</v>
      </c>
      <c r="M767" s="2" t="n">
        <v>57</v>
      </c>
    </row>
    <row r="768" customFormat="false" ht="61.15" hidden="false" customHeight="false" outlineLevel="0" collapsed="false">
      <c r="A768" s="2" t="s">
        <v>4403</v>
      </c>
      <c r="B768" s="2" t="s">
        <v>1185</v>
      </c>
      <c r="C768" s="2" t="s">
        <v>4368</v>
      </c>
      <c r="D768" s="2" t="s">
        <v>4404</v>
      </c>
      <c r="E768" s="2" t="s">
        <v>4405</v>
      </c>
      <c r="F768" s="2" t="s">
        <v>4406</v>
      </c>
      <c r="G768" s="2" t="s">
        <v>4407</v>
      </c>
      <c r="H768" s="2" t="s">
        <v>226</v>
      </c>
      <c r="I768" s="2" t="s">
        <v>4408</v>
      </c>
      <c r="J768" s="2" t="s">
        <v>4396</v>
      </c>
      <c r="K768" s="2" t="s">
        <v>1193</v>
      </c>
      <c r="L768" s="2" t="n">
        <v>2</v>
      </c>
      <c r="M768" s="2" t="n">
        <v>57</v>
      </c>
    </row>
    <row r="769" customFormat="false" ht="76.1" hidden="false" customHeight="false" outlineLevel="0" collapsed="false">
      <c r="A769" s="2" t="s">
        <v>4409</v>
      </c>
      <c r="B769" s="2" t="s">
        <v>1185</v>
      </c>
      <c r="C769" s="2" t="s">
        <v>4368</v>
      </c>
      <c r="D769" s="2" t="s">
        <v>4410</v>
      </c>
      <c r="E769" s="2" t="s">
        <v>4411</v>
      </c>
      <c r="F769" s="2" t="s">
        <v>4412</v>
      </c>
      <c r="G769" s="2" t="s">
        <v>4413</v>
      </c>
      <c r="H769" s="2" t="s">
        <v>20</v>
      </c>
      <c r="I769" s="2" t="s">
        <v>4414</v>
      </c>
      <c r="J769" s="2" t="s">
        <v>4396</v>
      </c>
      <c r="K769" s="2" t="s">
        <v>1193</v>
      </c>
      <c r="L769" s="2" t="n">
        <v>2</v>
      </c>
      <c r="M769" s="2" t="n">
        <v>57</v>
      </c>
    </row>
    <row r="770" customFormat="false" ht="61.15" hidden="false" customHeight="false" outlineLevel="0" collapsed="false">
      <c r="A770" s="2" t="s">
        <v>4415</v>
      </c>
      <c r="B770" s="2" t="s">
        <v>1185</v>
      </c>
      <c r="C770" s="2" t="s">
        <v>4368</v>
      </c>
      <c r="D770" s="2" t="s">
        <v>4416</v>
      </c>
      <c r="E770" s="2" t="s">
        <v>4417</v>
      </c>
      <c r="F770" s="2" t="s">
        <v>4418</v>
      </c>
      <c r="G770" s="2" t="s">
        <v>4419</v>
      </c>
      <c r="H770" s="2" t="s">
        <v>226</v>
      </c>
      <c r="I770" s="2" t="s">
        <v>4420</v>
      </c>
      <c r="J770" s="2" t="s">
        <v>4396</v>
      </c>
      <c r="K770" s="2" t="s">
        <v>1193</v>
      </c>
      <c r="L770" s="2" t="n">
        <v>2</v>
      </c>
      <c r="M770" s="2" t="n">
        <v>57</v>
      </c>
    </row>
    <row r="771" customFormat="false" ht="61.15" hidden="false" customHeight="false" outlineLevel="0" collapsed="false">
      <c r="A771" s="2" t="s">
        <v>4421</v>
      </c>
      <c r="B771" s="2" t="s">
        <v>1185</v>
      </c>
      <c r="C771" s="2" t="s">
        <v>4368</v>
      </c>
      <c r="D771" s="2" t="s">
        <v>4422</v>
      </c>
      <c r="E771" s="2" t="s">
        <v>4423</v>
      </c>
      <c r="F771" s="2" t="s">
        <v>4424</v>
      </c>
      <c r="G771" s="2" t="s">
        <v>4425</v>
      </c>
      <c r="H771" s="2" t="s">
        <v>28</v>
      </c>
      <c r="I771" s="2" t="s">
        <v>4426</v>
      </c>
      <c r="J771" s="2" t="s">
        <v>4396</v>
      </c>
      <c r="K771" s="2" t="s">
        <v>1193</v>
      </c>
      <c r="L771" s="2" t="n">
        <v>2</v>
      </c>
      <c r="M771" s="2" t="n">
        <v>57</v>
      </c>
    </row>
    <row r="772" customFormat="false" ht="76.1" hidden="false" customHeight="false" outlineLevel="0" collapsed="false">
      <c r="A772" s="2" t="s">
        <v>4427</v>
      </c>
      <c r="B772" s="2" t="s">
        <v>1185</v>
      </c>
      <c r="C772" s="2" t="s">
        <v>4368</v>
      </c>
      <c r="D772" s="2" t="s">
        <v>4428</v>
      </c>
      <c r="E772" s="2" t="s">
        <v>4429</v>
      </c>
      <c r="F772" s="2" t="s">
        <v>4430</v>
      </c>
      <c r="G772" s="2" t="s">
        <v>4431</v>
      </c>
      <c r="H772" s="2" t="s">
        <v>20</v>
      </c>
      <c r="I772" s="2" t="s">
        <v>4432</v>
      </c>
      <c r="J772" s="2" t="s">
        <v>4396</v>
      </c>
      <c r="K772" s="2" t="s">
        <v>1193</v>
      </c>
      <c r="L772" s="2" t="n">
        <v>3</v>
      </c>
      <c r="M772" s="2" t="n">
        <v>57</v>
      </c>
    </row>
    <row r="773" customFormat="false" ht="46.25" hidden="false" customHeight="false" outlineLevel="0" collapsed="false">
      <c r="A773" s="2" t="s">
        <v>4433</v>
      </c>
      <c r="B773" s="2" t="s">
        <v>1185</v>
      </c>
      <c r="C773" s="2" t="s">
        <v>4368</v>
      </c>
      <c r="D773" s="2" t="s">
        <v>4434</v>
      </c>
      <c r="E773" s="2" t="s">
        <v>4435</v>
      </c>
      <c r="F773" s="2" t="s">
        <v>4436</v>
      </c>
      <c r="G773" s="2" t="s">
        <v>4437</v>
      </c>
      <c r="H773" s="2" t="s">
        <v>20</v>
      </c>
      <c r="I773" s="2" t="s">
        <v>4438</v>
      </c>
      <c r="J773" s="2" t="s">
        <v>4396</v>
      </c>
      <c r="K773" s="2" t="s">
        <v>1193</v>
      </c>
      <c r="L773" s="2" t="n">
        <v>3</v>
      </c>
      <c r="M773" s="2" t="n">
        <v>58</v>
      </c>
    </row>
    <row r="774" customFormat="false" ht="61.15" hidden="false" customHeight="false" outlineLevel="0" collapsed="false">
      <c r="A774" s="2" t="s">
        <v>4439</v>
      </c>
      <c r="B774" s="2" t="s">
        <v>1185</v>
      </c>
      <c r="C774" s="2" t="s">
        <v>4368</v>
      </c>
      <c r="D774" s="2" t="s">
        <v>4440</v>
      </c>
      <c r="E774" s="2" t="s">
        <v>4441</v>
      </c>
      <c r="F774" s="2" t="s">
        <v>4442</v>
      </c>
      <c r="G774" s="2" t="s">
        <v>4443</v>
      </c>
      <c r="H774" s="2" t="s">
        <v>20</v>
      </c>
      <c r="I774" s="2" t="s">
        <v>4444</v>
      </c>
      <c r="J774" s="2" t="s">
        <v>4396</v>
      </c>
      <c r="K774" s="2" t="s">
        <v>1193</v>
      </c>
      <c r="L774" s="2" t="n">
        <v>2</v>
      </c>
      <c r="M774" s="2" t="n">
        <v>58</v>
      </c>
    </row>
    <row r="775" customFormat="false" ht="61.15" hidden="false" customHeight="false" outlineLevel="0" collapsed="false">
      <c r="A775" s="2" t="s">
        <v>4445</v>
      </c>
      <c r="B775" s="2" t="s">
        <v>1185</v>
      </c>
      <c r="C775" s="2" t="s">
        <v>4368</v>
      </c>
      <c r="D775" s="2" t="s">
        <v>4446</v>
      </c>
      <c r="E775" s="2" t="s">
        <v>4447</v>
      </c>
      <c r="F775" s="2" t="s">
        <v>4448</v>
      </c>
      <c r="G775" s="2" t="s">
        <v>4449</v>
      </c>
      <c r="H775" s="2" t="s">
        <v>20</v>
      </c>
      <c r="I775" s="2" t="s">
        <v>4450</v>
      </c>
      <c r="J775" s="2" t="s">
        <v>4396</v>
      </c>
      <c r="K775" s="2" t="s">
        <v>1193</v>
      </c>
      <c r="L775" s="2" t="n">
        <v>2</v>
      </c>
      <c r="M775" s="2" t="n">
        <v>58</v>
      </c>
    </row>
    <row r="776" customFormat="false" ht="61.15" hidden="false" customHeight="false" outlineLevel="0" collapsed="false">
      <c r="A776" s="2" t="s">
        <v>4451</v>
      </c>
      <c r="B776" s="2" t="s">
        <v>1185</v>
      </c>
      <c r="C776" s="2" t="s">
        <v>4368</v>
      </c>
      <c r="D776" s="2" t="s">
        <v>4452</v>
      </c>
      <c r="E776" s="2" t="s">
        <v>4453</v>
      </c>
      <c r="F776" s="2" t="s">
        <v>4454</v>
      </c>
      <c r="G776" s="2" t="s">
        <v>4455</v>
      </c>
      <c r="H776" s="2" t="s">
        <v>28</v>
      </c>
      <c r="I776" s="2" t="s">
        <v>4456</v>
      </c>
      <c r="J776" s="2" t="s">
        <v>4396</v>
      </c>
      <c r="K776" s="2" t="s">
        <v>1193</v>
      </c>
      <c r="L776" s="2" t="n">
        <v>2</v>
      </c>
      <c r="M776" s="2" t="n">
        <v>58</v>
      </c>
    </row>
    <row r="777" customFormat="false" ht="46.25" hidden="false" customHeight="false" outlineLevel="0" collapsed="false">
      <c r="A777" s="2" t="s">
        <v>4457</v>
      </c>
      <c r="B777" s="2" t="s">
        <v>1185</v>
      </c>
      <c r="C777" s="2" t="s">
        <v>4368</v>
      </c>
      <c r="D777" s="2" t="s">
        <v>4458</v>
      </c>
      <c r="E777" s="2" t="s">
        <v>4459</v>
      </c>
      <c r="F777" s="2" t="s">
        <v>4460</v>
      </c>
      <c r="G777" s="2" t="s">
        <v>4461</v>
      </c>
      <c r="H777" s="2" t="s">
        <v>20</v>
      </c>
      <c r="I777" s="2" t="s">
        <v>4462</v>
      </c>
      <c r="J777" s="2" t="s">
        <v>4396</v>
      </c>
      <c r="K777" s="2" t="s">
        <v>1193</v>
      </c>
      <c r="L777" s="2" t="n">
        <v>2</v>
      </c>
      <c r="M777" s="2" t="n">
        <v>58</v>
      </c>
    </row>
    <row r="778" customFormat="false" ht="61.15" hidden="false" customHeight="false" outlineLevel="0" collapsed="false">
      <c r="A778" s="2" t="s">
        <v>4463</v>
      </c>
      <c r="B778" s="2" t="s">
        <v>1185</v>
      </c>
      <c r="C778" s="2" t="s">
        <v>4368</v>
      </c>
      <c r="D778" s="2" t="s">
        <v>4464</v>
      </c>
      <c r="E778" s="2" t="s">
        <v>4465</v>
      </c>
      <c r="F778" s="2" t="s">
        <v>4466</v>
      </c>
      <c r="G778" s="2" t="s">
        <v>4467</v>
      </c>
      <c r="H778" s="2" t="s">
        <v>20</v>
      </c>
      <c r="I778" s="2" t="s">
        <v>4468</v>
      </c>
      <c r="J778" s="2" t="s">
        <v>4396</v>
      </c>
      <c r="K778" s="2" t="s">
        <v>1193</v>
      </c>
      <c r="L778" s="2" t="n">
        <v>3</v>
      </c>
      <c r="M778" s="2" t="n">
        <v>58</v>
      </c>
    </row>
    <row r="779" customFormat="false" ht="61.15" hidden="false" customHeight="false" outlineLevel="0" collapsed="false">
      <c r="A779" s="2" t="s">
        <v>4469</v>
      </c>
      <c r="B779" s="2" t="s">
        <v>1185</v>
      </c>
      <c r="C779" s="2" t="s">
        <v>4368</v>
      </c>
      <c r="D779" s="2" t="s">
        <v>4470</v>
      </c>
      <c r="E779" s="2" t="s">
        <v>4471</v>
      </c>
      <c r="F779" s="2" t="s">
        <v>4472</v>
      </c>
      <c r="G779" s="2" t="s">
        <v>4473</v>
      </c>
      <c r="H779" s="2" t="s">
        <v>20</v>
      </c>
      <c r="I779" s="2" t="s">
        <v>4474</v>
      </c>
      <c r="J779" s="2" t="s">
        <v>4396</v>
      </c>
      <c r="K779" s="2" t="s">
        <v>1193</v>
      </c>
      <c r="L779" s="2" t="n">
        <v>3</v>
      </c>
      <c r="M779" s="2" t="n">
        <v>58</v>
      </c>
    </row>
    <row r="780" customFormat="false" ht="61.15" hidden="false" customHeight="false" outlineLevel="0" collapsed="false">
      <c r="A780" s="2" t="s">
        <v>4475</v>
      </c>
      <c r="B780" s="2" t="s">
        <v>1185</v>
      </c>
      <c r="C780" s="2" t="s">
        <v>4368</v>
      </c>
      <c r="D780" s="2" t="s">
        <v>4476</v>
      </c>
      <c r="E780" s="2" t="s">
        <v>4477</v>
      </c>
      <c r="F780" s="2" t="s">
        <v>4478</v>
      </c>
      <c r="G780" s="2" t="s">
        <v>4479</v>
      </c>
      <c r="H780" s="2" t="s">
        <v>226</v>
      </c>
      <c r="I780" s="2" t="s">
        <v>4480</v>
      </c>
      <c r="J780" s="2" t="s">
        <v>4396</v>
      </c>
      <c r="K780" s="2" t="s">
        <v>1193</v>
      </c>
      <c r="L780" s="2" t="n">
        <v>3</v>
      </c>
      <c r="M780" s="2" t="n">
        <v>58</v>
      </c>
    </row>
    <row r="781" customFormat="false" ht="61.15" hidden="false" customHeight="false" outlineLevel="0" collapsed="false">
      <c r="A781" s="2" t="s">
        <v>4481</v>
      </c>
      <c r="B781" s="2" t="s">
        <v>1185</v>
      </c>
      <c r="C781" s="2" t="s">
        <v>4368</v>
      </c>
      <c r="D781" s="2" t="s">
        <v>4482</v>
      </c>
      <c r="E781" s="2" t="s">
        <v>4483</v>
      </c>
      <c r="F781" s="2" t="s">
        <v>4484</v>
      </c>
      <c r="G781" s="2" t="s">
        <v>4485</v>
      </c>
      <c r="H781" s="2" t="s">
        <v>28</v>
      </c>
      <c r="I781" s="2" t="s">
        <v>4486</v>
      </c>
      <c r="J781" s="2" t="s">
        <v>4396</v>
      </c>
      <c r="K781" s="2" t="s">
        <v>1193</v>
      </c>
      <c r="L781" s="2" t="n">
        <v>3</v>
      </c>
      <c r="M781" s="2" t="n">
        <v>58</v>
      </c>
    </row>
    <row r="782" customFormat="false" ht="76.1" hidden="false" customHeight="false" outlineLevel="0" collapsed="false">
      <c r="A782" s="2" t="s">
        <v>4487</v>
      </c>
      <c r="B782" s="2" t="s">
        <v>1185</v>
      </c>
      <c r="C782" s="2" t="s">
        <v>4368</v>
      </c>
      <c r="D782" s="2" t="s">
        <v>4488</v>
      </c>
      <c r="E782" s="2" t="s">
        <v>4489</v>
      </c>
      <c r="F782" s="2" t="s">
        <v>4490</v>
      </c>
      <c r="G782" s="2" t="s">
        <v>4491</v>
      </c>
      <c r="H782" s="2" t="s">
        <v>20</v>
      </c>
      <c r="I782" s="2" t="s">
        <v>4492</v>
      </c>
      <c r="J782" s="2" t="s">
        <v>4396</v>
      </c>
      <c r="K782" s="2" t="s">
        <v>1193</v>
      </c>
      <c r="L782" s="2" t="n">
        <v>2</v>
      </c>
      <c r="M782" s="2" t="n">
        <v>58</v>
      </c>
    </row>
    <row r="783" customFormat="false" ht="76.1" hidden="false" customHeight="false" outlineLevel="0" collapsed="false">
      <c r="A783" s="2" t="s">
        <v>4493</v>
      </c>
      <c r="B783" s="2" t="s">
        <v>1185</v>
      </c>
      <c r="C783" s="2" t="s">
        <v>4368</v>
      </c>
      <c r="D783" s="2" t="s">
        <v>4494</v>
      </c>
      <c r="E783" s="2" t="s">
        <v>4495</v>
      </c>
      <c r="F783" s="2" t="s">
        <v>4496</v>
      </c>
      <c r="G783" s="2" t="s">
        <v>4497</v>
      </c>
      <c r="H783" s="2" t="s">
        <v>20</v>
      </c>
      <c r="I783" s="2" t="s">
        <v>4498</v>
      </c>
      <c r="J783" s="2" t="s">
        <v>4396</v>
      </c>
      <c r="K783" s="2" t="s">
        <v>1193</v>
      </c>
      <c r="L783" s="2" t="n">
        <v>2</v>
      </c>
      <c r="M783" s="2" t="n">
        <v>58</v>
      </c>
    </row>
    <row r="784" customFormat="false" ht="61.15" hidden="false" customHeight="false" outlineLevel="0" collapsed="false">
      <c r="A784" s="2" t="s">
        <v>4499</v>
      </c>
      <c r="B784" s="2" t="s">
        <v>1185</v>
      </c>
      <c r="C784" s="2" t="s">
        <v>4368</v>
      </c>
      <c r="D784" s="2" t="s">
        <v>4500</v>
      </c>
      <c r="E784" s="2" t="s">
        <v>4501</v>
      </c>
      <c r="F784" s="2" t="s">
        <v>4502</v>
      </c>
      <c r="G784" s="2" t="s">
        <v>4503</v>
      </c>
      <c r="H784" s="2" t="s">
        <v>20</v>
      </c>
      <c r="I784" s="2" t="s">
        <v>4504</v>
      </c>
      <c r="J784" s="2" t="s">
        <v>4396</v>
      </c>
      <c r="K784" s="2" t="s">
        <v>1193</v>
      </c>
      <c r="L784" s="2" t="n">
        <v>2</v>
      </c>
      <c r="M784" s="2" t="n">
        <v>58</v>
      </c>
    </row>
    <row r="785" customFormat="false" ht="61.15" hidden="false" customHeight="false" outlineLevel="0" collapsed="false">
      <c r="A785" s="2" t="s">
        <v>4505</v>
      </c>
      <c r="B785" s="2" t="s">
        <v>1185</v>
      </c>
      <c r="C785" s="2" t="s">
        <v>4368</v>
      </c>
      <c r="D785" s="2" t="s">
        <v>4506</v>
      </c>
      <c r="E785" s="2" t="s">
        <v>4507</v>
      </c>
      <c r="F785" s="2" t="s">
        <v>4508</v>
      </c>
      <c r="G785" s="2" t="s">
        <v>4509</v>
      </c>
      <c r="H785" s="2" t="s">
        <v>226</v>
      </c>
      <c r="I785" s="2" t="s">
        <v>4510</v>
      </c>
      <c r="J785" s="2" t="s">
        <v>4396</v>
      </c>
      <c r="K785" s="2" t="s">
        <v>1193</v>
      </c>
      <c r="L785" s="2" t="n">
        <v>2</v>
      </c>
      <c r="M785" s="2" t="n">
        <v>58</v>
      </c>
    </row>
    <row r="786" customFormat="false" ht="61.15" hidden="false" customHeight="false" outlineLevel="0" collapsed="false">
      <c r="A786" s="2" t="s">
        <v>4511</v>
      </c>
      <c r="B786" s="2" t="s">
        <v>1185</v>
      </c>
      <c r="C786" s="2" t="s">
        <v>4368</v>
      </c>
      <c r="D786" s="2" t="s">
        <v>4512</v>
      </c>
      <c r="E786" s="2" t="s">
        <v>4513</v>
      </c>
      <c r="F786" s="2" t="s">
        <v>4514</v>
      </c>
      <c r="G786" s="2" t="s">
        <v>4515</v>
      </c>
      <c r="H786" s="2" t="s">
        <v>20</v>
      </c>
      <c r="I786" s="2" t="s">
        <v>4516</v>
      </c>
      <c r="J786" s="2" t="s">
        <v>4396</v>
      </c>
      <c r="K786" s="2" t="s">
        <v>1193</v>
      </c>
      <c r="L786" s="2" t="n">
        <v>1</v>
      </c>
      <c r="M786" s="2" t="n">
        <v>58</v>
      </c>
    </row>
    <row r="787" customFormat="false" ht="61.15" hidden="false" customHeight="false" outlineLevel="0" collapsed="false">
      <c r="A787" s="2" t="s">
        <v>4517</v>
      </c>
      <c r="B787" s="2" t="s">
        <v>1185</v>
      </c>
      <c r="C787" s="2" t="s">
        <v>4368</v>
      </c>
      <c r="D787" s="2" t="s">
        <v>4518</v>
      </c>
      <c r="E787" s="2" t="s">
        <v>4519</v>
      </c>
      <c r="F787" s="2" t="s">
        <v>4520</v>
      </c>
      <c r="G787" s="2" t="s">
        <v>4521</v>
      </c>
      <c r="H787" s="2" t="s">
        <v>20</v>
      </c>
      <c r="I787" s="2" t="s">
        <v>4522</v>
      </c>
      <c r="J787" s="2" t="s">
        <v>4396</v>
      </c>
      <c r="K787" s="2" t="s">
        <v>1193</v>
      </c>
      <c r="L787" s="2" t="n">
        <v>2</v>
      </c>
      <c r="M787" s="2" t="n">
        <v>58</v>
      </c>
    </row>
    <row r="788" customFormat="false" ht="46.25" hidden="false" customHeight="false" outlineLevel="0" collapsed="false">
      <c r="A788" s="2" t="s">
        <v>4523</v>
      </c>
      <c r="B788" s="2" t="s">
        <v>1185</v>
      </c>
      <c r="C788" s="2" t="s">
        <v>4368</v>
      </c>
      <c r="D788" s="2" t="s">
        <v>4524</v>
      </c>
      <c r="E788" s="2" t="s">
        <v>4525</v>
      </c>
      <c r="F788" s="2" t="s">
        <v>4526</v>
      </c>
      <c r="G788" s="2" t="s">
        <v>4527</v>
      </c>
      <c r="H788" s="2" t="s">
        <v>20</v>
      </c>
      <c r="I788" s="2" t="s">
        <v>4528</v>
      </c>
      <c r="J788" s="2" t="s">
        <v>4396</v>
      </c>
      <c r="K788" s="2" t="s">
        <v>1193</v>
      </c>
      <c r="L788" s="2" t="n">
        <v>2</v>
      </c>
      <c r="M788" s="2" t="n">
        <v>58</v>
      </c>
    </row>
    <row r="789" customFormat="false" ht="61.15" hidden="false" customHeight="false" outlineLevel="0" collapsed="false">
      <c r="A789" s="2" t="s">
        <v>4529</v>
      </c>
      <c r="B789" s="2" t="s">
        <v>1185</v>
      </c>
      <c r="C789" s="2" t="s">
        <v>4368</v>
      </c>
      <c r="D789" s="2" t="s">
        <v>4530</v>
      </c>
      <c r="E789" s="2" t="s">
        <v>4531</v>
      </c>
      <c r="F789" s="2" t="s">
        <v>4532</v>
      </c>
      <c r="G789" s="2" t="s">
        <v>4533</v>
      </c>
      <c r="H789" s="2" t="s">
        <v>28</v>
      </c>
      <c r="I789" s="2" t="s">
        <v>4534</v>
      </c>
      <c r="J789" s="2" t="s">
        <v>4396</v>
      </c>
      <c r="K789" s="2" t="s">
        <v>1193</v>
      </c>
      <c r="L789" s="2" t="n">
        <v>2</v>
      </c>
      <c r="M789" s="2" t="n">
        <v>58</v>
      </c>
    </row>
    <row r="790" customFormat="false" ht="61.15" hidden="false" customHeight="false" outlineLevel="0" collapsed="false">
      <c r="A790" s="2" t="s">
        <v>4535</v>
      </c>
      <c r="B790" s="2" t="s">
        <v>1185</v>
      </c>
      <c r="C790" s="2" t="s">
        <v>4368</v>
      </c>
      <c r="D790" s="2" t="s">
        <v>4536</v>
      </c>
      <c r="E790" s="2" t="s">
        <v>4537</v>
      </c>
      <c r="F790" s="2" t="s">
        <v>4538</v>
      </c>
      <c r="G790" s="2" t="s">
        <v>4539</v>
      </c>
      <c r="H790" s="2" t="s">
        <v>20</v>
      </c>
      <c r="I790" s="2" t="s">
        <v>4540</v>
      </c>
      <c r="J790" s="2" t="s">
        <v>4541</v>
      </c>
      <c r="K790" s="2" t="s">
        <v>1193</v>
      </c>
      <c r="L790" s="2" t="n">
        <v>3</v>
      </c>
      <c r="M790" s="2" t="n">
        <v>58</v>
      </c>
    </row>
    <row r="791" customFormat="false" ht="76.1" hidden="false" customHeight="false" outlineLevel="0" collapsed="false">
      <c r="A791" s="2" t="s">
        <v>4542</v>
      </c>
      <c r="B791" s="2" t="s">
        <v>1185</v>
      </c>
      <c r="C791" s="2" t="s">
        <v>4368</v>
      </c>
      <c r="D791" s="2" t="s">
        <v>4543</v>
      </c>
      <c r="E791" s="2" t="s">
        <v>4544</v>
      </c>
      <c r="F791" s="2" t="s">
        <v>4545</v>
      </c>
      <c r="G791" s="2" t="s">
        <v>4546</v>
      </c>
      <c r="H791" s="2" t="s">
        <v>20</v>
      </c>
      <c r="I791" s="2" t="s">
        <v>4547</v>
      </c>
      <c r="J791" s="2" t="s">
        <v>4396</v>
      </c>
      <c r="K791" s="2" t="s">
        <v>1193</v>
      </c>
      <c r="L791" s="2" t="n">
        <v>2</v>
      </c>
      <c r="M791" s="2" t="n">
        <v>58</v>
      </c>
    </row>
    <row r="792" customFormat="false" ht="76.1" hidden="false" customHeight="false" outlineLevel="0" collapsed="false">
      <c r="A792" s="2" t="s">
        <v>4548</v>
      </c>
      <c r="B792" s="2" t="s">
        <v>1185</v>
      </c>
      <c r="C792" s="2" t="s">
        <v>4368</v>
      </c>
      <c r="D792" s="2" t="s">
        <v>4549</v>
      </c>
      <c r="E792" s="2" t="s">
        <v>1831</v>
      </c>
      <c r="F792" s="2" t="s">
        <v>4550</v>
      </c>
      <c r="G792" s="2" t="s">
        <v>4551</v>
      </c>
      <c r="H792" s="2" t="s">
        <v>20</v>
      </c>
      <c r="I792" s="2" t="s">
        <v>4552</v>
      </c>
      <c r="J792" s="2" t="s">
        <v>4368</v>
      </c>
      <c r="K792" s="2" t="s">
        <v>1193</v>
      </c>
      <c r="L792" s="2" t="n">
        <v>2</v>
      </c>
      <c r="M792" s="2" t="n">
        <v>74</v>
      </c>
    </row>
    <row r="793" customFormat="false" ht="46.25" hidden="false" customHeight="false" outlineLevel="0" collapsed="false">
      <c r="A793" s="2" t="s">
        <v>4553</v>
      </c>
      <c r="B793" s="2" t="s">
        <v>1185</v>
      </c>
      <c r="C793" s="2" t="s">
        <v>4368</v>
      </c>
      <c r="D793" s="2" t="s">
        <v>4554</v>
      </c>
      <c r="E793" s="2" t="s">
        <v>4555</v>
      </c>
      <c r="F793" s="2" t="s">
        <v>4556</v>
      </c>
      <c r="G793" s="2" t="s">
        <v>4557</v>
      </c>
      <c r="H793" s="2" t="s">
        <v>20</v>
      </c>
      <c r="I793" s="2" t="s">
        <v>4558</v>
      </c>
      <c r="J793" s="2" t="s">
        <v>4368</v>
      </c>
      <c r="K793" s="2" t="s">
        <v>1193</v>
      </c>
      <c r="L793" s="2" t="n">
        <v>2</v>
      </c>
      <c r="M793" s="2" t="n">
        <v>57</v>
      </c>
    </row>
    <row r="794" customFormat="false" ht="61.15" hidden="false" customHeight="false" outlineLevel="0" collapsed="false">
      <c r="A794" s="2" t="s">
        <v>4559</v>
      </c>
      <c r="B794" s="2" t="s">
        <v>1185</v>
      </c>
      <c r="C794" s="2" t="s">
        <v>4368</v>
      </c>
      <c r="D794" s="2" t="s">
        <v>4560</v>
      </c>
      <c r="E794" s="2" t="s">
        <v>4561</v>
      </c>
      <c r="F794" s="2" t="s">
        <v>4562</v>
      </c>
      <c r="G794" s="2" t="s">
        <v>4563</v>
      </c>
      <c r="H794" s="2" t="s">
        <v>20</v>
      </c>
      <c r="I794" s="2" t="s">
        <v>4564</v>
      </c>
      <c r="J794" s="2" t="s">
        <v>4368</v>
      </c>
      <c r="K794" s="2" t="s">
        <v>1193</v>
      </c>
      <c r="L794" s="2" t="n">
        <v>2</v>
      </c>
      <c r="M794" s="2" t="n">
        <v>58</v>
      </c>
    </row>
    <row r="795" customFormat="false" ht="61.15" hidden="false" customHeight="false" outlineLevel="0" collapsed="false">
      <c r="A795" s="2" t="s">
        <v>4565</v>
      </c>
      <c r="B795" s="2" t="s">
        <v>1185</v>
      </c>
      <c r="C795" s="2" t="s">
        <v>4368</v>
      </c>
      <c r="D795" s="2" t="s">
        <v>4566</v>
      </c>
      <c r="E795" s="2" t="s">
        <v>4567</v>
      </c>
      <c r="F795" s="2" t="s">
        <v>4568</v>
      </c>
      <c r="G795" s="2" t="s">
        <v>4569</v>
      </c>
      <c r="H795" s="2" t="s">
        <v>20</v>
      </c>
      <c r="I795" s="2" t="s">
        <v>4570</v>
      </c>
      <c r="J795" s="2" t="s">
        <v>4396</v>
      </c>
      <c r="K795" s="2" t="s">
        <v>1193</v>
      </c>
      <c r="L795" s="2" t="n">
        <v>2</v>
      </c>
      <c r="M795" s="2" t="n">
        <v>58</v>
      </c>
    </row>
    <row r="796" customFormat="false" ht="61.15" hidden="false" customHeight="false" outlineLevel="0" collapsed="false">
      <c r="A796" s="2" t="s">
        <v>4571</v>
      </c>
      <c r="B796" s="2" t="s">
        <v>1185</v>
      </c>
      <c r="C796" s="2" t="s">
        <v>4368</v>
      </c>
      <c r="D796" s="2" t="s">
        <v>4572</v>
      </c>
      <c r="E796" s="2" t="s">
        <v>4573</v>
      </c>
      <c r="F796" s="2" t="s">
        <v>4574</v>
      </c>
      <c r="G796" s="2" t="s">
        <v>4575</v>
      </c>
      <c r="H796" s="2" t="s">
        <v>20</v>
      </c>
      <c r="I796" s="2" t="s">
        <v>4576</v>
      </c>
      <c r="J796" s="2" t="s">
        <v>4368</v>
      </c>
      <c r="K796" s="2" t="s">
        <v>1193</v>
      </c>
      <c r="L796" s="2" t="n">
        <v>2</v>
      </c>
      <c r="M796" s="2" t="n">
        <v>58</v>
      </c>
    </row>
    <row r="797" customFormat="false" ht="61.15" hidden="false" customHeight="false" outlineLevel="0" collapsed="false">
      <c r="A797" s="2" t="s">
        <v>4577</v>
      </c>
      <c r="B797" s="2" t="s">
        <v>1185</v>
      </c>
      <c r="C797" s="2" t="s">
        <v>4368</v>
      </c>
      <c r="D797" s="2" t="s">
        <v>4578</v>
      </c>
      <c r="E797" s="2" t="s">
        <v>4579</v>
      </c>
      <c r="F797" s="2" t="s">
        <v>4580</v>
      </c>
      <c r="G797" s="2" t="s">
        <v>4581</v>
      </c>
      <c r="H797" s="2" t="s">
        <v>20</v>
      </c>
      <c r="I797" s="2" t="s">
        <v>4582</v>
      </c>
      <c r="J797" s="2" t="s">
        <v>4368</v>
      </c>
      <c r="K797" s="2" t="s">
        <v>1193</v>
      </c>
      <c r="L797" s="2" t="n">
        <v>2</v>
      </c>
      <c r="M797" s="2" t="n">
        <v>57</v>
      </c>
    </row>
    <row r="798" customFormat="false" ht="76.1" hidden="false" customHeight="false" outlineLevel="0" collapsed="false">
      <c r="A798" s="2" t="s">
        <v>4583</v>
      </c>
      <c r="B798" s="2" t="s">
        <v>1185</v>
      </c>
      <c r="C798" s="2" t="s">
        <v>4368</v>
      </c>
      <c r="D798" s="2" t="s">
        <v>4584</v>
      </c>
      <c r="E798" s="2" t="s">
        <v>2356</v>
      </c>
      <c r="F798" s="2" t="s">
        <v>4585</v>
      </c>
      <c r="G798" s="2" t="s">
        <v>1831</v>
      </c>
      <c r="H798" s="2" t="s">
        <v>28</v>
      </c>
      <c r="I798" s="2" t="s">
        <v>4586</v>
      </c>
      <c r="J798" s="2" t="s">
        <v>4368</v>
      </c>
      <c r="K798" s="2" t="s">
        <v>1193</v>
      </c>
      <c r="L798" s="2" t="n">
        <v>3</v>
      </c>
      <c r="M798" s="2" t="n">
        <v>58</v>
      </c>
    </row>
    <row r="799" customFormat="false" ht="61.15" hidden="false" customHeight="false" outlineLevel="0" collapsed="false">
      <c r="A799" s="2" t="s">
        <v>4587</v>
      </c>
      <c r="B799" s="2" t="s">
        <v>1185</v>
      </c>
      <c r="C799" s="2" t="s">
        <v>4368</v>
      </c>
      <c r="D799" s="2" t="s">
        <v>4588</v>
      </c>
      <c r="E799" s="2" t="s">
        <v>4589</v>
      </c>
      <c r="F799" s="2" t="s">
        <v>4590</v>
      </c>
      <c r="G799" s="2" t="s">
        <v>4591</v>
      </c>
      <c r="H799" s="2" t="s">
        <v>20</v>
      </c>
      <c r="I799" s="2" t="s">
        <v>4592</v>
      </c>
      <c r="J799" s="2" t="s">
        <v>4368</v>
      </c>
      <c r="K799" s="2" t="s">
        <v>1193</v>
      </c>
      <c r="L799" s="2" t="n">
        <v>2</v>
      </c>
      <c r="M799" s="2" t="n">
        <v>57</v>
      </c>
    </row>
    <row r="800" customFormat="false" ht="61.15" hidden="false" customHeight="false" outlineLevel="0" collapsed="false">
      <c r="A800" s="2" t="s">
        <v>4593</v>
      </c>
      <c r="B800" s="2" t="s">
        <v>1185</v>
      </c>
      <c r="C800" s="2" t="s">
        <v>4368</v>
      </c>
      <c r="D800" s="2" t="s">
        <v>4594</v>
      </c>
      <c r="E800" s="2" t="s">
        <v>2958</v>
      </c>
      <c r="F800" s="2" t="s">
        <v>4595</v>
      </c>
      <c r="G800" s="2" t="s">
        <v>4596</v>
      </c>
      <c r="H800" s="2" t="s">
        <v>28</v>
      </c>
      <c r="I800" s="2" t="s">
        <v>4597</v>
      </c>
      <c r="J800" s="2" t="s">
        <v>4368</v>
      </c>
      <c r="K800" s="2" t="s">
        <v>1193</v>
      </c>
      <c r="L800" s="2" t="n">
        <v>2</v>
      </c>
      <c r="M800" s="2" t="n">
        <v>57</v>
      </c>
    </row>
    <row r="801" customFormat="false" ht="61.15" hidden="false" customHeight="false" outlineLevel="0" collapsed="false">
      <c r="A801" s="2" t="s">
        <v>4598</v>
      </c>
      <c r="B801" s="2" t="s">
        <v>1185</v>
      </c>
      <c r="C801" s="2" t="s">
        <v>4368</v>
      </c>
      <c r="D801" s="2" t="s">
        <v>4599</v>
      </c>
      <c r="E801" s="2" t="s">
        <v>4600</v>
      </c>
      <c r="F801" s="2" t="s">
        <v>4601</v>
      </c>
      <c r="G801" s="2" t="s">
        <v>4602</v>
      </c>
      <c r="H801" s="2" t="s">
        <v>20</v>
      </c>
      <c r="I801" s="2" t="s">
        <v>4603</v>
      </c>
      <c r="J801" s="2" t="s">
        <v>4368</v>
      </c>
      <c r="K801" s="2" t="s">
        <v>1193</v>
      </c>
      <c r="L801" s="2" t="n">
        <v>2</v>
      </c>
      <c r="M801" s="2" t="n">
        <v>58</v>
      </c>
    </row>
    <row r="802" customFormat="false" ht="61.15" hidden="false" customHeight="false" outlineLevel="0" collapsed="false">
      <c r="A802" s="2" t="s">
        <v>4604</v>
      </c>
      <c r="B802" s="2" t="s">
        <v>1185</v>
      </c>
      <c r="C802" s="2" t="s">
        <v>4368</v>
      </c>
      <c r="D802" s="2" t="s">
        <v>4605</v>
      </c>
      <c r="E802" s="2" t="s">
        <v>4606</v>
      </c>
      <c r="F802" s="2" t="s">
        <v>4607</v>
      </c>
      <c r="G802" s="2" t="s">
        <v>4608</v>
      </c>
      <c r="H802" s="2" t="s">
        <v>20</v>
      </c>
      <c r="I802" s="2" t="s">
        <v>4609</v>
      </c>
      <c r="J802" s="2" t="s">
        <v>4368</v>
      </c>
      <c r="K802" s="2" t="s">
        <v>1193</v>
      </c>
      <c r="L802" s="2" t="n">
        <v>2</v>
      </c>
      <c r="M802" s="2" t="n">
        <v>58</v>
      </c>
    </row>
    <row r="803" customFormat="false" ht="61.15" hidden="false" customHeight="false" outlineLevel="0" collapsed="false">
      <c r="A803" s="2" t="s">
        <v>4610</v>
      </c>
      <c r="B803" s="2" t="s">
        <v>1185</v>
      </c>
      <c r="C803" s="2" t="s">
        <v>4368</v>
      </c>
      <c r="D803" s="2" t="s">
        <v>4611</v>
      </c>
      <c r="E803" s="2" t="s">
        <v>4612</v>
      </c>
      <c r="F803" s="2" t="s">
        <v>4613</v>
      </c>
      <c r="G803" s="2" t="s">
        <v>4614</v>
      </c>
      <c r="H803" s="2" t="s">
        <v>20</v>
      </c>
      <c r="I803" s="2" t="s">
        <v>4615</v>
      </c>
      <c r="J803" s="2" t="s">
        <v>4368</v>
      </c>
      <c r="K803" s="2" t="s">
        <v>1193</v>
      </c>
      <c r="L803" s="2" t="n">
        <v>2</v>
      </c>
      <c r="M803" s="2" t="n">
        <v>58</v>
      </c>
    </row>
    <row r="804" customFormat="false" ht="46.25" hidden="false" customHeight="false" outlineLevel="0" collapsed="false">
      <c r="A804" s="2" t="s">
        <v>4616</v>
      </c>
      <c r="B804" s="2" t="s">
        <v>1185</v>
      </c>
      <c r="C804" s="2" t="s">
        <v>4368</v>
      </c>
      <c r="D804" s="2" t="s">
        <v>4617</v>
      </c>
      <c r="E804" s="2" t="s">
        <v>4618</v>
      </c>
      <c r="F804" s="2" t="s">
        <v>4619</v>
      </c>
      <c r="G804" s="2" t="s">
        <v>4620</v>
      </c>
      <c r="H804" s="2" t="s">
        <v>20</v>
      </c>
      <c r="I804" s="2" t="s">
        <v>4621</v>
      </c>
      <c r="J804" s="2" t="s">
        <v>4368</v>
      </c>
      <c r="K804" s="2" t="s">
        <v>1193</v>
      </c>
      <c r="L804" s="2" t="n">
        <v>2</v>
      </c>
      <c r="M804" s="2" t="n">
        <v>58</v>
      </c>
    </row>
    <row r="805" customFormat="false" ht="61.15" hidden="false" customHeight="false" outlineLevel="0" collapsed="false">
      <c r="A805" s="2" t="s">
        <v>4622</v>
      </c>
      <c r="B805" s="2" t="s">
        <v>1185</v>
      </c>
      <c r="C805" s="2" t="s">
        <v>4368</v>
      </c>
      <c r="D805" s="2" t="s">
        <v>4623</v>
      </c>
      <c r="E805" s="2" t="s">
        <v>4624</v>
      </c>
      <c r="F805" s="2" t="s">
        <v>4625</v>
      </c>
      <c r="G805" s="2" t="s">
        <v>4626</v>
      </c>
      <c r="H805" s="2" t="s">
        <v>20</v>
      </c>
      <c r="I805" s="2" t="s">
        <v>4627</v>
      </c>
      <c r="J805" s="2" t="s">
        <v>4368</v>
      </c>
      <c r="K805" s="2" t="s">
        <v>1193</v>
      </c>
      <c r="L805" s="2" t="n">
        <v>2</v>
      </c>
      <c r="M805" s="2" t="n">
        <v>58</v>
      </c>
    </row>
    <row r="806" customFormat="false" ht="76.1" hidden="false" customHeight="false" outlineLevel="0" collapsed="false">
      <c r="A806" s="2" t="s">
        <v>4628</v>
      </c>
      <c r="B806" s="2" t="s">
        <v>1185</v>
      </c>
      <c r="C806" s="2" t="s">
        <v>4368</v>
      </c>
      <c r="D806" s="2" t="s">
        <v>4629</v>
      </c>
      <c r="E806" s="2" t="s">
        <v>1831</v>
      </c>
      <c r="F806" s="2" t="s">
        <v>4550</v>
      </c>
      <c r="G806" s="2" t="s">
        <v>4630</v>
      </c>
      <c r="H806" s="2" t="s">
        <v>20</v>
      </c>
      <c r="I806" s="2" t="s">
        <v>4631</v>
      </c>
      <c r="J806" s="2" t="s">
        <v>1854</v>
      </c>
      <c r="K806" s="2" t="s">
        <v>1193</v>
      </c>
      <c r="L806" s="2" t="n">
        <v>2</v>
      </c>
      <c r="M806" s="2" t="n">
        <v>31</v>
      </c>
    </row>
    <row r="807" customFormat="false" ht="61.15" hidden="false" customHeight="false" outlineLevel="0" collapsed="false">
      <c r="A807" s="2" t="s">
        <v>4632</v>
      </c>
      <c r="B807" s="2" t="s">
        <v>1185</v>
      </c>
      <c r="C807" s="2" t="s">
        <v>4368</v>
      </c>
      <c r="D807" s="2" t="s">
        <v>4633</v>
      </c>
      <c r="E807" s="2" t="s">
        <v>4634</v>
      </c>
      <c r="F807" s="2" t="s">
        <v>4635</v>
      </c>
      <c r="G807" s="2" t="s">
        <v>4636</v>
      </c>
      <c r="H807" s="2" t="s">
        <v>20</v>
      </c>
      <c r="I807" s="2" t="s">
        <v>4637</v>
      </c>
      <c r="J807" s="2" t="s">
        <v>4368</v>
      </c>
      <c r="K807" s="2" t="s">
        <v>1193</v>
      </c>
      <c r="L807" s="2" t="n">
        <v>3</v>
      </c>
      <c r="M807" s="2" t="n">
        <v>58</v>
      </c>
    </row>
    <row r="808" customFormat="false" ht="76.1" hidden="false" customHeight="false" outlineLevel="0" collapsed="false">
      <c r="A808" s="2" t="s">
        <v>4638</v>
      </c>
      <c r="B808" s="2" t="s">
        <v>1185</v>
      </c>
      <c r="C808" s="2" t="s">
        <v>4368</v>
      </c>
      <c r="D808" s="2" t="s">
        <v>4639</v>
      </c>
      <c r="E808" s="2" t="s">
        <v>4640</v>
      </c>
      <c r="F808" s="2" t="s">
        <v>4641</v>
      </c>
      <c r="G808" s="2" t="s">
        <v>4642</v>
      </c>
      <c r="H808" s="2" t="s">
        <v>20</v>
      </c>
      <c r="I808" s="2" t="s">
        <v>4643</v>
      </c>
      <c r="J808" s="2" t="s">
        <v>4368</v>
      </c>
      <c r="K808" s="2" t="s">
        <v>1193</v>
      </c>
      <c r="L808" s="2" t="n">
        <v>3</v>
      </c>
      <c r="M808" s="2" t="n">
        <v>58</v>
      </c>
    </row>
    <row r="809" customFormat="false" ht="76.1" hidden="false" customHeight="false" outlineLevel="0" collapsed="false">
      <c r="A809" s="2" t="s">
        <v>4644</v>
      </c>
      <c r="B809" s="2" t="s">
        <v>1185</v>
      </c>
      <c r="C809" s="2" t="s">
        <v>4368</v>
      </c>
      <c r="D809" s="2" t="s">
        <v>4645</v>
      </c>
      <c r="E809" s="2" t="s">
        <v>4646</v>
      </c>
      <c r="F809" s="2" t="s">
        <v>4647</v>
      </c>
      <c r="G809" s="2" t="s">
        <v>4648</v>
      </c>
      <c r="H809" s="2" t="s">
        <v>20</v>
      </c>
      <c r="I809" s="2" t="s">
        <v>4649</v>
      </c>
      <c r="J809" s="2" t="s">
        <v>4368</v>
      </c>
      <c r="K809" s="2" t="s">
        <v>1193</v>
      </c>
      <c r="L809" s="2" t="n">
        <v>3</v>
      </c>
      <c r="M809" s="2" t="n">
        <v>58</v>
      </c>
    </row>
    <row r="810" customFormat="false" ht="76.1" hidden="false" customHeight="false" outlineLevel="0" collapsed="false">
      <c r="A810" s="2" t="s">
        <v>4650</v>
      </c>
      <c r="B810" s="2" t="s">
        <v>1185</v>
      </c>
      <c r="C810" s="2" t="s">
        <v>4368</v>
      </c>
      <c r="D810" s="2" t="s">
        <v>4651</v>
      </c>
      <c r="E810" s="2" t="s">
        <v>4652</v>
      </c>
      <c r="F810" s="2" t="s">
        <v>4653</v>
      </c>
      <c r="G810" s="2" t="s">
        <v>4654</v>
      </c>
      <c r="H810" s="2" t="s">
        <v>20</v>
      </c>
      <c r="I810" s="2" t="s">
        <v>4655</v>
      </c>
      <c r="J810" s="2" t="s">
        <v>4368</v>
      </c>
      <c r="K810" s="2" t="s">
        <v>1193</v>
      </c>
      <c r="L810" s="2" t="n">
        <v>3</v>
      </c>
      <c r="M810" s="2" t="n">
        <v>57</v>
      </c>
    </row>
    <row r="811" customFormat="false" ht="76.1" hidden="false" customHeight="false" outlineLevel="0" collapsed="false">
      <c r="A811" s="2" t="s">
        <v>4656</v>
      </c>
      <c r="B811" s="2" t="s">
        <v>1185</v>
      </c>
      <c r="C811" s="2" t="s">
        <v>4368</v>
      </c>
      <c r="D811" s="2" t="s">
        <v>4657</v>
      </c>
      <c r="E811" s="2" t="s">
        <v>1831</v>
      </c>
      <c r="F811" s="2" t="s">
        <v>4550</v>
      </c>
      <c r="G811" s="2" t="s">
        <v>4551</v>
      </c>
      <c r="H811" s="2" t="s">
        <v>20</v>
      </c>
      <c r="I811" s="2" t="s">
        <v>4658</v>
      </c>
      <c r="J811" s="2" t="s">
        <v>4368</v>
      </c>
      <c r="K811" s="2" t="s">
        <v>1193</v>
      </c>
      <c r="L811" s="2" t="n">
        <v>3</v>
      </c>
      <c r="M811" s="2" t="n">
        <v>58</v>
      </c>
    </row>
    <row r="812" customFormat="false" ht="91" hidden="false" customHeight="false" outlineLevel="0" collapsed="false">
      <c r="A812" s="2" t="s">
        <v>4659</v>
      </c>
      <c r="B812" s="2" t="s">
        <v>1185</v>
      </c>
      <c r="C812" s="2" t="s">
        <v>4368</v>
      </c>
      <c r="D812" s="2" t="s">
        <v>4660</v>
      </c>
      <c r="E812" s="2" t="s">
        <v>4661</v>
      </c>
      <c r="F812" s="2" t="s">
        <v>4662</v>
      </c>
      <c r="G812" s="2" t="s">
        <v>4663</v>
      </c>
      <c r="H812" s="2" t="s">
        <v>20</v>
      </c>
      <c r="I812" s="2" t="s">
        <v>4664</v>
      </c>
      <c r="J812" s="2" t="s">
        <v>4368</v>
      </c>
      <c r="K812" s="2" t="s">
        <v>1193</v>
      </c>
      <c r="L812" s="2" t="n">
        <v>3</v>
      </c>
      <c r="M812" s="2" t="n">
        <v>58</v>
      </c>
    </row>
    <row r="813" customFormat="false" ht="120.85" hidden="false" customHeight="false" outlineLevel="0" collapsed="false">
      <c r="A813" s="2" t="s">
        <v>4665</v>
      </c>
      <c r="B813" s="2" t="s">
        <v>1185</v>
      </c>
      <c r="C813" s="2" t="s">
        <v>4666</v>
      </c>
      <c r="D813" s="2" t="s">
        <v>4667</v>
      </c>
      <c r="E813" s="2" t="s">
        <v>4668</v>
      </c>
      <c r="F813" s="2" t="s">
        <v>4669</v>
      </c>
      <c r="G813" s="2" t="s">
        <v>4670</v>
      </c>
      <c r="H813" s="2" t="s">
        <v>28</v>
      </c>
      <c r="I813" s="2" t="s">
        <v>4671</v>
      </c>
      <c r="J813" s="2" t="s">
        <v>4666</v>
      </c>
      <c r="K813" s="2" t="s">
        <v>1193</v>
      </c>
      <c r="L813" s="2" t="n">
        <v>4</v>
      </c>
      <c r="M813" s="2" t="n">
        <v>61</v>
      </c>
    </row>
    <row r="814" customFormat="false" ht="76.1" hidden="false" customHeight="false" outlineLevel="0" collapsed="false">
      <c r="A814" s="2" t="s">
        <v>4672</v>
      </c>
      <c r="B814" s="2" t="s">
        <v>1185</v>
      </c>
      <c r="C814" s="2" t="s">
        <v>4666</v>
      </c>
      <c r="D814" s="2" t="s">
        <v>4673</v>
      </c>
      <c r="E814" s="2" t="s">
        <v>4674</v>
      </c>
      <c r="F814" s="2" t="s">
        <v>4675</v>
      </c>
      <c r="G814" s="2" t="s">
        <v>4676</v>
      </c>
      <c r="H814" s="2" t="s">
        <v>226</v>
      </c>
      <c r="I814" s="2" t="s">
        <v>4677</v>
      </c>
      <c r="J814" s="2" t="s">
        <v>4666</v>
      </c>
      <c r="K814" s="2" t="s">
        <v>1193</v>
      </c>
      <c r="L814" s="2" t="n">
        <v>4</v>
      </c>
      <c r="M814" s="2" t="n">
        <v>59</v>
      </c>
    </row>
    <row r="815" customFormat="false" ht="46.25" hidden="false" customHeight="false" outlineLevel="0" collapsed="false">
      <c r="A815" s="2" t="s">
        <v>4678</v>
      </c>
      <c r="B815" s="2" t="s">
        <v>1185</v>
      </c>
      <c r="C815" s="2" t="s">
        <v>4666</v>
      </c>
      <c r="D815" s="2" t="s">
        <v>4679</v>
      </c>
      <c r="E815" s="2" t="s">
        <v>4680</v>
      </c>
      <c r="F815" s="2" t="s">
        <v>4681</v>
      </c>
      <c r="G815" s="2" t="s">
        <v>4682</v>
      </c>
      <c r="H815" s="2" t="s">
        <v>28</v>
      </c>
      <c r="I815" s="2" t="s">
        <v>4683</v>
      </c>
      <c r="J815" s="2" t="s">
        <v>4666</v>
      </c>
      <c r="K815" s="2" t="s">
        <v>1193</v>
      </c>
      <c r="L815" s="2" t="n">
        <v>1</v>
      </c>
      <c r="M815" s="2" t="n">
        <v>59</v>
      </c>
    </row>
    <row r="816" customFormat="false" ht="91" hidden="false" customHeight="false" outlineLevel="0" collapsed="false">
      <c r="A816" s="2" t="s">
        <v>4684</v>
      </c>
      <c r="B816" s="2" t="s">
        <v>1185</v>
      </c>
      <c r="C816" s="2" t="s">
        <v>4666</v>
      </c>
      <c r="D816" s="2" t="s">
        <v>4685</v>
      </c>
      <c r="E816" s="2" t="s">
        <v>4686</v>
      </c>
      <c r="F816" s="2" t="s">
        <v>2940</v>
      </c>
      <c r="G816" s="2" t="s">
        <v>4687</v>
      </c>
      <c r="H816" s="2" t="s">
        <v>28</v>
      </c>
      <c r="I816" s="2" t="s">
        <v>4688</v>
      </c>
      <c r="J816" s="2" t="s">
        <v>4666</v>
      </c>
      <c r="K816" s="2" t="s">
        <v>1193</v>
      </c>
      <c r="L816" s="2" t="n">
        <v>2</v>
      </c>
      <c r="M816" s="2" t="n">
        <v>59</v>
      </c>
    </row>
    <row r="817" customFormat="false" ht="61.15" hidden="false" customHeight="false" outlineLevel="0" collapsed="false">
      <c r="A817" s="2" t="s">
        <v>4689</v>
      </c>
      <c r="B817" s="2" t="s">
        <v>1185</v>
      </c>
      <c r="C817" s="2" t="s">
        <v>4666</v>
      </c>
      <c r="D817" s="2" t="s">
        <v>4690</v>
      </c>
      <c r="E817" s="2" t="s">
        <v>4691</v>
      </c>
      <c r="F817" s="2" t="s">
        <v>4692</v>
      </c>
      <c r="G817" s="2" t="s">
        <v>4693</v>
      </c>
      <c r="H817" s="2" t="s">
        <v>20</v>
      </c>
      <c r="I817" s="2" t="s">
        <v>4694</v>
      </c>
      <c r="J817" s="2" t="s">
        <v>4666</v>
      </c>
      <c r="K817" s="2" t="s">
        <v>1193</v>
      </c>
      <c r="L817" s="2" t="n">
        <v>4</v>
      </c>
      <c r="M817" s="2" t="n">
        <v>59</v>
      </c>
    </row>
    <row r="818" customFormat="false" ht="31.3" hidden="false" customHeight="false" outlineLevel="0" collapsed="false">
      <c r="A818" s="2" t="s">
        <v>4695</v>
      </c>
      <c r="B818" s="2" t="s">
        <v>1185</v>
      </c>
      <c r="C818" s="2" t="s">
        <v>4666</v>
      </c>
      <c r="D818" s="2" t="s">
        <v>4696</v>
      </c>
      <c r="E818" s="2" t="s">
        <v>4697</v>
      </c>
      <c r="F818" s="2" t="s">
        <v>4698</v>
      </c>
      <c r="G818" s="2" t="s">
        <v>4699</v>
      </c>
      <c r="H818" s="2" t="s">
        <v>20</v>
      </c>
      <c r="I818" s="2" t="s">
        <v>4700</v>
      </c>
      <c r="J818" s="2" t="s">
        <v>4701</v>
      </c>
      <c r="K818" s="2" t="s">
        <v>1193</v>
      </c>
      <c r="L818" s="2" t="n">
        <v>1</v>
      </c>
      <c r="M818" s="2" t="n">
        <v>59</v>
      </c>
    </row>
    <row r="819" customFormat="false" ht="76.1" hidden="false" customHeight="false" outlineLevel="0" collapsed="false">
      <c r="A819" s="2" t="s">
        <v>4702</v>
      </c>
      <c r="B819" s="2" t="s">
        <v>1185</v>
      </c>
      <c r="C819" s="2" t="s">
        <v>4666</v>
      </c>
      <c r="D819" s="2" t="s">
        <v>4703</v>
      </c>
      <c r="E819" s="2" t="s">
        <v>4704</v>
      </c>
      <c r="F819" s="2" t="s">
        <v>4705</v>
      </c>
      <c r="G819" s="2" t="s">
        <v>4706</v>
      </c>
      <c r="H819" s="2" t="s">
        <v>20</v>
      </c>
      <c r="I819" s="2" t="s">
        <v>4707</v>
      </c>
      <c r="J819" s="2" t="s">
        <v>4701</v>
      </c>
      <c r="K819" s="2" t="s">
        <v>1193</v>
      </c>
      <c r="L819" s="2" t="n">
        <v>2</v>
      </c>
      <c r="M819" s="2" t="n">
        <v>59</v>
      </c>
    </row>
    <row r="820" customFormat="false" ht="61.15" hidden="false" customHeight="false" outlineLevel="0" collapsed="false">
      <c r="A820" s="2" t="s">
        <v>4708</v>
      </c>
      <c r="B820" s="2" t="s">
        <v>1185</v>
      </c>
      <c r="C820" s="2" t="s">
        <v>4666</v>
      </c>
      <c r="D820" s="2" t="s">
        <v>4709</v>
      </c>
      <c r="E820" s="2" t="s">
        <v>4710</v>
      </c>
      <c r="F820" s="2" t="s">
        <v>4711</v>
      </c>
      <c r="G820" s="2" t="s">
        <v>4712</v>
      </c>
      <c r="H820" s="2" t="s">
        <v>20</v>
      </c>
      <c r="I820" s="2" t="s">
        <v>4713</v>
      </c>
      <c r="J820" s="2" t="s">
        <v>4701</v>
      </c>
      <c r="K820" s="2" t="s">
        <v>1193</v>
      </c>
      <c r="L820" s="2" t="n">
        <v>1</v>
      </c>
      <c r="M820" s="2" t="n">
        <v>59</v>
      </c>
    </row>
    <row r="821" customFormat="false" ht="46.25" hidden="false" customHeight="false" outlineLevel="0" collapsed="false">
      <c r="A821" s="2" t="s">
        <v>4714</v>
      </c>
      <c r="B821" s="2" t="s">
        <v>1185</v>
      </c>
      <c r="C821" s="2" t="s">
        <v>4666</v>
      </c>
      <c r="D821" s="2" t="s">
        <v>4715</v>
      </c>
      <c r="E821" s="2" t="s">
        <v>2727</v>
      </c>
      <c r="F821" s="2" t="s">
        <v>4716</v>
      </c>
      <c r="G821" s="2" t="s">
        <v>4717</v>
      </c>
      <c r="H821" s="2" t="s">
        <v>20</v>
      </c>
      <c r="I821" s="2" t="s">
        <v>4718</v>
      </c>
      <c r="J821" s="2" t="s">
        <v>4701</v>
      </c>
      <c r="K821" s="2" t="s">
        <v>1193</v>
      </c>
      <c r="L821" s="2" t="n">
        <v>2</v>
      </c>
      <c r="M821" s="2" t="n">
        <v>59</v>
      </c>
    </row>
    <row r="822" customFormat="false" ht="76.1" hidden="false" customHeight="false" outlineLevel="0" collapsed="false">
      <c r="A822" s="2" t="s">
        <v>4719</v>
      </c>
      <c r="B822" s="2" t="s">
        <v>1185</v>
      </c>
      <c r="C822" s="2" t="s">
        <v>4666</v>
      </c>
      <c r="D822" s="2" t="s">
        <v>4720</v>
      </c>
      <c r="E822" s="2" t="s">
        <v>4721</v>
      </c>
      <c r="F822" s="2" t="s">
        <v>4722</v>
      </c>
      <c r="G822" s="2" t="s">
        <v>4723</v>
      </c>
      <c r="H822" s="2" t="s">
        <v>28</v>
      </c>
      <c r="I822" s="2" t="s">
        <v>4724</v>
      </c>
      <c r="J822" s="2" t="s">
        <v>4725</v>
      </c>
      <c r="K822" s="2" t="s">
        <v>1193</v>
      </c>
      <c r="L822" s="2" t="n">
        <v>2</v>
      </c>
      <c r="M822" s="2" t="n">
        <v>59</v>
      </c>
    </row>
    <row r="823" customFormat="false" ht="76.1" hidden="false" customHeight="false" outlineLevel="0" collapsed="false">
      <c r="A823" s="2" t="s">
        <v>4726</v>
      </c>
      <c r="B823" s="2" t="s">
        <v>1185</v>
      </c>
      <c r="C823" s="2" t="s">
        <v>4666</v>
      </c>
      <c r="D823" s="2" t="s">
        <v>4727</v>
      </c>
      <c r="E823" s="2" t="s">
        <v>4728</v>
      </c>
      <c r="F823" s="2" t="s">
        <v>4729</v>
      </c>
      <c r="G823" s="2" t="s">
        <v>4730</v>
      </c>
      <c r="H823" s="2" t="s">
        <v>28</v>
      </c>
      <c r="I823" s="2" t="s">
        <v>4731</v>
      </c>
      <c r="J823" s="2" t="s">
        <v>4725</v>
      </c>
      <c r="K823" s="2" t="s">
        <v>1193</v>
      </c>
      <c r="L823" s="2" t="n">
        <v>2</v>
      </c>
      <c r="M823" s="2" t="n">
        <v>59</v>
      </c>
    </row>
    <row r="824" customFormat="false" ht="76.1" hidden="false" customHeight="false" outlineLevel="0" collapsed="false">
      <c r="A824" s="2" t="s">
        <v>4732</v>
      </c>
      <c r="B824" s="2" t="s">
        <v>1185</v>
      </c>
      <c r="C824" s="2" t="s">
        <v>4666</v>
      </c>
      <c r="D824" s="2" t="s">
        <v>4733</v>
      </c>
      <c r="E824" s="2" t="s">
        <v>4734</v>
      </c>
      <c r="F824" s="2" t="s">
        <v>4735</v>
      </c>
      <c r="G824" s="2" t="s">
        <v>4736</v>
      </c>
      <c r="H824" s="2" t="s">
        <v>20</v>
      </c>
      <c r="I824" s="2" t="s">
        <v>4737</v>
      </c>
      <c r="J824" s="2" t="s">
        <v>4725</v>
      </c>
      <c r="K824" s="2" t="s">
        <v>1193</v>
      </c>
      <c r="L824" s="2" t="n">
        <v>3</v>
      </c>
      <c r="M824" s="2" t="n">
        <v>60</v>
      </c>
    </row>
    <row r="825" customFormat="false" ht="91" hidden="false" customHeight="false" outlineLevel="0" collapsed="false">
      <c r="A825" s="2" t="s">
        <v>4738</v>
      </c>
      <c r="B825" s="2" t="s">
        <v>1185</v>
      </c>
      <c r="C825" s="2" t="s">
        <v>4666</v>
      </c>
      <c r="D825" s="2" t="s">
        <v>4739</v>
      </c>
      <c r="E825" s="2" t="s">
        <v>4740</v>
      </c>
      <c r="F825" s="2" t="s">
        <v>4741</v>
      </c>
      <c r="G825" s="2" t="s">
        <v>4742</v>
      </c>
      <c r="H825" s="2" t="s">
        <v>28</v>
      </c>
      <c r="I825" s="2" t="s">
        <v>4743</v>
      </c>
      <c r="J825" s="2" t="s">
        <v>4725</v>
      </c>
      <c r="K825" s="2" t="s">
        <v>1193</v>
      </c>
      <c r="L825" s="2" t="n">
        <v>3</v>
      </c>
      <c r="M825" s="2" t="n">
        <v>60</v>
      </c>
    </row>
    <row r="826" customFormat="false" ht="61.15" hidden="false" customHeight="false" outlineLevel="0" collapsed="false">
      <c r="A826" s="2" t="s">
        <v>4744</v>
      </c>
      <c r="B826" s="2" t="s">
        <v>1185</v>
      </c>
      <c r="C826" s="2" t="s">
        <v>4666</v>
      </c>
      <c r="D826" s="2" t="s">
        <v>4745</v>
      </c>
      <c r="E826" s="2" t="s">
        <v>4746</v>
      </c>
      <c r="F826" s="2" t="s">
        <v>4747</v>
      </c>
      <c r="G826" s="2" t="s">
        <v>4748</v>
      </c>
      <c r="H826" s="2" t="s">
        <v>226</v>
      </c>
      <c r="I826" s="2" t="s">
        <v>4749</v>
      </c>
      <c r="J826" s="2" t="s">
        <v>4725</v>
      </c>
      <c r="K826" s="2" t="s">
        <v>1193</v>
      </c>
      <c r="L826" s="2" t="n">
        <v>3</v>
      </c>
      <c r="M826" s="2" t="n">
        <v>60</v>
      </c>
    </row>
    <row r="827" customFormat="false" ht="76.1" hidden="false" customHeight="false" outlineLevel="0" collapsed="false">
      <c r="A827" s="2" t="s">
        <v>4750</v>
      </c>
      <c r="B827" s="2" t="s">
        <v>1185</v>
      </c>
      <c r="C827" s="2" t="s">
        <v>4666</v>
      </c>
      <c r="D827" s="2" t="s">
        <v>4751</v>
      </c>
      <c r="E827" s="2" t="s">
        <v>4752</v>
      </c>
      <c r="F827" s="2" t="s">
        <v>4753</v>
      </c>
      <c r="G827" s="2" t="s">
        <v>4754</v>
      </c>
      <c r="H827" s="2" t="s">
        <v>20</v>
      </c>
      <c r="I827" s="2" t="s">
        <v>4755</v>
      </c>
      <c r="J827" s="2" t="s">
        <v>4725</v>
      </c>
      <c r="K827" s="2" t="s">
        <v>1193</v>
      </c>
      <c r="L827" s="2" t="n">
        <v>3</v>
      </c>
      <c r="M827" s="2" t="n">
        <v>60</v>
      </c>
    </row>
    <row r="828" customFormat="false" ht="105.95" hidden="false" customHeight="false" outlineLevel="0" collapsed="false">
      <c r="A828" s="2" t="s">
        <v>4756</v>
      </c>
      <c r="B828" s="2" t="s">
        <v>1185</v>
      </c>
      <c r="C828" s="2" t="s">
        <v>4666</v>
      </c>
      <c r="D828" s="2" t="s">
        <v>4757</v>
      </c>
      <c r="E828" s="2" t="s">
        <v>4758</v>
      </c>
      <c r="F828" s="2" t="s">
        <v>4759</v>
      </c>
      <c r="G828" s="2" t="s">
        <v>4760</v>
      </c>
      <c r="H828" s="2" t="s">
        <v>226</v>
      </c>
      <c r="I828" s="2" t="s">
        <v>4761</v>
      </c>
      <c r="J828" s="2" t="s">
        <v>4725</v>
      </c>
      <c r="K828" s="2" t="s">
        <v>1193</v>
      </c>
      <c r="L828" s="2" t="n">
        <v>3</v>
      </c>
      <c r="M828" s="2" t="n">
        <v>60</v>
      </c>
    </row>
    <row r="829" customFormat="false" ht="76.1" hidden="false" customHeight="false" outlineLevel="0" collapsed="false">
      <c r="A829" s="2" t="s">
        <v>4762</v>
      </c>
      <c r="B829" s="2" t="s">
        <v>1185</v>
      </c>
      <c r="C829" s="2" t="s">
        <v>4666</v>
      </c>
      <c r="D829" s="2" t="s">
        <v>4763</v>
      </c>
      <c r="E829" s="2" t="s">
        <v>4764</v>
      </c>
      <c r="F829" s="2" t="s">
        <v>4765</v>
      </c>
      <c r="G829" s="2" t="s">
        <v>4766</v>
      </c>
      <c r="H829" s="2" t="s">
        <v>20</v>
      </c>
      <c r="I829" s="2" t="s">
        <v>4767</v>
      </c>
      <c r="J829" s="2" t="s">
        <v>4768</v>
      </c>
      <c r="K829" s="2" t="s">
        <v>1193</v>
      </c>
      <c r="L829" s="2" t="n">
        <v>2</v>
      </c>
      <c r="M829" s="2" t="n">
        <v>60</v>
      </c>
    </row>
    <row r="830" customFormat="false" ht="91" hidden="false" customHeight="false" outlineLevel="0" collapsed="false">
      <c r="A830" s="2" t="s">
        <v>4769</v>
      </c>
      <c r="B830" s="2" t="s">
        <v>1185</v>
      </c>
      <c r="C830" s="2" t="s">
        <v>4666</v>
      </c>
      <c r="D830" s="2" t="s">
        <v>4770</v>
      </c>
      <c r="E830" s="2" t="s">
        <v>4771</v>
      </c>
      <c r="F830" s="2" t="s">
        <v>4772</v>
      </c>
      <c r="G830" s="2" t="s">
        <v>4773</v>
      </c>
      <c r="H830" s="2" t="s">
        <v>20</v>
      </c>
      <c r="I830" s="2" t="s">
        <v>4774</v>
      </c>
      <c r="J830" s="2" t="s">
        <v>4725</v>
      </c>
      <c r="K830" s="2" t="s">
        <v>1193</v>
      </c>
      <c r="L830" s="2" t="n">
        <v>3</v>
      </c>
      <c r="M830" s="2" t="n">
        <v>60</v>
      </c>
    </row>
    <row r="831" customFormat="false" ht="76.1" hidden="false" customHeight="false" outlineLevel="0" collapsed="false">
      <c r="A831" s="2" t="s">
        <v>4775</v>
      </c>
      <c r="B831" s="2" t="s">
        <v>1185</v>
      </c>
      <c r="C831" s="2" t="s">
        <v>4666</v>
      </c>
      <c r="D831" s="2" t="s">
        <v>4776</v>
      </c>
      <c r="E831" s="2" t="s">
        <v>4777</v>
      </c>
      <c r="F831" s="2" t="s">
        <v>4778</v>
      </c>
      <c r="G831" s="2" t="s">
        <v>4779</v>
      </c>
      <c r="H831" s="2" t="s">
        <v>20</v>
      </c>
      <c r="I831" s="2" t="s">
        <v>4780</v>
      </c>
      <c r="J831" s="2" t="s">
        <v>4725</v>
      </c>
      <c r="K831" s="2" t="s">
        <v>1193</v>
      </c>
      <c r="L831" s="2" t="n">
        <v>3</v>
      </c>
      <c r="M831" s="2" t="n">
        <v>60</v>
      </c>
    </row>
    <row r="832" customFormat="false" ht="76.1" hidden="false" customHeight="false" outlineLevel="0" collapsed="false">
      <c r="A832" s="2" t="s">
        <v>4781</v>
      </c>
      <c r="B832" s="2" t="s">
        <v>1185</v>
      </c>
      <c r="C832" s="2" t="s">
        <v>4666</v>
      </c>
      <c r="D832" s="2" t="s">
        <v>4782</v>
      </c>
      <c r="E832" s="2" t="s">
        <v>4783</v>
      </c>
      <c r="F832" s="2" t="s">
        <v>4784</v>
      </c>
      <c r="G832" s="2" t="s">
        <v>4785</v>
      </c>
      <c r="H832" s="2" t="s">
        <v>28</v>
      </c>
      <c r="I832" s="2" t="s">
        <v>4786</v>
      </c>
      <c r="J832" s="2" t="s">
        <v>4725</v>
      </c>
      <c r="K832" s="2" t="s">
        <v>1193</v>
      </c>
      <c r="L832" s="2" t="n">
        <v>3</v>
      </c>
      <c r="M832" s="2" t="n">
        <v>60</v>
      </c>
    </row>
    <row r="833" customFormat="false" ht="76.1" hidden="false" customHeight="false" outlineLevel="0" collapsed="false">
      <c r="A833" s="2" t="s">
        <v>4787</v>
      </c>
      <c r="B833" s="2" t="s">
        <v>1185</v>
      </c>
      <c r="C833" s="2" t="s">
        <v>4666</v>
      </c>
      <c r="D833" s="2" t="s">
        <v>4788</v>
      </c>
      <c r="E833" s="2" t="s">
        <v>4789</v>
      </c>
      <c r="F833" s="2" t="s">
        <v>4790</v>
      </c>
      <c r="G833" s="2" t="s">
        <v>4791</v>
      </c>
      <c r="H833" s="2" t="s">
        <v>226</v>
      </c>
      <c r="I833" s="2" t="s">
        <v>4792</v>
      </c>
      <c r="J833" s="2" t="s">
        <v>4725</v>
      </c>
      <c r="K833" s="2" t="s">
        <v>1193</v>
      </c>
      <c r="L833" s="2" t="n">
        <v>3</v>
      </c>
      <c r="M833" s="2" t="n">
        <v>60</v>
      </c>
    </row>
    <row r="834" customFormat="false" ht="61.15" hidden="false" customHeight="false" outlineLevel="0" collapsed="false">
      <c r="A834" s="2" t="s">
        <v>4793</v>
      </c>
      <c r="B834" s="2" t="s">
        <v>1185</v>
      </c>
      <c r="C834" s="2" t="s">
        <v>4666</v>
      </c>
      <c r="D834" s="2" t="s">
        <v>4794</v>
      </c>
      <c r="E834" s="2" t="s">
        <v>4795</v>
      </c>
      <c r="F834" s="2" t="s">
        <v>4796</v>
      </c>
      <c r="G834" s="2" t="s">
        <v>4797</v>
      </c>
      <c r="H834" s="2" t="s">
        <v>28</v>
      </c>
      <c r="I834" s="2" t="s">
        <v>4798</v>
      </c>
      <c r="J834" s="2" t="s">
        <v>4799</v>
      </c>
      <c r="K834" s="2" t="s">
        <v>1193</v>
      </c>
      <c r="L834" s="2" t="n">
        <v>2</v>
      </c>
      <c r="M834" s="2" t="n">
        <v>61</v>
      </c>
    </row>
    <row r="835" customFormat="false" ht="61.15" hidden="false" customHeight="false" outlineLevel="0" collapsed="false">
      <c r="A835" s="2" t="s">
        <v>4800</v>
      </c>
      <c r="B835" s="2" t="s">
        <v>1185</v>
      </c>
      <c r="C835" s="2" t="s">
        <v>4666</v>
      </c>
      <c r="D835" s="2" t="s">
        <v>4801</v>
      </c>
      <c r="E835" s="2" t="s">
        <v>4802</v>
      </c>
      <c r="F835" s="2" t="s">
        <v>4803</v>
      </c>
      <c r="G835" s="2" t="s">
        <v>4804</v>
      </c>
      <c r="H835" s="2" t="s">
        <v>20</v>
      </c>
      <c r="I835" s="2" t="s">
        <v>4805</v>
      </c>
      <c r="J835" s="2" t="s">
        <v>4799</v>
      </c>
      <c r="K835" s="2" t="s">
        <v>1193</v>
      </c>
      <c r="L835" s="2" t="n">
        <v>3</v>
      </c>
      <c r="M835" s="2" t="n">
        <v>61</v>
      </c>
    </row>
    <row r="836" customFormat="false" ht="61.15" hidden="false" customHeight="false" outlineLevel="0" collapsed="false">
      <c r="A836" s="2" t="s">
        <v>4806</v>
      </c>
      <c r="B836" s="2" t="s">
        <v>1185</v>
      </c>
      <c r="C836" s="2" t="s">
        <v>4666</v>
      </c>
      <c r="D836" s="2" t="s">
        <v>4807</v>
      </c>
      <c r="E836" s="2" t="s">
        <v>4808</v>
      </c>
      <c r="F836" s="2" t="s">
        <v>4809</v>
      </c>
      <c r="G836" s="2" t="s">
        <v>4810</v>
      </c>
      <c r="H836" s="2" t="s">
        <v>226</v>
      </c>
      <c r="I836" s="2" t="s">
        <v>4811</v>
      </c>
      <c r="J836" s="2" t="s">
        <v>4812</v>
      </c>
      <c r="K836" s="2" t="s">
        <v>1193</v>
      </c>
      <c r="L836" s="2" t="n">
        <v>2</v>
      </c>
      <c r="M836" s="2" t="n">
        <v>59</v>
      </c>
    </row>
    <row r="837" customFormat="false" ht="61.15" hidden="false" customHeight="false" outlineLevel="0" collapsed="false">
      <c r="A837" s="2" t="s">
        <v>4813</v>
      </c>
      <c r="B837" s="2" t="s">
        <v>1185</v>
      </c>
      <c r="C837" s="2" t="s">
        <v>4666</v>
      </c>
      <c r="D837" s="2" t="s">
        <v>4814</v>
      </c>
      <c r="E837" s="2" t="s">
        <v>4815</v>
      </c>
      <c r="F837" s="2" t="s">
        <v>4816</v>
      </c>
      <c r="G837" s="2" t="s">
        <v>4817</v>
      </c>
      <c r="H837" s="2" t="s">
        <v>20</v>
      </c>
      <c r="I837" s="2" t="s">
        <v>4818</v>
      </c>
      <c r="J837" s="2" t="s">
        <v>4812</v>
      </c>
      <c r="K837" s="2" t="s">
        <v>1193</v>
      </c>
      <c r="L837" s="2" t="n">
        <v>2</v>
      </c>
      <c r="M837" s="2" t="n">
        <v>59</v>
      </c>
    </row>
    <row r="838" customFormat="false" ht="76.1" hidden="false" customHeight="false" outlineLevel="0" collapsed="false">
      <c r="A838" s="2" t="s">
        <v>4819</v>
      </c>
      <c r="B838" s="2" t="s">
        <v>1185</v>
      </c>
      <c r="C838" s="2" t="s">
        <v>4666</v>
      </c>
      <c r="D838" s="2" t="s">
        <v>4820</v>
      </c>
      <c r="E838" s="2" t="s">
        <v>4821</v>
      </c>
      <c r="F838" s="2" t="s">
        <v>4822</v>
      </c>
      <c r="G838" s="2" t="s">
        <v>4823</v>
      </c>
      <c r="H838" s="2" t="s">
        <v>20</v>
      </c>
      <c r="I838" s="2" t="s">
        <v>4824</v>
      </c>
      <c r="J838" s="2" t="s">
        <v>4812</v>
      </c>
      <c r="K838" s="2" t="s">
        <v>1193</v>
      </c>
      <c r="L838" s="2" t="n">
        <v>2</v>
      </c>
      <c r="M838" s="2" t="n">
        <v>59</v>
      </c>
    </row>
    <row r="839" customFormat="false" ht="46.25" hidden="false" customHeight="false" outlineLevel="0" collapsed="false">
      <c r="A839" s="2" t="s">
        <v>4825</v>
      </c>
      <c r="B839" s="2" t="s">
        <v>1185</v>
      </c>
      <c r="C839" s="2" t="s">
        <v>4666</v>
      </c>
      <c r="D839" s="2" t="s">
        <v>4826</v>
      </c>
      <c r="E839" s="2" t="s">
        <v>4827</v>
      </c>
      <c r="F839" s="2" t="s">
        <v>4828</v>
      </c>
      <c r="G839" s="2" t="s">
        <v>4829</v>
      </c>
      <c r="H839" s="2" t="s">
        <v>20</v>
      </c>
      <c r="I839" s="2" t="s">
        <v>4830</v>
      </c>
      <c r="J839" s="2" t="s">
        <v>4812</v>
      </c>
      <c r="K839" s="2" t="s">
        <v>1193</v>
      </c>
      <c r="L839" s="2" t="n">
        <v>2</v>
      </c>
      <c r="M839" s="2" t="n">
        <v>59</v>
      </c>
    </row>
    <row r="840" customFormat="false" ht="76.1" hidden="false" customHeight="false" outlineLevel="0" collapsed="false">
      <c r="A840" s="2" t="s">
        <v>4831</v>
      </c>
      <c r="B840" s="2" t="s">
        <v>1185</v>
      </c>
      <c r="C840" s="2" t="s">
        <v>4666</v>
      </c>
      <c r="D840" s="2" t="s">
        <v>4832</v>
      </c>
      <c r="E840" s="2" t="s">
        <v>4833</v>
      </c>
      <c r="F840" s="2" t="s">
        <v>4834</v>
      </c>
      <c r="G840" s="2" t="s">
        <v>4835</v>
      </c>
      <c r="H840" s="2" t="s">
        <v>20</v>
      </c>
      <c r="I840" s="2" t="s">
        <v>4836</v>
      </c>
      <c r="J840" s="2" t="s">
        <v>4799</v>
      </c>
      <c r="K840" s="2" t="s">
        <v>1193</v>
      </c>
      <c r="L840" s="2" t="n">
        <v>4</v>
      </c>
      <c r="M840" s="2" t="n">
        <v>61</v>
      </c>
    </row>
    <row r="841" customFormat="false" ht="46.25" hidden="false" customHeight="false" outlineLevel="0" collapsed="false">
      <c r="A841" s="2" t="s">
        <v>4837</v>
      </c>
      <c r="B841" s="2" t="s">
        <v>1185</v>
      </c>
      <c r="C841" s="2" t="s">
        <v>4666</v>
      </c>
      <c r="D841" s="2" t="s">
        <v>4838</v>
      </c>
      <c r="E841" s="2" t="s">
        <v>4839</v>
      </c>
      <c r="F841" s="2" t="s">
        <v>4840</v>
      </c>
      <c r="G841" s="2" t="s">
        <v>4841</v>
      </c>
      <c r="H841" s="2" t="s">
        <v>20</v>
      </c>
      <c r="I841" s="2" t="s">
        <v>4842</v>
      </c>
      <c r="J841" s="2" t="s">
        <v>4799</v>
      </c>
      <c r="K841" s="2" t="s">
        <v>1193</v>
      </c>
      <c r="L841" s="2" t="n">
        <v>3</v>
      </c>
      <c r="M841" s="2" t="n">
        <v>61</v>
      </c>
    </row>
    <row r="842" customFormat="false" ht="91" hidden="false" customHeight="false" outlineLevel="0" collapsed="false">
      <c r="A842" s="2" t="s">
        <v>4843</v>
      </c>
      <c r="B842" s="2" t="s">
        <v>1185</v>
      </c>
      <c r="C842" s="2" t="s">
        <v>4666</v>
      </c>
      <c r="D842" s="2" t="s">
        <v>4844</v>
      </c>
      <c r="E842" s="2" t="s">
        <v>4845</v>
      </c>
      <c r="F842" s="2" t="s">
        <v>4846</v>
      </c>
      <c r="G842" s="2" t="s">
        <v>4847</v>
      </c>
      <c r="H842" s="2" t="s">
        <v>28</v>
      </c>
      <c r="I842" s="2" t="s">
        <v>4848</v>
      </c>
      <c r="J842" s="2" t="s">
        <v>4799</v>
      </c>
      <c r="K842" s="2" t="s">
        <v>1193</v>
      </c>
      <c r="L842" s="2" t="n">
        <v>4</v>
      </c>
      <c r="M842" s="2" t="n">
        <v>61</v>
      </c>
    </row>
    <row r="843" customFormat="false" ht="61.15" hidden="false" customHeight="false" outlineLevel="0" collapsed="false">
      <c r="A843" s="2" t="s">
        <v>4849</v>
      </c>
      <c r="B843" s="2" t="s">
        <v>1185</v>
      </c>
      <c r="C843" s="2" t="s">
        <v>4666</v>
      </c>
      <c r="D843" s="2" t="s">
        <v>4850</v>
      </c>
      <c r="E843" s="2" t="s">
        <v>4851</v>
      </c>
      <c r="F843" s="2" t="s">
        <v>4852</v>
      </c>
      <c r="G843" s="2" t="s">
        <v>4853</v>
      </c>
      <c r="H843" s="2" t="s">
        <v>20</v>
      </c>
      <c r="I843" s="2" t="s">
        <v>4854</v>
      </c>
      <c r="J843" s="2" t="s">
        <v>4799</v>
      </c>
      <c r="K843" s="2" t="s">
        <v>1193</v>
      </c>
      <c r="L843" s="2" t="n">
        <v>3</v>
      </c>
      <c r="M843" s="2" t="n">
        <v>61</v>
      </c>
    </row>
    <row r="844" customFormat="false" ht="61.15" hidden="false" customHeight="false" outlineLevel="0" collapsed="false">
      <c r="A844" s="2" t="s">
        <v>4855</v>
      </c>
      <c r="B844" s="2" t="s">
        <v>1185</v>
      </c>
      <c r="C844" s="2" t="s">
        <v>4666</v>
      </c>
      <c r="D844" s="2" t="s">
        <v>4856</v>
      </c>
      <c r="E844" s="2" t="s">
        <v>2356</v>
      </c>
      <c r="F844" s="2" t="s">
        <v>1833</v>
      </c>
      <c r="G844" s="2" t="s">
        <v>4172</v>
      </c>
      <c r="H844" s="2" t="s">
        <v>20</v>
      </c>
      <c r="I844" s="2" t="s">
        <v>4857</v>
      </c>
      <c r="J844" s="2" t="s">
        <v>4799</v>
      </c>
      <c r="K844" s="2" t="s">
        <v>1193</v>
      </c>
      <c r="L844" s="2" t="n">
        <v>2</v>
      </c>
      <c r="M844" s="2" t="n">
        <v>61</v>
      </c>
    </row>
    <row r="845" customFormat="false" ht="105.95" hidden="false" customHeight="false" outlineLevel="0" collapsed="false">
      <c r="A845" s="2" t="s">
        <v>4858</v>
      </c>
      <c r="B845" s="2" t="s">
        <v>1185</v>
      </c>
      <c r="C845" s="2" t="s">
        <v>4666</v>
      </c>
      <c r="D845" s="2" t="s">
        <v>4859</v>
      </c>
      <c r="E845" s="2" t="s">
        <v>4860</v>
      </c>
      <c r="F845" s="2" t="s">
        <v>4861</v>
      </c>
      <c r="G845" s="2" t="s">
        <v>4862</v>
      </c>
      <c r="H845" s="2" t="s">
        <v>20</v>
      </c>
      <c r="I845" s="2" t="s">
        <v>4863</v>
      </c>
      <c r="J845" s="2" t="s">
        <v>4864</v>
      </c>
      <c r="K845" s="2" t="s">
        <v>1193</v>
      </c>
      <c r="L845" s="2" t="n">
        <v>3</v>
      </c>
      <c r="M845" s="2" t="n">
        <v>60</v>
      </c>
    </row>
    <row r="846" customFormat="false" ht="61.15" hidden="false" customHeight="false" outlineLevel="0" collapsed="false">
      <c r="A846" s="2" t="s">
        <v>4865</v>
      </c>
      <c r="B846" s="2" t="s">
        <v>1185</v>
      </c>
      <c r="C846" s="2" t="s">
        <v>4666</v>
      </c>
      <c r="D846" s="2" t="s">
        <v>4866</v>
      </c>
      <c r="E846" s="2" t="s">
        <v>4867</v>
      </c>
      <c r="F846" s="2" t="s">
        <v>4170</v>
      </c>
      <c r="G846" s="2" t="s">
        <v>4868</v>
      </c>
      <c r="H846" s="2" t="s">
        <v>20</v>
      </c>
      <c r="I846" s="2" t="s">
        <v>4869</v>
      </c>
      <c r="J846" s="2" t="s">
        <v>4864</v>
      </c>
      <c r="K846" s="2" t="s">
        <v>1193</v>
      </c>
      <c r="L846" s="2" t="n">
        <v>4</v>
      </c>
      <c r="M846" s="2" t="n">
        <v>60</v>
      </c>
    </row>
    <row r="847" customFormat="false" ht="76.1" hidden="false" customHeight="false" outlineLevel="0" collapsed="false">
      <c r="A847" s="2" t="s">
        <v>4870</v>
      </c>
      <c r="B847" s="2" t="s">
        <v>1185</v>
      </c>
      <c r="C847" s="2" t="s">
        <v>4666</v>
      </c>
      <c r="D847" s="2" t="s">
        <v>4871</v>
      </c>
      <c r="E847" s="2" t="s">
        <v>4872</v>
      </c>
      <c r="F847" s="2" t="s">
        <v>4873</v>
      </c>
      <c r="G847" s="2" t="s">
        <v>4874</v>
      </c>
      <c r="H847" s="2" t="s">
        <v>28</v>
      </c>
      <c r="I847" s="2" t="s">
        <v>4875</v>
      </c>
      <c r="J847" s="2" t="s">
        <v>4876</v>
      </c>
      <c r="K847" s="2" t="s">
        <v>1193</v>
      </c>
      <c r="L847" s="2" t="n">
        <v>4</v>
      </c>
      <c r="M847" s="2" t="n">
        <v>60</v>
      </c>
    </row>
    <row r="848" customFormat="false" ht="61.15" hidden="false" customHeight="false" outlineLevel="0" collapsed="false">
      <c r="A848" s="2" t="s">
        <v>4877</v>
      </c>
      <c r="B848" s="2" t="s">
        <v>1185</v>
      </c>
      <c r="C848" s="2" t="s">
        <v>4666</v>
      </c>
      <c r="D848" s="2" t="s">
        <v>4878</v>
      </c>
      <c r="E848" s="2" t="s">
        <v>4170</v>
      </c>
      <c r="F848" s="2" t="s">
        <v>4879</v>
      </c>
      <c r="G848" s="2" t="s">
        <v>4868</v>
      </c>
      <c r="H848" s="2" t="s">
        <v>20</v>
      </c>
      <c r="I848" s="2" t="s">
        <v>4880</v>
      </c>
      <c r="J848" s="2" t="s">
        <v>4876</v>
      </c>
      <c r="K848" s="2" t="s">
        <v>1193</v>
      </c>
      <c r="L848" s="2" t="n">
        <v>3</v>
      </c>
      <c r="M848" s="2" t="n">
        <v>60</v>
      </c>
    </row>
    <row r="849" customFormat="false" ht="61.15" hidden="false" customHeight="false" outlineLevel="0" collapsed="false">
      <c r="A849" s="2" t="s">
        <v>4881</v>
      </c>
      <c r="B849" s="2" t="s">
        <v>1185</v>
      </c>
      <c r="C849" s="2" t="s">
        <v>4666</v>
      </c>
      <c r="D849" s="2" t="s">
        <v>4882</v>
      </c>
      <c r="E849" s="2" t="s">
        <v>4883</v>
      </c>
      <c r="F849" s="2" t="s">
        <v>4884</v>
      </c>
      <c r="G849" s="2" t="s">
        <v>4885</v>
      </c>
      <c r="H849" s="2" t="s">
        <v>28</v>
      </c>
      <c r="I849" s="2" t="s">
        <v>4886</v>
      </c>
      <c r="J849" s="2" t="s">
        <v>4864</v>
      </c>
      <c r="K849" s="2" t="s">
        <v>1193</v>
      </c>
      <c r="L849" s="2" t="n">
        <v>3</v>
      </c>
      <c r="M849" s="2" t="n">
        <v>59</v>
      </c>
    </row>
    <row r="850" customFormat="false" ht="61.15" hidden="false" customHeight="false" outlineLevel="0" collapsed="false">
      <c r="A850" s="2" t="s">
        <v>4887</v>
      </c>
      <c r="B850" s="2" t="s">
        <v>1185</v>
      </c>
      <c r="C850" s="2" t="s">
        <v>4666</v>
      </c>
      <c r="D850" s="2" t="s">
        <v>4888</v>
      </c>
      <c r="E850" s="2" t="s">
        <v>4889</v>
      </c>
      <c r="F850" s="2" t="s">
        <v>4890</v>
      </c>
      <c r="G850" s="2" t="s">
        <v>4891</v>
      </c>
      <c r="H850" s="2" t="s">
        <v>20</v>
      </c>
      <c r="I850" s="2" t="s">
        <v>4892</v>
      </c>
      <c r="J850" s="2" t="s">
        <v>4893</v>
      </c>
      <c r="K850" s="2" t="s">
        <v>1193</v>
      </c>
      <c r="L850" s="2" t="n">
        <v>3</v>
      </c>
      <c r="M850" s="2" t="n">
        <v>61</v>
      </c>
    </row>
    <row r="851" customFormat="false" ht="76.1" hidden="false" customHeight="false" outlineLevel="0" collapsed="false">
      <c r="A851" s="2" t="s">
        <v>4894</v>
      </c>
      <c r="B851" s="2" t="s">
        <v>1185</v>
      </c>
      <c r="C851" s="2" t="s">
        <v>4666</v>
      </c>
      <c r="D851" s="2" t="s">
        <v>4895</v>
      </c>
      <c r="E851" s="2" t="s">
        <v>4896</v>
      </c>
      <c r="F851" s="2" t="s">
        <v>4897</v>
      </c>
      <c r="G851" s="2" t="s">
        <v>4898</v>
      </c>
      <c r="H851" s="2" t="s">
        <v>20</v>
      </c>
      <c r="I851" s="2" t="s">
        <v>4899</v>
      </c>
      <c r="J851" s="2" t="s">
        <v>4666</v>
      </c>
      <c r="K851" s="2" t="s">
        <v>1193</v>
      </c>
      <c r="L851" s="2" t="n">
        <v>2</v>
      </c>
      <c r="M851" s="2" t="n">
        <v>61</v>
      </c>
    </row>
    <row r="852" customFormat="false" ht="61.15" hidden="false" customHeight="false" outlineLevel="0" collapsed="false">
      <c r="A852" s="2" t="s">
        <v>4900</v>
      </c>
      <c r="B852" s="2" t="s">
        <v>1185</v>
      </c>
      <c r="C852" s="2" t="s">
        <v>4666</v>
      </c>
      <c r="D852" s="2" t="s">
        <v>4901</v>
      </c>
      <c r="E852" s="2" t="s">
        <v>4902</v>
      </c>
      <c r="F852" s="2" t="s">
        <v>4903</v>
      </c>
      <c r="G852" s="2" t="s">
        <v>4904</v>
      </c>
      <c r="H852" s="2" t="s">
        <v>20</v>
      </c>
      <c r="I852" s="2" t="s">
        <v>4905</v>
      </c>
      <c r="J852" s="2" t="s">
        <v>4666</v>
      </c>
      <c r="K852" s="2" t="s">
        <v>1193</v>
      </c>
      <c r="L852" s="2" t="n">
        <v>2</v>
      </c>
      <c r="M852" s="2" t="n">
        <v>59</v>
      </c>
    </row>
    <row r="853" customFormat="false" ht="61.15" hidden="false" customHeight="false" outlineLevel="0" collapsed="false">
      <c r="A853" s="2" t="s">
        <v>4906</v>
      </c>
      <c r="B853" s="2" t="s">
        <v>1185</v>
      </c>
      <c r="C853" s="2" t="s">
        <v>4666</v>
      </c>
      <c r="D853" s="2" t="s">
        <v>4907</v>
      </c>
      <c r="E853" s="2" t="s">
        <v>4908</v>
      </c>
      <c r="F853" s="2" t="s">
        <v>4909</v>
      </c>
      <c r="G853" s="2" t="s">
        <v>4910</v>
      </c>
      <c r="H853" s="2" t="s">
        <v>20</v>
      </c>
      <c r="I853" s="2" t="s">
        <v>4911</v>
      </c>
      <c r="J853" s="2" t="s">
        <v>4666</v>
      </c>
      <c r="K853" s="2" t="s">
        <v>1193</v>
      </c>
      <c r="L853" s="2" t="n">
        <v>2</v>
      </c>
      <c r="M853" s="2" t="n">
        <v>61</v>
      </c>
    </row>
    <row r="854" customFormat="false" ht="61.15" hidden="false" customHeight="false" outlineLevel="0" collapsed="false">
      <c r="A854" s="2" t="s">
        <v>4912</v>
      </c>
      <c r="B854" s="2" t="s">
        <v>1185</v>
      </c>
      <c r="C854" s="2" t="s">
        <v>4666</v>
      </c>
      <c r="D854" s="2" t="s">
        <v>4913</v>
      </c>
      <c r="E854" s="2" t="s">
        <v>4170</v>
      </c>
      <c r="F854" s="2" t="s">
        <v>4868</v>
      </c>
      <c r="G854" s="2" t="s">
        <v>4914</v>
      </c>
      <c r="H854" s="2" t="s">
        <v>20</v>
      </c>
      <c r="I854" s="2" t="s">
        <v>4915</v>
      </c>
      <c r="J854" s="2" t="s">
        <v>4666</v>
      </c>
      <c r="K854" s="2" t="s">
        <v>1193</v>
      </c>
      <c r="L854" s="2" t="n">
        <v>3</v>
      </c>
      <c r="M854" s="2" t="n">
        <v>60</v>
      </c>
    </row>
    <row r="855" customFormat="false" ht="46.25" hidden="false" customHeight="false" outlineLevel="0" collapsed="false">
      <c r="A855" s="2" t="s">
        <v>4916</v>
      </c>
      <c r="B855" s="2" t="s">
        <v>1185</v>
      </c>
      <c r="C855" s="2" t="s">
        <v>4666</v>
      </c>
      <c r="D855" s="2" t="s">
        <v>4917</v>
      </c>
      <c r="E855" s="2" t="s">
        <v>2727</v>
      </c>
      <c r="F855" s="2" t="s">
        <v>2940</v>
      </c>
      <c r="G855" s="2" t="s">
        <v>4918</v>
      </c>
      <c r="H855" s="2" t="s">
        <v>20</v>
      </c>
      <c r="I855" s="2" t="s">
        <v>4919</v>
      </c>
      <c r="J855" s="2" t="s">
        <v>4666</v>
      </c>
      <c r="K855" s="2" t="s">
        <v>1193</v>
      </c>
      <c r="L855" s="2" t="n">
        <v>1</v>
      </c>
      <c r="M855" s="2" t="n">
        <v>60</v>
      </c>
    </row>
    <row r="856" customFormat="false" ht="76.1" hidden="false" customHeight="false" outlineLevel="0" collapsed="false">
      <c r="A856" s="2" t="s">
        <v>4920</v>
      </c>
      <c r="B856" s="2" t="s">
        <v>1185</v>
      </c>
      <c r="C856" s="2" t="s">
        <v>4666</v>
      </c>
      <c r="D856" s="2" t="s">
        <v>4921</v>
      </c>
      <c r="E856" s="2" t="s">
        <v>4170</v>
      </c>
      <c r="F856" s="2" t="s">
        <v>4868</v>
      </c>
      <c r="G856" s="2" t="s">
        <v>4914</v>
      </c>
      <c r="H856" s="2" t="s">
        <v>20</v>
      </c>
      <c r="I856" s="2" t="s">
        <v>4922</v>
      </c>
      <c r="J856" s="2" t="s">
        <v>4666</v>
      </c>
      <c r="K856" s="2" t="s">
        <v>1193</v>
      </c>
      <c r="L856" s="2" t="n">
        <v>3</v>
      </c>
      <c r="M856" s="2" t="n">
        <v>60</v>
      </c>
    </row>
    <row r="857" customFormat="false" ht="46.25" hidden="false" customHeight="false" outlineLevel="0" collapsed="false">
      <c r="A857" s="2" t="s">
        <v>4923</v>
      </c>
      <c r="B857" s="2" t="s">
        <v>1185</v>
      </c>
      <c r="C857" s="2" t="s">
        <v>4666</v>
      </c>
      <c r="D857" s="2" t="s">
        <v>4924</v>
      </c>
      <c r="E857" s="2" t="s">
        <v>4925</v>
      </c>
      <c r="F857" s="2" t="s">
        <v>4926</v>
      </c>
      <c r="G857" s="2" t="s">
        <v>4927</v>
      </c>
      <c r="H857" s="2" t="s">
        <v>20</v>
      </c>
      <c r="I857" s="2" t="s">
        <v>4928</v>
      </c>
      <c r="J857" s="2" t="s">
        <v>4666</v>
      </c>
      <c r="K857" s="2" t="s">
        <v>1193</v>
      </c>
      <c r="L857" s="2" t="n">
        <v>2</v>
      </c>
      <c r="M857" s="2" t="n">
        <v>59</v>
      </c>
    </row>
    <row r="858" customFormat="false" ht="61.15" hidden="false" customHeight="false" outlineLevel="0" collapsed="false">
      <c r="A858" s="2" t="s">
        <v>4929</v>
      </c>
      <c r="B858" s="2" t="s">
        <v>1185</v>
      </c>
      <c r="C858" s="2" t="s">
        <v>4666</v>
      </c>
      <c r="D858" s="2" t="s">
        <v>4930</v>
      </c>
      <c r="E858" s="2" t="s">
        <v>4868</v>
      </c>
      <c r="F858" s="2" t="s">
        <v>4170</v>
      </c>
      <c r="G858" s="2" t="s">
        <v>4879</v>
      </c>
      <c r="H858" s="2" t="s">
        <v>20</v>
      </c>
      <c r="I858" s="2" t="s">
        <v>4931</v>
      </c>
      <c r="J858" s="2" t="s">
        <v>4666</v>
      </c>
      <c r="K858" s="2" t="s">
        <v>1193</v>
      </c>
      <c r="L858" s="2" t="n">
        <v>3</v>
      </c>
      <c r="M858" s="2" t="n">
        <v>60</v>
      </c>
    </row>
    <row r="859" customFormat="false" ht="61.15" hidden="false" customHeight="false" outlineLevel="0" collapsed="false">
      <c r="A859" s="2" t="s">
        <v>4932</v>
      </c>
      <c r="B859" s="2" t="s">
        <v>1185</v>
      </c>
      <c r="C859" s="2" t="s">
        <v>4666</v>
      </c>
      <c r="D859" s="2" t="s">
        <v>4933</v>
      </c>
      <c r="E859" s="2" t="s">
        <v>4934</v>
      </c>
      <c r="F859" s="2" t="s">
        <v>4935</v>
      </c>
      <c r="G859" s="2" t="s">
        <v>4936</v>
      </c>
      <c r="H859" s="2" t="s">
        <v>20</v>
      </c>
      <c r="I859" s="2" t="s">
        <v>4937</v>
      </c>
      <c r="J859" s="2" t="s">
        <v>4666</v>
      </c>
      <c r="K859" s="2" t="s">
        <v>1193</v>
      </c>
      <c r="L859" s="2" t="n">
        <v>2</v>
      </c>
      <c r="M859" s="2" t="n">
        <v>59</v>
      </c>
    </row>
    <row r="860" customFormat="false" ht="61.15" hidden="false" customHeight="false" outlineLevel="0" collapsed="false">
      <c r="A860" s="2" t="s">
        <v>4938</v>
      </c>
      <c r="B860" s="2" t="s">
        <v>1185</v>
      </c>
      <c r="C860" s="2" t="s">
        <v>4666</v>
      </c>
      <c r="D860" s="2" t="s">
        <v>4939</v>
      </c>
      <c r="E860" s="2" t="s">
        <v>2727</v>
      </c>
      <c r="F860" s="2" t="s">
        <v>4940</v>
      </c>
      <c r="G860" s="2" t="s">
        <v>4941</v>
      </c>
      <c r="H860" s="2" t="s">
        <v>20</v>
      </c>
      <c r="I860" s="2" t="s">
        <v>4942</v>
      </c>
      <c r="J860" s="2" t="s">
        <v>4666</v>
      </c>
      <c r="K860" s="2" t="s">
        <v>1193</v>
      </c>
      <c r="L860" s="2" t="n">
        <v>2</v>
      </c>
      <c r="M860" s="2" t="n">
        <v>60</v>
      </c>
    </row>
    <row r="861" customFormat="false" ht="61.15" hidden="false" customHeight="false" outlineLevel="0" collapsed="false">
      <c r="A861" s="2" t="s">
        <v>4943</v>
      </c>
      <c r="B861" s="2" t="s">
        <v>1185</v>
      </c>
      <c r="C861" s="2" t="s">
        <v>4666</v>
      </c>
      <c r="D861" s="2" t="s">
        <v>4944</v>
      </c>
      <c r="E861" s="2" t="s">
        <v>4945</v>
      </c>
      <c r="F861" s="2" t="s">
        <v>4946</v>
      </c>
      <c r="G861" s="2" t="s">
        <v>4947</v>
      </c>
      <c r="H861" s="2" t="s">
        <v>20</v>
      </c>
      <c r="I861" s="2" t="s">
        <v>4948</v>
      </c>
      <c r="J861" s="2" t="s">
        <v>4666</v>
      </c>
      <c r="K861" s="2" t="s">
        <v>1193</v>
      </c>
      <c r="L861" s="2" t="n">
        <v>2</v>
      </c>
      <c r="M861" s="2" t="n">
        <v>60</v>
      </c>
    </row>
    <row r="862" customFormat="false" ht="61.15" hidden="false" customHeight="false" outlineLevel="0" collapsed="false">
      <c r="A862" s="2" t="s">
        <v>4949</v>
      </c>
      <c r="B862" s="2" t="s">
        <v>1185</v>
      </c>
      <c r="C862" s="2" t="s">
        <v>4666</v>
      </c>
      <c r="D862" s="2" t="s">
        <v>4950</v>
      </c>
      <c r="E862" s="2" t="s">
        <v>4951</v>
      </c>
      <c r="F862" s="2" t="s">
        <v>4952</v>
      </c>
      <c r="G862" s="2" t="s">
        <v>4953</v>
      </c>
      <c r="H862" s="2" t="s">
        <v>20</v>
      </c>
      <c r="I862" s="2" t="s">
        <v>4954</v>
      </c>
      <c r="J862" s="2" t="s">
        <v>4666</v>
      </c>
      <c r="K862" s="2" t="s">
        <v>1193</v>
      </c>
      <c r="L862" s="2" t="n">
        <v>3</v>
      </c>
      <c r="M862" s="2" t="n">
        <v>60</v>
      </c>
    </row>
    <row r="863" customFormat="false" ht="61.15" hidden="false" customHeight="false" outlineLevel="0" collapsed="false">
      <c r="A863" s="2" t="s">
        <v>4955</v>
      </c>
      <c r="B863" s="2" t="s">
        <v>1185</v>
      </c>
      <c r="C863" s="2" t="s">
        <v>4666</v>
      </c>
      <c r="D863" s="2" t="s">
        <v>4956</v>
      </c>
      <c r="E863" s="2" t="s">
        <v>4957</v>
      </c>
      <c r="F863" s="2" t="s">
        <v>4958</v>
      </c>
      <c r="G863" s="2" t="s">
        <v>4959</v>
      </c>
      <c r="H863" s="2" t="s">
        <v>20</v>
      </c>
      <c r="I863" s="2" t="s">
        <v>4960</v>
      </c>
      <c r="J863" s="2" t="s">
        <v>4666</v>
      </c>
      <c r="K863" s="2" t="s">
        <v>1193</v>
      </c>
      <c r="L863" s="2" t="n">
        <v>2</v>
      </c>
      <c r="M863" s="2" t="n">
        <v>59</v>
      </c>
    </row>
    <row r="864" customFormat="false" ht="61.15" hidden="false" customHeight="false" outlineLevel="0" collapsed="false">
      <c r="A864" s="2" t="s">
        <v>4961</v>
      </c>
      <c r="B864" s="2" t="s">
        <v>1185</v>
      </c>
      <c r="C864" s="2" t="s">
        <v>4666</v>
      </c>
      <c r="D864" s="2" t="s">
        <v>4962</v>
      </c>
      <c r="E864" s="2" t="s">
        <v>4963</v>
      </c>
      <c r="F864" s="2" t="s">
        <v>4964</v>
      </c>
      <c r="G864" s="2" t="s">
        <v>4965</v>
      </c>
      <c r="H864" s="2" t="s">
        <v>20</v>
      </c>
      <c r="I864" s="2" t="s">
        <v>4966</v>
      </c>
      <c r="J864" s="2" t="s">
        <v>4666</v>
      </c>
      <c r="K864" s="2" t="s">
        <v>1193</v>
      </c>
      <c r="L864" s="2" t="n">
        <v>2</v>
      </c>
      <c r="M864" s="2" t="n">
        <v>59</v>
      </c>
    </row>
    <row r="865" customFormat="false" ht="76.1" hidden="false" customHeight="false" outlineLevel="0" collapsed="false">
      <c r="A865" s="2" t="s">
        <v>4967</v>
      </c>
      <c r="B865" s="2" t="s">
        <v>1185</v>
      </c>
      <c r="C865" s="2" t="s">
        <v>4666</v>
      </c>
      <c r="D865" s="2" t="s">
        <v>4968</v>
      </c>
      <c r="E865" s="2" t="s">
        <v>4969</v>
      </c>
      <c r="F865" s="2" t="s">
        <v>4970</v>
      </c>
      <c r="G865" s="2" t="s">
        <v>4971</v>
      </c>
      <c r="H865" s="2" t="s">
        <v>20</v>
      </c>
      <c r="I865" s="2" t="s">
        <v>4972</v>
      </c>
      <c r="J865" s="2" t="s">
        <v>4666</v>
      </c>
      <c r="K865" s="2" t="s">
        <v>1193</v>
      </c>
      <c r="L865" s="2" t="n">
        <v>3</v>
      </c>
      <c r="M865" s="2" t="n">
        <v>61</v>
      </c>
    </row>
    <row r="866" customFormat="false" ht="46.25" hidden="false" customHeight="false" outlineLevel="0" collapsed="false">
      <c r="A866" s="2" t="s">
        <v>4973</v>
      </c>
      <c r="B866" s="2" t="s">
        <v>1185</v>
      </c>
      <c r="C866" s="2" t="s">
        <v>4666</v>
      </c>
      <c r="D866" s="2" t="s">
        <v>4974</v>
      </c>
      <c r="E866" s="2" t="s">
        <v>4975</v>
      </c>
      <c r="F866" s="2" t="s">
        <v>4976</v>
      </c>
      <c r="G866" s="2" t="s">
        <v>4977</v>
      </c>
      <c r="H866" s="2" t="s">
        <v>20</v>
      </c>
      <c r="I866" s="2" t="s">
        <v>4978</v>
      </c>
      <c r="J866" s="2" t="s">
        <v>4666</v>
      </c>
      <c r="K866" s="2" t="s">
        <v>1193</v>
      </c>
      <c r="L866" s="2" t="n">
        <v>2</v>
      </c>
      <c r="M866" s="2" t="n">
        <v>59</v>
      </c>
    </row>
    <row r="867" customFormat="false" ht="61.15" hidden="false" customHeight="false" outlineLevel="0" collapsed="false">
      <c r="A867" s="2" t="s">
        <v>4979</v>
      </c>
      <c r="B867" s="2" t="s">
        <v>1185</v>
      </c>
      <c r="C867" s="2" t="s">
        <v>4666</v>
      </c>
      <c r="D867" s="2" t="s">
        <v>4980</v>
      </c>
      <c r="E867" s="2" t="s">
        <v>4981</v>
      </c>
      <c r="F867" s="2" t="s">
        <v>4982</v>
      </c>
      <c r="G867" s="2" t="s">
        <v>4983</v>
      </c>
      <c r="H867" s="2" t="s">
        <v>20</v>
      </c>
      <c r="I867" s="2" t="s">
        <v>4984</v>
      </c>
      <c r="J867" s="2" t="s">
        <v>4666</v>
      </c>
      <c r="K867" s="2" t="s">
        <v>1193</v>
      </c>
      <c r="L867" s="2" t="n">
        <v>3</v>
      </c>
      <c r="M867" s="2" t="n">
        <v>60</v>
      </c>
    </row>
    <row r="868" customFormat="false" ht="46.25" hidden="false" customHeight="false" outlineLevel="0" collapsed="false">
      <c r="A868" s="2" t="s">
        <v>4985</v>
      </c>
      <c r="B868" s="2" t="s">
        <v>1185</v>
      </c>
      <c r="C868" s="2" t="s">
        <v>4666</v>
      </c>
      <c r="D868" s="2" t="s">
        <v>4986</v>
      </c>
      <c r="E868" s="2" t="s">
        <v>4170</v>
      </c>
      <c r="F868" s="2" t="s">
        <v>4868</v>
      </c>
      <c r="G868" s="2" t="s">
        <v>4879</v>
      </c>
      <c r="H868" s="2" t="s">
        <v>20</v>
      </c>
      <c r="I868" s="2" t="s">
        <v>4987</v>
      </c>
      <c r="J868" s="2" t="s">
        <v>4666</v>
      </c>
      <c r="K868" s="2" t="s">
        <v>1193</v>
      </c>
      <c r="L868" s="2" t="n">
        <v>2</v>
      </c>
      <c r="M868" s="2" t="n">
        <v>60</v>
      </c>
    </row>
    <row r="869" customFormat="false" ht="61.15" hidden="false" customHeight="false" outlineLevel="0" collapsed="false">
      <c r="A869" s="2" t="s">
        <v>4988</v>
      </c>
      <c r="B869" s="2" t="s">
        <v>1185</v>
      </c>
      <c r="C869" s="2" t="s">
        <v>4666</v>
      </c>
      <c r="D869" s="2" t="s">
        <v>4989</v>
      </c>
      <c r="E869" s="2" t="s">
        <v>4990</v>
      </c>
      <c r="F869" s="2" t="s">
        <v>4991</v>
      </c>
      <c r="G869" s="2" t="s">
        <v>4992</v>
      </c>
      <c r="H869" s="2" t="s">
        <v>20</v>
      </c>
      <c r="I869" s="2" t="s">
        <v>4993</v>
      </c>
      <c r="J869" s="2" t="s">
        <v>4666</v>
      </c>
      <c r="K869" s="2" t="s">
        <v>1193</v>
      </c>
      <c r="L869" s="2" t="n">
        <v>2</v>
      </c>
      <c r="M869" s="2" t="n">
        <v>61</v>
      </c>
    </row>
    <row r="870" customFormat="false" ht="46.25" hidden="false" customHeight="false" outlineLevel="0" collapsed="false">
      <c r="A870" s="2" t="s">
        <v>4994</v>
      </c>
      <c r="B870" s="2" t="s">
        <v>1185</v>
      </c>
      <c r="C870" s="2" t="s">
        <v>4666</v>
      </c>
      <c r="D870" s="2" t="s">
        <v>4995</v>
      </c>
      <c r="E870" s="2" t="s">
        <v>4996</v>
      </c>
      <c r="F870" s="2" t="s">
        <v>4997</v>
      </c>
      <c r="G870" s="2" t="s">
        <v>4998</v>
      </c>
      <c r="H870" s="2" t="s">
        <v>20</v>
      </c>
      <c r="I870" s="2" t="s">
        <v>4999</v>
      </c>
      <c r="J870" s="2" t="s">
        <v>4666</v>
      </c>
      <c r="K870" s="2" t="s">
        <v>1193</v>
      </c>
      <c r="L870" s="2" t="n">
        <v>2</v>
      </c>
      <c r="M870" s="2" t="n">
        <v>60</v>
      </c>
    </row>
    <row r="871" customFormat="false" ht="61.15" hidden="false" customHeight="false" outlineLevel="0" collapsed="false">
      <c r="A871" s="2" t="s">
        <v>5000</v>
      </c>
      <c r="B871" s="2" t="s">
        <v>1185</v>
      </c>
      <c r="C871" s="2" t="s">
        <v>4666</v>
      </c>
      <c r="D871" s="2" t="s">
        <v>5001</v>
      </c>
      <c r="E871" s="2" t="s">
        <v>4868</v>
      </c>
      <c r="F871" s="2" t="s">
        <v>4170</v>
      </c>
      <c r="G871" s="2" t="s">
        <v>5002</v>
      </c>
      <c r="H871" s="2" t="s">
        <v>20</v>
      </c>
      <c r="I871" s="2" t="s">
        <v>5003</v>
      </c>
      <c r="J871" s="2" t="s">
        <v>4666</v>
      </c>
      <c r="K871" s="2" t="s">
        <v>1193</v>
      </c>
      <c r="L871" s="2" t="n">
        <v>3</v>
      </c>
      <c r="M871" s="2" t="n">
        <v>60</v>
      </c>
    </row>
    <row r="872" customFormat="false" ht="91" hidden="false" customHeight="false" outlineLevel="0" collapsed="false">
      <c r="A872" s="2" t="s">
        <v>5004</v>
      </c>
      <c r="B872" s="2" t="s">
        <v>1185</v>
      </c>
      <c r="C872" s="2" t="s">
        <v>4666</v>
      </c>
      <c r="D872" s="2" t="s">
        <v>5005</v>
      </c>
      <c r="E872" s="2" t="s">
        <v>5006</v>
      </c>
      <c r="F872" s="2" t="s">
        <v>5007</v>
      </c>
      <c r="G872" s="2" t="s">
        <v>5008</v>
      </c>
      <c r="H872" s="2" t="s">
        <v>20</v>
      </c>
      <c r="I872" s="2" t="s">
        <v>5009</v>
      </c>
      <c r="J872" s="2" t="s">
        <v>4666</v>
      </c>
      <c r="K872" s="2" t="s">
        <v>1193</v>
      </c>
      <c r="L872" s="2" t="n">
        <v>3</v>
      </c>
      <c r="M872" s="2" t="n">
        <v>60</v>
      </c>
    </row>
    <row r="873" customFormat="false" ht="135.8" hidden="false" customHeight="false" outlineLevel="0" collapsed="false">
      <c r="A873" s="2" t="s">
        <v>5010</v>
      </c>
      <c r="B873" s="2" t="s">
        <v>1185</v>
      </c>
      <c r="C873" s="2" t="s">
        <v>4666</v>
      </c>
      <c r="D873" s="2" t="s">
        <v>5011</v>
      </c>
      <c r="E873" s="2" t="s">
        <v>5012</v>
      </c>
      <c r="F873" s="2" t="s">
        <v>5013</v>
      </c>
      <c r="G873" s="2" t="s">
        <v>5014</v>
      </c>
      <c r="H873" s="2" t="s">
        <v>20</v>
      </c>
      <c r="I873" s="2" t="s">
        <v>5015</v>
      </c>
      <c r="J873" s="2" t="s">
        <v>4799</v>
      </c>
      <c r="K873" s="2" t="s">
        <v>1193</v>
      </c>
      <c r="L873" s="2" t="n">
        <v>4</v>
      </c>
      <c r="M873" s="2" t="n">
        <v>61</v>
      </c>
    </row>
    <row r="874" customFormat="false" ht="76.1" hidden="false" customHeight="false" outlineLevel="0" collapsed="false">
      <c r="A874" s="2" t="s">
        <v>5016</v>
      </c>
      <c r="B874" s="2" t="s">
        <v>1185</v>
      </c>
      <c r="C874" s="2" t="s">
        <v>2969</v>
      </c>
      <c r="D874" s="2" t="s">
        <v>5017</v>
      </c>
      <c r="E874" s="2" t="s">
        <v>5018</v>
      </c>
      <c r="F874" s="2" t="s">
        <v>5019</v>
      </c>
      <c r="G874" s="2" t="s">
        <v>5020</v>
      </c>
      <c r="H874" s="2" t="s">
        <v>20</v>
      </c>
      <c r="I874" s="2" t="s">
        <v>5021</v>
      </c>
      <c r="J874" s="2" t="s">
        <v>3051</v>
      </c>
      <c r="K874" s="2" t="s">
        <v>1193</v>
      </c>
      <c r="L874" s="2" t="n">
        <v>4</v>
      </c>
      <c r="M874" s="2" t="n">
        <v>42</v>
      </c>
    </row>
    <row r="875" customFormat="false" ht="61.15" hidden="false" customHeight="false" outlineLevel="0" collapsed="false">
      <c r="A875" s="2" t="s">
        <v>5022</v>
      </c>
      <c r="B875" s="2" t="s">
        <v>1185</v>
      </c>
      <c r="C875" s="2" t="s">
        <v>5023</v>
      </c>
      <c r="D875" s="2" t="s">
        <v>5024</v>
      </c>
      <c r="E875" s="2" t="s">
        <v>5025</v>
      </c>
      <c r="F875" s="2" t="s">
        <v>5026</v>
      </c>
      <c r="G875" s="2" t="s">
        <v>5027</v>
      </c>
      <c r="H875" s="2" t="s">
        <v>20</v>
      </c>
      <c r="I875" s="2" t="s">
        <v>5028</v>
      </c>
      <c r="J875" s="2" t="s">
        <v>5023</v>
      </c>
      <c r="K875" s="2" t="s">
        <v>1193</v>
      </c>
      <c r="L875" s="2" t="n">
        <v>3</v>
      </c>
      <c r="M875" s="2" t="n">
        <v>69</v>
      </c>
    </row>
    <row r="876" customFormat="false" ht="76.1" hidden="false" customHeight="false" outlineLevel="0" collapsed="false">
      <c r="A876" s="2" t="s">
        <v>5029</v>
      </c>
      <c r="B876" s="2" t="s">
        <v>1185</v>
      </c>
      <c r="C876" s="2" t="s">
        <v>5023</v>
      </c>
      <c r="D876" s="2" t="s">
        <v>5030</v>
      </c>
      <c r="E876" s="2" t="s">
        <v>5031</v>
      </c>
      <c r="F876" s="2" t="s">
        <v>5032</v>
      </c>
      <c r="G876" s="2" t="s">
        <v>5033</v>
      </c>
      <c r="H876" s="2" t="s">
        <v>20</v>
      </c>
      <c r="I876" s="2" t="s">
        <v>5034</v>
      </c>
      <c r="J876" s="2" t="s">
        <v>5023</v>
      </c>
      <c r="K876" s="2" t="s">
        <v>1193</v>
      </c>
      <c r="L876" s="2" t="n">
        <v>3</v>
      </c>
      <c r="M876" s="2" t="n">
        <v>71</v>
      </c>
    </row>
    <row r="877" customFormat="false" ht="76.1" hidden="false" customHeight="false" outlineLevel="0" collapsed="false">
      <c r="A877" s="2" t="s">
        <v>5035</v>
      </c>
      <c r="B877" s="2" t="s">
        <v>1185</v>
      </c>
      <c r="C877" s="2" t="s">
        <v>5023</v>
      </c>
      <c r="D877" s="2" t="s">
        <v>5036</v>
      </c>
      <c r="E877" s="2" t="s">
        <v>3092</v>
      </c>
      <c r="F877" s="2" t="s">
        <v>5037</v>
      </c>
      <c r="G877" s="2" t="s">
        <v>5038</v>
      </c>
      <c r="H877" s="2" t="s">
        <v>20</v>
      </c>
      <c r="I877" s="2" t="s">
        <v>5039</v>
      </c>
      <c r="J877" s="2" t="s">
        <v>5040</v>
      </c>
      <c r="K877" s="2" t="s">
        <v>1193</v>
      </c>
      <c r="L877" s="2" t="n">
        <v>3</v>
      </c>
      <c r="M877" s="2" t="n">
        <v>68</v>
      </c>
    </row>
    <row r="878" customFormat="false" ht="61.15" hidden="false" customHeight="false" outlineLevel="0" collapsed="false">
      <c r="A878" s="2" t="s">
        <v>5041</v>
      </c>
      <c r="B878" s="2" t="s">
        <v>1185</v>
      </c>
      <c r="C878" s="2" t="s">
        <v>5023</v>
      </c>
      <c r="D878" s="2" t="s">
        <v>5042</v>
      </c>
      <c r="E878" s="2" t="s">
        <v>4172</v>
      </c>
      <c r="F878" s="2" t="s">
        <v>5043</v>
      </c>
      <c r="G878" s="2" t="s">
        <v>4170</v>
      </c>
      <c r="H878" s="2" t="s">
        <v>226</v>
      </c>
      <c r="I878" s="2" t="s">
        <v>5044</v>
      </c>
      <c r="J878" s="2" t="s">
        <v>5023</v>
      </c>
      <c r="K878" s="2" t="s">
        <v>1193</v>
      </c>
      <c r="L878" s="2" t="n">
        <v>4</v>
      </c>
      <c r="M878" s="2" t="n">
        <v>64</v>
      </c>
    </row>
    <row r="879" customFormat="false" ht="76.1" hidden="false" customHeight="false" outlineLevel="0" collapsed="false">
      <c r="A879" s="2" t="s">
        <v>5045</v>
      </c>
      <c r="B879" s="2" t="s">
        <v>1185</v>
      </c>
      <c r="C879" s="2" t="s">
        <v>5023</v>
      </c>
      <c r="D879" s="2" t="s">
        <v>5046</v>
      </c>
      <c r="E879" s="2" t="s">
        <v>5047</v>
      </c>
      <c r="F879" s="2" t="s">
        <v>5048</v>
      </c>
      <c r="G879" s="2" t="s">
        <v>5049</v>
      </c>
      <c r="H879" s="2" t="s">
        <v>28</v>
      </c>
      <c r="I879" s="2" t="s">
        <v>5050</v>
      </c>
      <c r="J879" s="2" t="s">
        <v>5023</v>
      </c>
      <c r="K879" s="2" t="s">
        <v>1193</v>
      </c>
      <c r="L879" s="2" t="n">
        <v>4</v>
      </c>
      <c r="M879" s="2" t="n">
        <v>67</v>
      </c>
    </row>
    <row r="880" customFormat="false" ht="76.1" hidden="false" customHeight="false" outlineLevel="0" collapsed="false">
      <c r="A880" s="2" t="s">
        <v>5051</v>
      </c>
      <c r="B880" s="2" t="s">
        <v>1185</v>
      </c>
      <c r="C880" s="2" t="s">
        <v>5023</v>
      </c>
      <c r="D880" s="2" t="s">
        <v>5052</v>
      </c>
      <c r="E880" s="2" t="s">
        <v>5053</v>
      </c>
      <c r="F880" s="2" t="s">
        <v>5054</v>
      </c>
      <c r="G880" s="2" t="s">
        <v>5055</v>
      </c>
      <c r="H880" s="2" t="s">
        <v>28</v>
      </c>
      <c r="I880" s="2" t="s">
        <v>5056</v>
      </c>
      <c r="J880" s="2" t="s">
        <v>5023</v>
      </c>
      <c r="K880" s="2" t="s">
        <v>1193</v>
      </c>
      <c r="L880" s="2" t="n">
        <v>4</v>
      </c>
      <c r="M880" s="2" t="n">
        <v>68</v>
      </c>
    </row>
    <row r="881" customFormat="false" ht="46.25" hidden="false" customHeight="false" outlineLevel="0" collapsed="false">
      <c r="A881" s="2" t="s">
        <v>5057</v>
      </c>
      <c r="B881" s="2" t="s">
        <v>1185</v>
      </c>
      <c r="C881" s="2" t="s">
        <v>5023</v>
      </c>
      <c r="D881" s="2" t="s">
        <v>5058</v>
      </c>
      <c r="E881" s="2" t="s">
        <v>5059</v>
      </c>
      <c r="F881" s="2" t="s">
        <v>5060</v>
      </c>
      <c r="G881" s="2" t="s">
        <v>5061</v>
      </c>
      <c r="H881" s="2" t="s">
        <v>20</v>
      </c>
      <c r="I881" s="2" t="s">
        <v>5062</v>
      </c>
      <c r="J881" s="2" t="s">
        <v>5063</v>
      </c>
      <c r="K881" s="2" t="s">
        <v>1193</v>
      </c>
      <c r="L881" s="2" t="n">
        <v>1</v>
      </c>
      <c r="M881" s="2" t="n">
        <v>68</v>
      </c>
    </row>
    <row r="882" customFormat="false" ht="76.1" hidden="false" customHeight="false" outlineLevel="0" collapsed="false">
      <c r="A882" s="2" t="s">
        <v>5064</v>
      </c>
      <c r="B882" s="2" t="s">
        <v>1185</v>
      </c>
      <c r="C882" s="2" t="s">
        <v>5023</v>
      </c>
      <c r="D882" s="2" t="s">
        <v>5065</v>
      </c>
      <c r="E882" s="2" t="s">
        <v>5066</v>
      </c>
      <c r="F882" s="2" t="s">
        <v>5067</v>
      </c>
      <c r="G882" s="2" t="s">
        <v>5068</v>
      </c>
      <c r="H882" s="2" t="s">
        <v>28</v>
      </c>
      <c r="I882" s="2" t="s">
        <v>5069</v>
      </c>
      <c r="J882" s="2" t="s">
        <v>2975</v>
      </c>
      <c r="K882" s="2" t="s">
        <v>1193</v>
      </c>
      <c r="L882" s="2" t="n">
        <v>4</v>
      </c>
      <c r="M882" s="2" t="n">
        <v>65</v>
      </c>
    </row>
    <row r="883" customFormat="false" ht="105.95" hidden="false" customHeight="false" outlineLevel="0" collapsed="false">
      <c r="A883" s="2" t="s">
        <v>5070</v>
      </c>
      <c r="B883" s="2" t="s">
        <v>1185</v>
      </c>
      <c r="C883" s="2" t="s">
        <v>5023</v>
      </c>
      <c r="D883" s="2" t="s">
        <v>5071</v>
      </c>
      <c r="E883" s="2" t="s">
        <v>5072</v>
      </c>
      <c r="F883" s="2" t="s">
        <v>5073</v>
      </c>
      <c r="G883" s="2" t="s">
        <v>5074</v>
      </c>
      <c r="H883" s="2" t="s">
        <v>20</v>
      </c>
      <c r="I883" s="2" t="s">
        <v>5075</v>
      </c>
      <c r="J883" s="2" t="s">
        <v>5076</v>
      </c>
      <c r="K883" s="2" t="s">
        <v>1193</v>
      </c>
      <c r="L883" s="2" t="n">
        <v>3</v>
      </c>
      <c r="M883" s="2" t="n">
        <v>67</v>
      </c>
    </row>
    <row r="884" customFormat="false" ht="61.15" hidden="false" customHeight="false" outlineLevel="0" collapsed="false">
      <c r="A884" s="2" t="s">
        <v>5077</v>
      </c>
      <c r="B884" s="2" t="s">
        <v>1185</v>
      </c>
      <c r="C884" s="2" t="s">
        <v>5023</v>
      </c>
      <c r="D884" s="2" t="s">
        <v>5078</v>
      </c>
      <c r="E884" s="2" t="s">
        <v>5079</v>
      </c>
      <c r="F884" s="2" t="s">
        <v>5080</v>
      </c>
      <c r="G884" s="2" t="s">
        <v>5081</v>
      </c>
      <c r="H884" s="2" t="s">
        <v>226</v>
      </c>
      <c r="I884" s="2" t="s">
        <v>5082</v>
      </c>
      <c r="J884" s="2" t="s">
        <v>5023</v>
      </c>
      <c r="K884" s="2" t="s">
        <v>1193</v>
      </c>
      <c r="L884" s="2" t="n">
        <v>3</v>
      </c>
      <c r="M884" s="2" t="n">
        <v>67</v>
      </c>
    </row>
    <row r="885" customFormat="false" ht="61.15" hidden="false" customHeight="false" outlineLevel="0" collapsed="false">
      <c r="A885" s="2" t="s">
        <v>5083</v>
      </c>
      <c r="B885" s="2" t="s">
        <v>1185</v>
      </c>
      <c r="C885" s="2" t="s">
        <v>5023</v>
      </c>
      <c r="D885" s="2" t="s">
        <v>5084</v>
      </c>
      <c r="E885" s="2" t="s">
        <v>2958</v>
      </c>
      <c r="F885" s="2" t="s">
        <v>4595</v>
      </c>
      <c r="G885" s="2" t="s">
        <v>5085</v>
      </c>
      <c r="H885" s="2" t="s">
        <v>28</v>
      </c>
      <c r="I885" s="2" t="s">
        <v>5086</v>
      </c>
      <c r="J885" s="2" t="s">
        <v>5087</v>
      </c>
      <c r="K885" s="2" t="s">
        <v>1193</v>
      </c>
      <c r="L885" s="2" t="n">
        <v>4</v>
      </c>
      <c r="M885" s="2" t="n">
        <v>66</v>
      </c>
    </row>
    <row r="886" customFormat="false" ht="76.1" hidden="false" customHeight="false" outlineLevel="0" collapsed="false">
      <c r="A886" s="2" t="s">
        <v>5088</v>
      </c>
      <c r="B886" s="2" t="s">
        <v>1185</v>
      </c>
      <c r="C886" s="2" t="s">
        <v>5023</v>
      </c>
      <c r="D886" s="2" t="s">
        <v>5089</v>
      </c>
      <c r="E886" s="2" t="s">
        <v>5090</v>
      </c>
      <c r="F886" s="2" t="s">
        <v>5091</v>
      </c>
      <c r="G886" s="2" t="s">
        <v>5092</v>
      </c>
      <c r="H886" s="2" t="s">
        <v>226</v>
      </c>
      <c r="I886" s="2" t="s">
        <v>5093</v>
      </c>
      <c r="J886" s="2" t="s">
        <v>5023</v>
      </c>
      <c r="K886" s="2" t="s">
        <v>1193</v>
      </c>
      <c r="L886" s="2" t="n">
        <v>3</v>
      </c>
      <c r="M886" s="2" t="n">
        <v>65</v>
      </c>
    </row>
    <row r="887" customFormat="false" ht="61.15" hidden="false" customHeight="false" outlineLevel="0" collapsed="false">
      <c r="A887" s="2" t="s">
        <v>5094</v>
      </c>
      <c r="B887" s="2" t="s">
        <v>1185</v>
      </c>
      <c r="C887" s="2" t="s">
        <v>5023</v>
      </c>
      <c r="D887" s="2" t="s">
        <v>5095</v>
      </c>
      <c r="E887" s="2" t="s">
        <v>5096</v>
      </c>
      <c r="F887" s="2" t="s">
        <v>5097</v>
      </c>
      <c r="G887" s="2" t="s">
        <v>5098</v>
      </c>
      <c r="H887" s="2" t="s">
        <v>20</v>
      </c>
      <c r="I887" s="2" t="s">
        <v>5099</v>
      </c>
      <c r="J887" s="2" t="s">
        <v>5023</v>
      </c>
      <c r="K887" s="2" t="s">
        <v>1193</v>
      </c>
      <c r="L887" s="2" t="n">
        <v>1</v>
      </c>
      <c r="M887" s="2" t="n">
        <v>69</v>
      </c>
    </row>
    <row r="888" customFormat="false" ht="91" hidden="false" customHeight="false" outlineLevel="0" collapsed="false">
      <c r="A888" s="2" t="s">
        <v>5100</v>
      </c>
      <c r="B888" s="2" t="s">
        <v>1185</v>
      </c>
      <c r="C888" s="2" t="s">
        <v>5023</v>
      </c>
      <c r="D888" s="2" t="s">
        <v>5101</v>
      </c>
      <c r="E888" s="2" t="s">
        <v>5102</v>
      </c>
      <c r="F888" s="2" t="s">
        <v>5103</v>
      </c>
      <c r="G888" s="2" t="s">
        <v>5104</v>
      </c>
      <c r="H888" s="2" t="s">
        <v>20</v>
      </c>
      <c r="I888" s="2" t="s">
        <v>5105</v>
      </c>
      <c r="J888" s="2" t="s">
        <v>5023</v>
      </c>
      <c r="K888" s="2" t="s">
        <v>1193</v>
      </c>
      <c r="L888" s="2" t="n">
        <v>2</v>
      </c>
      <c r="M888" s="2" t="n">
        <v>69</v>
      </c>
    </row>
    <row r="889" customFormat="false" ht="91" hidden="false" customHeight="false" outlineLevel="0" collapsed="false">
      <c r="A889" s="2" t="s">
        <v>5106</v>
      </c>
      <c r="B889" s="2" t="s">
        <v>1185</v>
      </c>
      <c r="C889" s="2" t="s">
        <v>5023</v>
      </c>
      <c r="D889" s="2" t="s">
        <v>5107</v>
      </c>
      <c r="E889" s="2" t="s">
        <v>5108</v>
      </c>
      <c r="F889" s="2" t="s">
        <v>5109</v>
      </c>
      <c r="G889" s="2" t="s">
        <v>5110</v>
      </c>
      <c r="H889" s="2" t="s">
        <v>20</v>
      </c>
      <c r="I889" s="2" t="s">
        <v>5111</v>
      </c>
      <c r="J889" s="2" t="s">
        <v>5023</v>
      </c>
      <c r="K889" s="2" t="s">
        <v>1193</v>
      </c>
      <c r="L889" s="2" t="n">
        <v>3</v>
      </c>
      <c r="M889" s="2" t="n">
        <v>68</v>
      </c>
    </row>
    <row r="890" customFormat="false" ht="76.1" hidden="false" customHeight="false" outlineLevel="0" collapsed="false">
      <c r="A890" s="2" t="s">
        <v>5112</v>
      </c>
      <c r="B890" s="2" t="s">
        <v>1185</v>
      </c>
      <c r="C890" s="2" t="s">
        <v>5023</v>
      </c>
      <c r="D890" s="2" t="s">
        <v>5113</v>
      </c>
      <c r="E890" s="2" t="s">
        <v>5114</v>
      </c>
      <c r="F890" s="2" t="s">
        <v>5115</v>
      </c>
      <c r="G890" s="2" t="s">
        <v>5116</v>
      </c>
      <c r="H890" s="2" t="s">
        <v>20</v>
      </c>
      <c r="I890" s="2" t="s">
        <v>5117</v>
      </c>
      <c r="J890" s="2" t="s">
        <v>5023</v>
      </c>
      <c r="K890" s="2" t="s">
        <v>1193</v>
      </c>
      <c r="L890" s="2" t="n">
        <v>2</v>
      </c>
      <c r="M890" s="2" t="n">
        <v>66</v>
      </c>
    </row>
    <row r="891" customFormat="false" ht="61.15" hidden="false" customHeight="false" outlineLevel="0" collapsed="false">
      <c r="A891" s="2" t="s">
        <v>5118</v>
      </c>
      <c r="B891" s="2" t="s">
        <v>1185</v>
      </c>
      <c r="C891" s="2" t="s">
        <v>5023</v>
      </c>
      <c r="D891" s="2" t="s">
        <v>5119</v>
      </c>
      <c r="E891" s="2" t="s">
        <v>5120</v>
      </c>
      <c r="F891" s="2" t="s">
        <v>5121</v>
      </c>
      <c r="G891" s="2" t="s">
        <v>5122</v>
      </c>
      <c r="H891" s="2" t="s">
        <v>20</v>
      </c>
      <c r="I891" s="2" t="s">
        <v>5123</v>
      </c>
      <c r="J891" s="2" t="s">
        <v>5023</v>
      </c>
      <c r="K891" s="2" t="s">
        <v>1193</v>
      </c>
      <c r="L891" s="2" t="n">
        <v>1</v>
      </c>
      <c r="M891" s="2" t="n">
        <v>66</v>
      </c>
    </row>
    <row r="892" customFormat="false" ht="61.15" hidden="false" customHeight="false" outlineLevel="0" collapsed="false">
      <c r="A892" s="2" t="s">
        <v>5124</v>
      </c>
      <c r="B892" s="2" t="s">
        <v>1185</v>
      </c>
      <c r="C892" s="2" t="s">
        <v>5023</v>
      </c>
      <c r="D892" s="2" t="s">
        <v>5125</v>
      </c>
      <c r="E892" s="2" t="s">
        <v>2727</v>
      </c>
      <c r="F892" s="2" t="s">
        <v>5126</v>
      </c>
      <c r="G892" s="2" t="s">
        <v>5127</v>
      </c>
      <c r="H892" s="2" t="s">
        <v>20</v>
      </c>
      <c r="I892" s="2" t="s">
        <v>5128</v>
      </c>
      <c r="J892" s="2" t="s">
        <v>5023</v>
      </c>
      <c r="K892" s="2" t="s">
        <v>1193</v>
      </c>
      <c r="L892" s="2" t="n">
        <v>4</v>
      </c>
      <c r="M892" s="2" t="n">
        <v>67</v>
      </c>
    </row>
    <row r="893" customFormat="false" ht="61.15" hidden="false" customHeight="false" outlineLevel="0" collapsed="false">
      <c r="A893" s="2" t="s">
        <v>5129</v>
      </c>
      <c r="B893" s="2" t="s">
        <v>1185</v>
      </c>
      <c r="C893" s="2" t="s">
        <v>5023</v>
      </c>
      <c r="D893" s="2" t="s">
        <v>5130</v>
      </c>
      <c r="E893" s="2" t="s">
        <v>5131</v>
      </c>
      <c r="F893" s="2" t="s">
        <v>5132</v>
      </c>
      <c r="G893" s="2" t="s">
        <v>5133</v>
      </c>
      <c r="H893" s="2" t="s">
        <v>20</v>
      </c>
      <c r="I893" s="2" t="s">
        <v>5134</v>
      </c>
      <c r="J893" s="2" t="s">
        <v>5023</v>
      </c>
      <c r="K893" s="2" t="s">
        <v>1193</v>
      </c>
      <c r="L893" s="2" t="n">
        <v>2</v>
      </c>
      <c r="M893" s="2" t="n">
        <v>66</v>
      </c>
    </row>
    <row r="894" customFormat="false" ht="61.15" hidden="false" customHeight="false" outlineLevel="0" collapsed="false">
      <c r="A894" s="2" t="s">
        <v>5135</v>
      </c>
      <c r="B894" s="2" t="s">
        <v>1185</v>
      </c>
      <c r="C894" s="2" t="s">
        <v>5023</v>
      </c>
      <c r="D894" s="2" t="s">
        <v>5136</v>
      </c>
      <c r="E894" s="2" t="s">
        <v>5137</v>
      </c>
      <c r="F894" s="2" t="s">
        <v>5138</v>
      </c>
      <c r="G894" s="2" t="s">
        <v>5139</v>
      </c>
      <c r="H894" s="2" t="s">
        <v>20</v>
      </c>
      <c r="I894" s="2" t="s">
        <v>5140</v>
      </c>
      <c r="J894" s="2" t="s">
        <v>5023</v>
      </c>
      <c r="K894" s="2" t="s">
        <v>1193</v>
      </c>
      <c r="L894" s="2" t="n">
        <v>2</v>
      </c>
      <c r="M894" s="2" t="n">
        <v>68</v>
      </c>
    </row>
    <row r="895" customFormat="false" ht="61.15" hidden="false" customHeight="false" outlineLevel="0" collapsed="false">
      <c r="A895" s="2" t="s">
        <v>5141</v>
      </c>
      <c r="B895" s="2" t="s">
        <v>1185</v>
      </c>
      <c r="C895" s="2" t="s">
        <v>5023</v>
      </c>
      <c r="D895" s="2" t="s">
        <v>5142</v>
      </c>
      <c r="E895" s="2" t="s">
        <v>5143</v>
      </c>
      <c r="F895" s="2" t="s">
        <v>5144</v>
      </c>
      <c r="G895" s="2" t="s">
        <v>5145</v>
      </c>
      <c r="H895" s="2" t="s">
        <v>20</v>
      </c>
      <c r="I895" s="2" t="s">
        <v>5146</v>
      </c>
      <c r="J895" s="2" t="s">
        <v>5023</v>
      </c>
      <c r="K895" s="2" t="s">
        <v>1193</v>
      </c>
      <c r="L895" s="2" t="n">
        <v>2</v>
      </c>
      <c r="M895" s="2" t="n">
        <v>69</v>
      </c>
    </row>
    <row r="896" customFormat="false" ht="61.15" hidden="false" customHeight="false" outlineLevel="0" collapsed="false">
      <c r="A896" s="2" t="s">
        <v>5147</v>
      </c>
      <c r="B896" s="2" t="s">
        <v>1185</v>
      </c>
      <c r="C896" s="2" t="s">
        <v>5023</v>
      </c>
      <c r="D896" s="2" t="s">
        <v>5148</v>
      </c>
      <c r="E896" s="2" t="s">
        <v>5149</v>
      </c>
      <c r="F896" s="2" t="s">
        <v>5150</v>
      </c>
      <c r="G896" s="2" t="s">
        <v>5151</v>
      </c>
      <c r="H896" s="2" t="s">
        <v>20</v>
      </c>
      <c r="I896" s="2" t="s">
        <v>5152</v>
      </c>
      <c r="J896" s="2" t="s">
        <v>5023</v>
      </c>
      <c r="K896" s="2" t="s">
        <v>1193</v>
      </c>
      <c r="L896" s="2" t="n">
        <v>3</v>
      </c>
      <c r="M896" s="2" t="n">
        <v>66</v>
      </c>
    </row>
    <row r="897" customFormat="false" ht="91" hidden="false" customHeight="false" outlineLevel="0" collapsed="false">
      <c r="A897" s="2" t="s">
        <v>5153</v>
      </c>
      <c r="B897" s="2" t="s">
        <v>1185</v>
      </c>
      <c r="C897" s="2" t="s">
        <v>5023</v>
      </c>
      <c r="D897" s="2" t="s">
        <v>5154</v>
      </c>
      <c r="E897" s="2" t="s">
        <v>5155</v>
      </c>
      <c r="F897" s="2" t="s">
        <v>5156</v>
      </c>
      <c r="G897" s="2" t="s">
        <v>5157</v>
      </c>
      <c r="H897" s="2" t="s">
        <v>20</v>
      </c>
      <c r="I897" s="2" t="s">
        <v>5158</v>
      </c>
      <c r="J897" s="2" t="s">
        <v>5023</v>
      </c>
      <c r="K897" s="2" t="s">
        <v>1193</v>
      </c>
      <c r="L897" s="2" t="n">
        <v>3</v>
      </c>
      <c r="M897" s="2" t="n">
        <v>65</v>
      </c>
    </row>
    <row r="898" customFormat="false" ht="61.15" hidden="false" customHeight="false" outlineLevel="0" collapsed="false">
      <c r="A898" s="2" t="s">
        <v>5159</v>
      </c>
      <c r="B898" s="2" t="s">
        <v>1185</v>
      </c>
      <c r="C898" s="2" t="s">
        <v>5023</v>
      </c>
      <c r="D898" s="2" t="s">
        <v>5160</v>
      </c>
      <c r="E898" s="2" t="s">
        <v>1608</v>
      </c>
      <c r="F898" s="2" t="s">
        <v>5161</v>
      </c>
      <c r="G898" s="2" t="s">
        <v>5162</v>
      </c>
      <c r="H898" s="2" t="s">
        <v>20</v>
      </c>
      <c r="I898" s="2" t="s">
        <v>5163</v>
      </c>
      <c r="J898" s="2" t="s">
        <v>5023</v>
      </c>
      <c r="K898" s="2" t="s">
        <v>1193</v>
      </c>
      <c r="L898" s="2" t="n">
        <v>3</v>
      </c>
      <c r="M898" s="2" t="n">
        <v>63</v>
      </c>
    </row>
    <row r="899" customFormat="false" ht="61.15" hidden="false" customHeight="false" outlineLevel="0" collapsed="false">
      <c r="A899" s="2" t="s">
        <v>5164</v>
      </c>
      <c r="B899" s="2" t="s">
        <v>1185</v>
      </c>
      <c r="C899" s="2" t="s">
        <v>5023</v>
      </c>
      <c r="D899" s="2" t="s">
        <v>5165</v>
      </c>
      <c r="E899" s="2" t="s">
        <v>5166</v>
      </c>
      <c r="F899" s="2" t="s">
        <v>5167</v>
      </c>
      <c r="G899" s="2" t="s">
        <v>5168</v>
      </c>
      <c r="H899" s="2" t="s">
        <v>20</v>
      </c>
      <c r="I899" s="2" t="s">
        <v>5169</v>
      </c>
      <c r="J899" s="2" t="s">
        <v>1977</v>
      </c>
      <c r="K899" s="2" t="s">
        <v>1193</v>
      </c>
      <c r="L899" s="2" t="n">
        <v>3</v>
      </c>
      <c r="M899" s="2" t="n">
        <v>64</v>
      </c>
    </row>
    <row r="900" customFormat="false" ht="61.15" hidden="false" customHeight="false" outlineLevel="0" collapsed="false">
      <c r="A900" s="2" t="s">
        <v>5170</v>
      </c>
      <c r="B900" s="2" t="s">
        <v>1185</v>
      </c>
      <c r="C900" s="2" t="s">
        <v>5023</v>
      </c>
      <c r="D900" s="2" t="s">
        <v>5171</v>
      </c>
      <c r="E900" s="2" t="s">
        <v>5172</v>
      </c>
      <c r="F900" s="2" t="s">
        <v>5173</v>
      </c>
      <c r="G900" s="2" t="s">
        <v>5174</v>
      </c>
      <c r="H900" s="2" t="s">
        <v>20</v>
      </c>
      <c r="I900" s="2" t="s">
        <v>5175</v>
      </c>
      <c r="J900" s="2" t="s">
        <v>5023</v>
      </c>
      <c r="K900" s="2" t="s">
        <v>1193</v>
      </c>
      <c r="L900" s="2" t="n">
        <v>4</v>
      </c>
      <c r="M900" s="2" t="n">
        <v>63</v>
      </c>
    </row>
    <row r="901" customFormat="false" ht="61.15" hidden="false" customHeight="false" outlineLevel="0" collapsed="false">
      <c r="A901" s="2" t="s">
        <v>5176</v>
      </c>
      <c r="B901" s="2" t="s">
        <v>1185</v>
      </c>
      <c r="C901" s="2" t="s">
        <v>5023</v>
      </c>
      <c r="D901" s="2" t="s">
        <v>5177</v>
      </c>
      <c r="E901" s="2" t="s">
        <v>5178</v>
      </c>
      <c r="F901" s="2" t="s">
        <v>5179</v>
      </c>
      <c r="G901" s="2" t="s">
        <v>5180</v>
      </c>
      <c r="H901" s="2" t="s">
        <v>20</v>
      </c>
      <c r="I901" s="2" t="s">
        <v>5181</v>
      </c>
      <c r="J901" s="2" t="s">
        <v>5023</v>
      </c>
      <c r="K901" s="2" t="s">
        <v>1193</v>
      </c>
      <c r="L901" s="2" t="n">
        <v>2</v>
      </c>
      <c r="M901" s="2" t="n">
        <v>62</v>
      </c>
    </row>
    <row r="902" customFormat="false" ht="76.1" hidden="false" customHeight="false" outlineLevel="0" collapsed="false">
      <c r="A902" s="2" t="s">
        <v>5182</v>
      </c>
      <c r="B902" s="2" t="s">
        <v>1185</v>
      </c>
      <c r="C902" s="2" t="s">
        <v>5023</v>
      </c>
      <c r="D902" s="2" t="s">
        <v>5183</v>
      </c>
      <c r="E902" s="2" t="s">
        <v>5184</v>
      </c>
      <c r="F902" s="2" t="s">
        <v>5185</v>
      </c>
      <c r="G902" s="2" t="s">
        <v>5186</v>
      </c>
      <c r="H902" s="2" t="s">
        <v>20</v>
      </c>
      <c r="I902" s="2" t="s">
        <v>5187</v>
      </c>
      <c r="J902" s="2" t="s">
        <v>5188</v>
      </c>
      <c r="K902" s="2" t="s">
        <v>1193</v>
      </c>
      <c r="L902" s="2" t="n">
        <v>2</v>
      </c>
      <c r="M902" s="2" t="n">
        <v>62</v>
      </c>
    </row>
    <row r="903" customFormat="false" ht="76.1" hidden="false" customHeight="false" outlineLevel="0" collapsed="false">
      <c r="A903" s="2" t="s">
        <v>5189</v>
      </c>
      <c r="B903" s="2" t="s">
        <v>1185</v>
      </c>
      <c r="C903" s="2" t="s">
        <v>5023</v>
      </c>
      <c r="D903" s="2" t="s">
        <v>5190</v>
      </c>
      <c r="E903" s="2" t="s">
        <v>5191</v>
      </c>
      <c r="F903" s="2" t="s">
        <v>5192</v>
      </c>
      <c r="G903" s="2" t="s">
        <v>5193</v>
      </c>
      <c r="H903" s="2" t="s">
        <v>226</v>
      </c>
      <c r="I903" s="2" t="s">
        <v>5194</v>
      </c>
      <c r="J903" s="2" t="s">
        <v>5195</v>
      </c>
      <c r="K903" s="2" t="s">
        <v>1193</v>
      </c>
      <c r="L903" s="2" t="n">
        <v>1</v>
      </c>
      <c r="M903" s="2" t="n">
        <v>62</v>
      </c>
    </row>
    <row r="904" customFormat="false" ht="61.15" hidden="false" customHeight="false" outlineLevel="0" collapsed="false">
      <c r="A904" s="2" t="s">
        <v>5196</v>
      </c>
      <c r="B904" s="2" t="s">
        <v>1185</v>
      </c>
      <c r="C904" s="2" t="s">
        <v>5023</v>
      </c>
      <c r="D904" s="2" t="s">
        <v>5197</v>
      </c>
      <c r="E904" s="2" t="s">
        <v>5198</v>
      </c>
      <c r="F904" s="2" t="s">
        <v>5199</v>
      </c>
      <c r="G904" s="2" t="s">
        <v>5200</v>
      </c>
      <c r="H904" s="2" t="s">
        <v>28</v>
      </c>
      <c r="I904" s="2" t="s">
        <v>5201</v>
      </c>
      <c r="J904" s="2" t="s">
        <v>5195</v>
      </c>
      <c r="K904" s="2" t="s">
        <v>1193</v>
      </c>
      <c r="L904" s="2" t="n">
        <v>1</v>
      </c>
      <c r="M904" s="2" t="n">
        <v>62</v>
      </c>
    </row>
    <row r="905" customFormat="false" ht="61.15" hidden="false" customHeight="false" outlineLevel="0" collapsed="false">
      <c r="A905" s="2" t="s">
        <v>5202</v>
      </c>
      <c r="B905" s="2" t="s">
        <v>1185</v>
      </c>
      <c r="C905" s="2" t="s">
        <v>5023</v>
      </c>
      <c r="D905" s="2" t="s">
        <v>5203</v>
      </c>
      <c r="E905" s="2" t="s">
        <v>5204</v>
      </c>
      <c r="F905" s="2" t="s">
        <v>5205</v>
      </c>
      <c r="G905" s="2" t="s">
        <v>5206</v>
      </c>
      <c r="H905" s="2" t="s">
        <v>20</v>
      </c>
      <c r="I905" s="2" t="s">
        <v>5207</v>
      </c>
      <c r="J905" s="2" t="s">
        <v>5195</v>
      </c>
      <c r="K905" s="2" t="s">
        <v>1193</v>
      </c>
      <c r="L905" s="2" t="n">
        <v>1</v>
      </c>
      <c r="M905" s="2" t="n">
        <v>62</v>
      </c>
    </row>
    <row r="906" customFormat="false" ht="61.15" hidden="false" customHeight="false" outlineLevel="0" collapsed="false">
      <c r="A906" s="2" t="s">
        <v>5208</v>
      </c>
      <c r="B906" s="2" t="s">
        <v>1185</v>
      </c>
      <c r="C906" s="2" t="s">
        <v>5023</v>
      </c>
      <c r="D906" s="2" t="s">
        <v>5209</v>
      </c>
      <c r="E906" s="2" t="s">
        <v>5210</v>
      </c>
      <c r="F906" s="2" t="s">
        <v>5211</v>
      </c>
      <c r="G906" s="2" t="s">
        <v>5212</v>
      </c>
      <c r="H906" s="2" t="s">
        <v>226</v>
      </c>
      <c r="I906" s="2" t="s">
        <v>5213</v>
      </c>
      <c r="J906" s="2" t="s">
        <v>5195</v>
      </c>
      <c r="K906" s="2" t="s">
        <v>1193</v>
      </c>
      <c r="L906" s="2" t="n">
        <v>2</v>
      </c>
      <c r="M906" s="2" t="n">
        <v>62</v>
      </c>
    </row>
    <row r="907" customFormat="false" ht="61.15" hidden="false" customHeight="false" outlineLevel="0" collapsed="false">
      <c r="A907" s="2" t="s">
        <v>5214</v>
      </c>
      <c r="B907" s="2" t="s">
        <v>1185</v>
      </c>
      <c r="C907" s="2" t="s">
        <v>5023</v>
      </c>
      <c r="D907" s="2" t="s">
        <v>5215</v>
      </c>
      <c r="E907" s="2" t="s">
        <v>5216</v>
      </c>
      <c r="F907" s="2" t="s">
        <v>5217</v>
      </c>
      <c r="G907" s="2" t="s">
        <v>5218</v>
      </c>
      <c r="H907" s="2" t="s">
        <v>20</v>
      </c>
      <c r="I907" s="2" t="s">
        <v>5219</v>
      </c>
      <c r="J907" s="2" t="s">
        <v>5195</v>
      </c>
      <c r="K907" s="2" t="s">
        <v>1193</v>
      </c>
      <c r="L907" s="2" t="n">
        <v>2</v>
      </c>
      <c r="M907" s="2" t="n">
        <v>66</v>
      </c>
    </row>
    <row r="908" customFormat="false" ht="105.95" hidden="false" customHeight="false" outlineLevel="0" collapsed="false">
      <c r="A908" s="2" t="s">
        <v>5220</v>
      </c>
      <c r="B908" s="2" t="s">
        <v>1185</v>
      </c>
      <c r="C908" s="2" t="s">
        <v>5023</v>
      </c>
      <c r="D908" s="2" t="s">
        <v>5221</v>
      </c>
      <c r="E908" s="2" t="s">
        <v>5222</v>
      </c>
      <c r="F908" s="2" t="s">
        <v>5223</v>
      </c>
      <c r="G908" s="2" t="s">
        <v>5224</v>
      </c>
      <c r="H908" s="2" t="s">
        <v>20</v>
      </c>
      <c r="I908" s="2" t="s">
        <v>5225</v>
      </c>
      <c r="J908" s="2" t="s">
        <v>5226</v>
      </c>
      <c r="K908" s="2" t="s">
        <v>1193</v>
      </c>
      <c r="L908" s="2" t="n">
        <v>3</v>
      </c>
      <c r="M908" s="2" t="n">
        <v>68</v>
      </c>
    </row>
    <row r="909" customFormat="false" ht="76.1" hidden="false" customHeight="false" outlineLevel="0" collapsed="false">
      <c r="A909" s="2" t="s">
        <v>5227</v>
      </c>
      <c r="B909" s="2" t="s">
        <v>1185</v>
      </c>
      <c r="C909" s="2" t="s">
        <v>5023</v>
      </c>
      <c r="D909" s="2" t="s">
        <v>5228</v>
      </c>
      <c r="E909" s="2" t="s">
        <v>5229</v>
      </c>
      <c r="F909" s="2" t="s">
        <v>4172</v>
      </c>
      <c r="G909" s="2" t="s">
        <v>4170</v>
      </c>
      <c r="H909" s="2" t="s">
        <v>20</v>
      </c>
      <c r="I909" s="2" t="s">
        <v>5230</v>
      </c>
      <c r="J909" s="2" t="s">
        <v>5188</v>
      </c>
      <c r="K909" s="2" t="s">
        <v>1193</v>
      </c>
      <c r="L909" s="2" t="n">
        <v>3</v>
      </c>
      <c r="M909" s="2" t="n">
        <v>62</v>
      </c>
    </row>
    <row r="910" customFormat="false" ht="76.1" hidden="false" customHeight="false" outlineLevel="0" collapsed="false">
      <c r="A910" s="2" t="s">
        <v>5231</v>
      </c>
      <c r="B910" s="2" t="s">
        <v>1185</v>
      </c>
      <c r="C910" s="2" t="s">
        <v>5023</v>
      </c>
      <c r="D910" s="2" t="s">
        <v>5232</v>
      </c>
      <c r="E910" s="2" t="s">
        <v>5233</v>
      </c>
      <c r="F910" s="2" t="s">
        <v>5234</v>
      </c>
      <c r="G910" s="2" t="s">
        <v>5235</v>
      </c>
      <c r="H910" s="2" t="s">
        <v>20</v>
      </c>
      <c r="I910" s="2" t="s">
        <v>5236</v>
      </c>
      <c r="J910" s="2" t="s">
        <v>5188</v>
      </c>
      <c r="K910" s="2" t="s">
        <v>1193</v>
      </c>
      <c r="L910" s="2" t="n">
        <v>3</v>
      </c>
      <c r="M910" s="2" t="n">
        <v>62</v>
      </c>
    </row>
    <row r="911" customFormat="false" ht="76.1" hidden="false" customHeight="false" outlineLevel="0" collapsed="false">
      <c r="A911" s="2" t="s">
        <v>5237</v>
      </c>
      <c r="B911" s="2" t="s">
        <v>1185</v>
      </c>
      <c r="C911" s="2" t="s">
        <v>5023</v>
      </c>
      <c r="D911" s="2" t="s">
        <v>5238</v>
      </c>
      <c r="E911" s="2" t="s">
        <v>5239</v>
      </c>
      <c r="F911" s="2" t="s">
        <v>5240</v>
      </c>
      <c r="G911" s="2" t="s">
        <v>5241</v>
      </c>
      <c r="H911" s="2" t="s">
        <v>20</v>
      </c>
      <c r="I911" s="2" t="s">
        <v>5242</v>
      </c>
      <c r="J911" s="2" t="s">
        <v>5188</v>
      </c>
      <c r="K911" s="2" t="s">
        <v>1193</v>
      </c>
      <c r="L911" s="2" t="n">
        <v>2</v>
      </c>
      <c r="M911" s="2" t="n">
        <v>67</v>
      </c>
    </row>
    <row r="912" customFormat="false" ht="76.1" hidden="false" customHeight="false" outlineLevel="0" collapsed="false">
      <c r="A912" s="2" t="s">
        <v>5243</v>
      </c>
      <c r="B912" s="2" t="s">
        <v>1185</v>
      </c>
      <c r="C912" s="2" t="s">
        <v>5023</v>
      </c>
      <c r="D912" s="2" t="s">
        <v>5244</v>
      </c>
      <c r="E912" s="2" t="s">
        <v>5245</v>
      </c>
      <c r="F912" s="2" t="s">
        <v>5246</v>
      </c>
      <c r="G912" s="2" t="s">
        <v>5247</v>
      </c>
      <c r="H912" s="2" t="s">
        <v>20</v>
      </c>
      <c r="I912" s="2" t="s">
        <v>5248</v>
      </c>
      <c r="J912" s="2" t="s">
        <v>5188</v>
      </c>
      <c r="K912" s="2" t="s">
        <v>1193</v>
      </c>
      <c r="L912" s="2" t="n">
        <v>1</v>
      </c>
      <c r="M912" s="2" t="n">
        <v>62</v>
      </c>
    </row>
    <row r="913" customFormat="false" ht="61.15" hidden="false" customHeight="false" outlineLevel="0" collapsed="false">
      <c r="A913" s="2" t="s">
        <v>5249</v>
      </c>
      <c r="B913" s="2" t="s">
        <v>1185</v>
      </c>
      <c r="C913" s="2" t="s">
        <v>5023</v>
      </c>
      <c r="D913" s="2" t="s">
        <v>5250</v>
      </c>
      <c r="E913" s="2" t="s">
        <v>5251</v>
      </c>
      <c r="F913" s="2" t="s">
        <v>5252</v>
      </c>
      <c r="G913" s="2" t="s">
        <v>5253</v>
      </c>
      <c r="H913" s="2" t="s">
        <v>20</v>
      </c>
      <c r="I913" s="2" t="s">
        <v>5254</v>
      </c>
      <c r="J913" s="2" t="s">
        <v>5255</v>
      </c>
      <c r="K913" s="2" t="s">
        <v>1193</v>
      </c>
      <c r="L913" s="2" t="n">
        <v>2</v>
      </c>
      <c r="M913" s="2" t="n">
        <v>65</v>
      </c>
    </row>
    <row r="914" customFormat="false" ht="61.15" hidden="false" customHeight="false" outlineLevel="0" collapsed="false">
      <c r="A914" s="2" t="s">
        <v>5256</v>
      </c>
      <c r="B914" s="2" t="s">
        <v>1185</v>
      </c>
      <c r="C914" s="2" t="s">
        <v>5023</v>
      </c>
      <c r="D914" s="2" t="s">
        <v>5257</v>
      </c>
      <c r="E914" s="2" t="s">
        <v>5258</v>
      </c>
      <c r="F914" s="2" t="s">
        <v>5259</v>
      </c>
      <c r="G914" s="2" t="s">
        <v>5260</v>
      </c>
      <c r="H914" s="2" t="s">
        <v>20</v>
      </c>
      <c r="I914" s="2" t="s">
        <v>5261</v>
      </c>
      <c r="J914" s="2" t="s">
        <v>5262</v>
      </c>
      <c r="K914" s="2" t="s">
        <v>1193</v>
      </c>
      <c r="L914" s="2" t="n">
        <v>2</v>
      </c>
      <c r="M914" s="2" t="n">
        <v>65</v>
      </c>
    </row>
    <row r="915" customFormat="false" ht="61.15" hidden="false" customHeight="false" outlineLevel="0" collapsed="false">
      <c r="A915" s="2" t="s">
        <v>5263</v>
      </c>
      <c r="B915" s="2" t="s">
        <v>1185</v>
      </c>
      <c r="C915" s="2" t="s">
        <v>5023</v>
      </c>
      <c r="D915" s="2" t="s">
        <v>5264</v>
      </c>
      <c r="E915" s="2" t="s">
        <v>5229</v>
      </c>
      <c r="F915" s="2" t="s">
        <v>4172</v>
      </c>
      <c r="G915" s="2" t="s">
        <v>4170</v>
      </c>
      <c r="H915" s="2" t="s">
        <v>20</v>
      </c>
      <c r="I915" s="2" t="s">
        <v>5265</v>
      </c>
      <c r="J915" s="2" t="s">
        <v>5266</v>
      </c>
      <c r="K915" s="2" t="s">
        <v>1193</v>
      </c>
      <c r="L915" s="2" t="n">
        <v>2</v>
      </c>
      <c r="M915" s="2" t="n">
        <v>66</v>
      </c>
    </row>
    <row r="916" customFormat="false" ht="61.15" hidden="false" customHeight="false" outlineLevel="0" collapsed="false">
      <c r="A916" s="2" t="s">
        <v>5267</v>
      </c>
      <c r="B916" s="2" t="s">
        <v>1185</v>
      </c>
      <c r="C916" s="2" t="s">
        <v>5023</v>
      </c>
      <c r="D916" s="2" t="s">
        <v>5268</v>
      </c>
      <c r="E916" s="2" t="s">
        <v>5269</v>
      </c>
      <c r="F916" s="2" t="s">
        <v>5270</v>
      </c>
      <c r="G916" s="2" t="s">
        <v>5271</v>
      </c>
      <c r="H916" s="2" t="s">
        <v>20</v>
      </c>
      <c r="I916" s="2" t="s">
        <v>5272</v>
      </c>
      <c r="J916" s="2" t="s">
        <v>5273</v>
      </c>
      <c r="K916" s="2" t="s">
        <v>1193</v>
      </c>
      <c r="L916" s="2" t="n">
        <v>3</v>
      </c>
      <c r="M916" s="2" t="n">
        <v>63</v>
      </c>
    </row>
    <row r="917" customFormat="false" ht="76.1" hidden="false" customHeight="false" outlineLevel="0" collapsed="false">
      <c r="A917" s="2" t="s">
        <v>5274</v>
      </c>
      <c r="B917" s="2" t="s">
        <v>1185</v>
      </c>
      <c r="C917" s="2" t="s">
        <v>5023</v>
      </c>
      <c r="D917" s="2" t="s">
        <v>5275</v>
      </c>
      <c r="E917" s="2" t="s">
        <v>5276</v>
      </c>
      <c r="F917" s="2" t="s">
        <v>5277</v>
      </c>
      <c r="G917" s="2" t="s">
        <v>5278</v>
      </c>
      <c r="H917" s="2" t="s">
        <v>20</v>
      </c>
      <c r="I917" s="2" t="s">
        <v>5279</v>
      </c>
      <c r="J917" s="2" t="s">
        <v>5280</v>
      </c>
      <c r="K917" s="2" t="s">
        <v>1193</v>
      </c>
      <c r="L917" s="2" t="n">
        <v>3</v>
      </c>
      <c r="M917" s="2" t="n">
        <v>70</v>
      </c>
    </row>
    <row r="918" customFormat="false" ht="46.25" hidden="false" customHeight="false" outlineLevel="0" collapsed="false">
      <c r="A918" s="2" t="s">
        <v>5281</v>
      </c>
      <c r="B918" s="2" t="s">
        <v>1185</v>
      </c>
      <c r="C918" s="2" t="s">
        <v>5023</v>
      </c>
      <c r="D918" s="2" t="s">
        <v>5282</v>
      </c>
      <c r="E918" s="2" t="s">
        <v>5283</v>
      </c>
      <c r="F918" s="2" t="s">
        <v>5284</v>
      </c>
      <c r="G918" s="2" t="s">
        <v>5285</v>
      </c>
      <c r="H918" s="2" t="s">
        <v>20</v>
      </c>
      <c r="I918" s="2" t="s">
        <v>5286</v>
      </c>
      <c r="J918" s="2" t="s">
        <v>5287</v>
      </c>
      <c r="K918" s="2" t="s">
        <v>1193</v>
      </c>
      <c r="L918" s="2" t="n">
        <v>2</v>
      </c>
      <c r="M918" s="2" t="n">
        <v>69</v>
      </c>
    </row>
    <row r="919" customFormat="false" ht="61.15" hidden="false" customHeight="false" outlineLevel="0" collapsed="false">
      <c r="A919" s="2" t="s">
        <v>5288</v>
      </c>
      <c r="B919" s="2" t="s">
        <v>1185</v>
      </c>
      <c r="C919" s="2" t="s">
        <v>5023</v>
      </c>
      <c r="D919" s="2" t="s">
        <v>5289</v>
      </c>
      <c r="E919" s="2" t="s">
        <v>5290</v>
      </c>
      <c r="F919" s="2" t="s">
        <v>5291</v>
      </c>
      <c r="G919" s="2" t="s">
        <v>5292</v>
      </c>
      <c r="H919" s="2" t="s">
        <v>20</v>
      </c>
      <c r="I919" s="2" t="s">
        <v>5293</v>
      </c>
      <c r="J919" s="2" t="s">
        <v>5294</v>
      </c>
      <c r="K919" s="2" t="s">
        <v>1193</v>
      </c>
      <c r="L919" s="2" t="n">
        <v>2</v>
      </c>
      <c r="M919" s="2" t="n">
        <v>63</v>
      </c>
    </row>
    <row r="920" customFormat="false" ht="61.15" hidden="false" customHeight="false" outlineLevel="0" collapsed="false">
      <c r="A920" s="2" t="s">
        <v>5295</v>
      </c>
      <c r="B920" s="2" t="s">
        <v>1185</v>
      </c>
      <c r="C920" s="2" t="s">
        <v>5023</v>
      </c>
      <c r="D920" s="2" t="s">
        <v>5296</v>
      </c>
      <c r="E920" s="2" t="s">
        <v>4172</v>
      </c>
      <c r="F920" s="2" t="s">
        <v>4170</v>
      </c>
      <c r="G920" s="2" t="s">
        <v>4171</v>
      </c>
      <c r="H920" s="2" t="s">
        <v>226</v>
      </c>
      <c r="I920" s="2" t="s">
        <v>5297</v>
      </c>
      <c r="J920" s="2" t="s">
        <v>5294</v>
      </c>
      <c r="K920" s="2" t="s">
        <v>1193</v>
      </c>
      <c r="L920" s="2" t="n">
        <v>2</v>
      </c>
      <c r="M920" s="2" t="n">
        <v>63</v>
      </c>
    </row>
    <row r="921" customFormat="false" ht="61.15" hidden="false" customHeight="false" outlineLevel="0" collapsed="false">
      <c r="A921" s="2" t="s">
        <v>5298</v>
      </c>
      <c r="B921" s="2" t="s">
        <v>1185</v>
      </c>
      <c r="C921" s="2" t="s">
        <v>5023</v>
      </c>
      <c r="D921" s="2" t="s">
        <v>5299</v>
      </c>
      <c r="E921" s="2" t="s">
        <v>5300</v>
      </c>
      <c r="F921" s="2" t="s">
        <v>5301</v>
      </c>
      <c r="G921" s="2" t="s">
        <v>5302</v>
      </c>
      <c r="H921" s="2" t="s">
        <v>20</v>
      </c>
      <c r="I921" s="2" t="s">
        <v>5303</v>
      </c>
      <c r="J921" s="2" t="s">
        <v>5304</v>
      </c>
      <c r="K921" s="2" t="s">
        <v>1193</v>
      </c>
      <c r="L921" s="2" t="n">
        <v>3</v>
      </c>
      <c r="M921" s="2" t="n">
        <v>66</v>
      </c>
    </row>
    <row r="922" customFormat="false" ht="76.1" hidden="false" customHeight="false" outlineLevel="0" collapsed="false">
      <c r="A922" s="2" t="s">
        <v>5305</v>
      </c>
      <c r="B922" s="2" t="s">
        <v>1185</v>
      </c>
      <c r="C922" s="2" t="s">
        <v>5023</v>
      </c>
      <c r="D922" s="2" t="s">
        <v>5306</v>
      </c>
      <c r="E922" s="2" t="s">
        <v>5307</v>
      </c>
      <c r="F922" s="2" t="s">
        <v>5308</v>
      </c>
      <c r="G922" s="2" t="s">
        <v>5309</v>
      </c>
      <c r="H922" s="2" t="s">
        <v>20</v>
      </c>
      <c r="I922" s="2" t="s">
        <v>5310</v>
      </c>
      <c r="J922" s="2" t="s">
        <v>5294</v>
      </c>
      <c r="K922" s="2" t="s">
        <v>1193</v>
      </c>
      <c r="L922" s="2" t="n">
        <v>2</v>
      </c>
      <c r="M922" s="2" t="n">
        <v>63</v>
      </c>
    </row>
    <row r="923" customFormat="false" ht="76.1" hidden="false" customHeight="false" outlineLevel="0" collapsed="false">
      <c r="A923" s="2" t="s">
        <v>5311</v>
      </c>
      <c r="B923" s="2" t="s">
        <v>1185</v>
      </c>
      <c r="C923" s="2" t="s">
        <v>5023</v>
      </c>
      <c r="D923" s="2" t="s">
        <v>5312</v>
      </c>
      <c r="E923" s="2" t="s">
        <v>5313</v>
      </c>
      <c r="F923" s="2" t="s">
        <v>5314</v>
      </c>
      <c r="G923" s="2" t="s">
        <v>5315</v>
      </c>
      <c r="H923" s="2" t="s">
        <v>20</v>
      </c>
      <c r="I923" s="2" t="s">
        <v>5316</v>
      </c>
      <c r="J923" s="2" t="s">
        <v>5294</v>
      </c>
      <c r="K923" s="2" t="s">
        <v>1193</v>
      </c>
      <c r="L923" s="2" t="n">
        <v>2</v>
      </c>
      <c r="M923" s="2" t="n">
        <v>63</v>
      </c>
    </row>
    <row r="924" customFormat="false" ht="76.1" hidden="false" customHeight="false" outlineLevel="0" collapsed="false">
      <c r="A924" s="2" t="s">
        <v>5317</v>
      </c>
      <c r="B924" s="2" t="s">
        <v>1185</v>
      </c>
      <c r="C924" s="2" t="s">
        <v>5023</v>
      </c>
      <c r="D924" s="2" t="s">
        <v>5318</v>
      </c>
      <c r="E924" s="2" t="s">
        <v>5319</v>
      </c>
      <c r="F924" s="2" t="s">
        <v>5320</v>
      </c>
      <c r="G924" s="2" t="s">
        <v>5321</v>
      </c>
      <c r="H924" s="2" t="s">
        <v>20</v>
      </c>
      <c r="I924" s="2" t="s">
        <v>5322</v>
      </c>
      <c r="J924" s="2" t="s">
        <v>5323</v>
      </c>
      <c r="K924" s="2" t="s">
        <v>1193</v>
      </c>
      <c r="L924" s="2" t="n">
        <v>3</v>
      </c>
      <c r="M924" s="2" t="n">
        <v>67</v>
      </c>
    </row>
    <row r="925" customFormat="false" ht="76.1" hidden="false" customHeight="false" outlineLevel="0" collapsed="false">
      <c r="A925" s="2" t="s">
        <v>5324</v>
      </c>
      <c r="B925" s="2" t="s">
        <v>1185</v>
      </c>
      <c r="C925" s="2" t="s">
        <v>5023</v>
      </c>
      <c r="D925" s="2" t="s">
        <v>5325</v>
      </c>
      <c r="E925" s="2" t="s">
        <v>5326</v>
      </c>
      <c r="F925" s="2" t="s">
        <v>5327</v>
      </c>
      <c r="G925" s="2" t="s">
        <v>5328</v>
      </c>
      <c r="H925" s="2" t="s">
        <v>20</v>
      </c>
      <c r="I925" s="2" t="s">
        <v>5329</v>
      </c>
      <c r="J925" s="2" t="s">
        <v>5330</v>
      </c>
      <c r="K925" s="2" t="s">
        <v>1193</v>
      </c>
      <c r="L925" s="2" t="n">
        <v>2</v>
      </c>
      <c r="M925" s="2" t="n">
        <v>64</v>
      </c>
    </row>
    <row r="926" customFormat="false" ht="61.15" hidden="false" customHeight="false" outlineLevel="0" collapsed="false">
      <c r="A926" s="2" t="s">
        <v>5331</v>
      </c>
      <c r="B926" s="2" t="s">
        <v>1185</v>
      </c>
      <c r="C926" s="2" t="s">
        <v>5023</v>
      </c>
      <c r="D926" s="2" t="s">
        <v>5332</v>
      </c>
      <c r="E926" s="2" t="s">
        <v>5333</v>
      </c>
      <c r="F926" s="2" t="s">
        <v>5334</v>
      </c>
      <c r="G926" s="2" t="s">
        <v>5335</v>
      </c>
      <c r="H926" s="2" t="s">
        <v>28</v>
      </c>
      <c r="I926" s="2" t="s">
        <v>5336</v>
      </c>
      <c r="J926" s="2" t="s">
        <v>5330</v>
      </c>
      <c r="K926" s="2" t="s">
        <v>1193</v>
      </c>
      <c r="L926" s="2" t="n">
        <v>2</v>
      </c>
      <c r="M926" s="2" t="n">
        <v>64</v>
      </c>
    </row>
    <row r="927" customFormat="false" ht="91" hidden="false" customHeight="false" outlineLevel="0" collapsed="false">
      <c r="A927" s="2" t="s">
        <v>5337</v>
      </c>
      <c r="B927" s="2" t="s">
        <v>1185</v>
      </c>
      <c r="C927" s="2" t="s">
        <v>5023</v>
      </c>
      <c r="D927" s="2" t="s">
        <v>5338</v>
      </c>
      <c r="E927" s="2" t="s">
        <v>5339</v>
      </c>
      <c r="F927" s="2" t="s">
        <v>5320</v>
      </c>
      <c r="G927" s="2" t="s">
        <v>5340</v>
      </c>
      <c r="H927" s="2" t="s">
        <v>20</v>
      </c>
      <c r="I927" s="2" t="s">
        <v>5341</v>
      </c>
      <c r="J927" s="2" t="s">
        <v>5342</v>
      </c>
      <c r="K927" s="2" t="s">
        <v>1193</v>
      </c>
      <c r="L927" s="2" t="n">
        <v>4</v>
      </c>
      <c r="M927" s="2" t="n">
        <v>64</v>
      </c>
    </row>
    <row r="928" customFormat="false" ht="46.25" hidden="false" customHeight="false" outlineLevel="0" collapsed="false">
      <c r="A928" s="2" t="s">
        <v>5343</v>
      </c>
      <c r="B928" s="2" t="s">
        <v>1185</v>
      </c>
      <c r="C928" s="2" t="s">
        <v>5023</v>
      </c>
      <c r="D928" s="2" t="s">
        <v>5344</v>
      </c>
      <c r="E928" s="2" t="s">
        <v>5345</v>
      </c>
      <c r="F928" s="2" t="s">
        <v>5346</v>
      </c>
      <c r="G928" s="2" t="s">
        <v>5347</v>
      </c>
      <c r="H928" s="2" t="s">
        <v>20</v>
      </c>
      <c r="I928" s="2" t="s">
        <v>5348</v>
      </c>
      <c r="J928" s="2" t="s">
        <v>5349</v>
      </c>
      <c r="K928" s="2" t="s">
        <v>1193</v>
      </c>
      <c r="L928" s="2" t="n">
        <v>1</v>
      </c>
      <c r="M928" s="2" t="n">
        <v>62</v>
      </c>
    </row>
    <row r="929" customFormat="false" ht="61.15" hidden="false" customHeight="false" outlineLevel="0" collapsed="false">
      <c r="A929" s="2" t="s">
        <v>5350</v>
      </c>
      <c r="B929" s="2" t="s">
        <v>1185</v>
      </c>
      <c r="C929" s="2" t="s">
        <v>5023</v>
      </c>
      <c r="D929" s="2" t="s">
        <v>5351</v>
      </c>
      <c r="E929" s="2" t="s">
        <v>5352</v>
      </c>
      <c r="F929" s="2" t="s">
        <v>5353</v>
      </c>
      <c r="G929" s="2" t="s">
        <v>5354</v>
      </c>
      <c r="H929" s="2" t="s">
        <v>20</v>
      </c>
      <c r="I929" s="2" t="s">
        <v>5355</v>
      </c>
      <c r="J929" s="2" t="s">
        <v>5356</v>
      </c>
      <c r="K929" s="2" t="s">
        <v>1193</v>
      </c>
      <c r="L929" s="2" t="n">
        <v>2</v>
      </c>
      <c r="M929" s="2" t="n">
        <v>67</v>
      </c>
    </row>
    <row r="930" customFormat="false" ht="91" hidden="false" customHeight="false" outlineLevel="0" collapsed="false">
      <c r="A930" s="2" t="s">
        <v>5357</v>
      </c>
      <c r="B930" s="2" t="s">
        <v>1185</v>
      </c>
      <c r="C930" s="2" t="s">
        <v>5023</v>
      </c>
      <c r="D930" s="2" t="s">
        <v>5358</v>
      </c>
      <c r="E930" s="2" t="s">
        <v>5359</v>
      </c>
      <c r="F930" s="2" t="s">
        <v>5360</v>
      </c>
      <c r="G930" s="2" t="s">
        <v>5361</v>
      </c>
      <c r="H930" s="2" t="s">
        <v>20</v>
      </c>
      <c r="I930" s="2" t="s">
        <v>5362</v>
      </c>
      <c r="J930" s="2" t="s">
        <v>5363</v>
      </c>
      <c r="K930" s="2" t="s">
        <v>1193</v>
      </c>
      <c r="L930" s="2" t="n">
        <v>1</v>
      </c>
      <c r="M930" s="2" t="n">
        <v>64</v>
      </c>
    </row>
    <row r="931" customFormat="false" ht="61.15" hidden="false" customHeight="false" outlineLevel="0" collapsed="false">
      <c r="A931" s="2" t="s">
        <v>5364</v>
      </c>
      <c r="B931" s="2" t="s">
        <v>1185</v>
      </c>
      <c r="C931" s="2" t="s">
        <v>5023</v>
      </c>
      <c r="D931" s="2" t="s">
        <v>5365</v>
      </c>
      <c r="E931" s="2" t="s">
        <v>5366</v>
      </c>
      <c r="F931" s="2" t="s">
        <v>5367</v>
      </c>
      <c r="G931" s="2" t="s">
        <v>5368</v>
      </c>
      <c r="H931" s="2" t="s">
        <v>20</v>
      </c>
      <c r="I931" s="2" t="s">
        <v>5369</v>
      </c>
      <c r="J931" s="2" t="s">
        <v>5363</v>
      </c>
      <c r="K931" s="2" t="s">
        <v>1193</v>
      </c>
      <c r="L931" s="2" t="n">
        <v>2</v>
      </c>
      <c r="M931" s="2" t="n">
        <v>64</v>
      </c>
    </row>
    <row r="932" customFormat="false" ht="61.15" hidden="false" customHeight="false" outlineLevel="0" collapsed="false">
      <c r="A932" s="2" t="s">
        <v>5370</v>
      </c>
      <c r="B932" s="2" t="s">
        <v>1185</v>
      </c>
      <c r="C932" s="2" t="s">
        <v>5023</v>
      </c>
      <c r="D932" s="2" t="s">
        <v>5371</v>
      </c>
      <c r="E932" s="2" t="s">
        <v>5372</v>
      </c>
      <c r="F932" s="2" t="s">
        <v>5373</v>
      </c>
      <c r="G932" s="2" t="s">
        <v>5374</v>
      </c>
      <c r="H932" s="2" t="s">
        <v>28</v>
      </c>
      <c r="I932" s="2" t="s">
        <v>5375</v>
      </c>
      <c r="J932" s="2" t="s">
        <v>5363</v>
      </c>
      <c r="K932" s="2" t="s">
        <v>1193</v>
      </c>
      <c r="L932" s="2" t="n">
        <v>3</v>
      </c>
      <c r="M932" s="2" t="n">
        <v>64</v>
      </c>
    </row>
    <row r="933" customFormat="false" ht="76.1" hidden="false" customHeight="false" outlineLevel="0" collapsed="false">
      <c r="A933" s="2" t="s">
        <v>5376</v>
      </c>
      <c r="B933" s="2" t="s">
        <v>1185</v>
      </c>
      <c r="C933" s="2" t="s">
        <v>5023</v>
      </c>
      <c r="D933" s="2" t="s">
        <v>5377</v>
      </c>
      <c r="E933" s="2" t="s">
        <v>5378</v>
      </c>
      <c r="F933" s="2" t="s">
        <v>5379</v>
      </c>
      <c r="G933" s="2" t="s">
        <v>5380</v>
      </c>
      <c r="H933" s="2" t="s">
        <v>20</v>
      </c>
      <c r="I933" s="2" t="s">
        <v>5381</v>
      </c>
      <c r="J933" s="2" t="s">
        <v>5382</v>
      </c>
      <c r="K933" s="2" t="s">
        <v>1193</v>
      </c>
      <c r="L933" s="2" t="n">
        <v>2</v>
      </c>
      <c r="M933" s="2" t="n">
        <v>64</v>
      </c>
    </row>
    <row r="934" customFormat="false" ht="61.15" hidden="false" customHeight="false" outlineLevel="0" collapsed="false">
      <c r="A934" s="2" t="s">
        <v>5383</v>
      </c>
      <c r="B934" s="2" t="s">
        <v>1185</v>
      </c>
      <c r="C934" s="2" t="s">
        <v>5023</v>
      </c>
      <c r="D934" s="2" t="s">
        <v>5384</v>
      </c>
      <c r="E934" s="2" t="s">
        <v>4172</v>
      </c>
      <c r="F934" s="2" t="s">
        <v>5229</v>
      </c>
      <c r="G934" s="2" t="s">
        <v>4170</v>
      </c>
      <c r="H934" s="2" t="s">
        <v>20</v>
      </c>
      <c r="I934" s="2" t="s">
        <v>5385</v>
      </c>
      <c r="J934" s="2" t="s">
        <v>5382</v>
      </c>
      <c r="K934" s="2" t="s">
        <v>1193</v>
      </c>
      <c r="L934" s="2" t="n">
        <v>2</v>
      </c>
      <c r="M934" s="2" t="n">
        <v>64</v>
      </c>
    </row>
    <row r="935" customFormat="false" ht="61.15" hidden="false" customHeight="false" outlineLevel="0" collapsed="false">
      <c r="A935" s="2" t="s">
        <v>5386</v>
      </c>
      <c r="B935" s="2" t="s">
        <v>1185</v>
      </c>
      <c r="C935" s="2" t="s">
        <v>5023</v>
      </c>
      <c r="D935" s="2" t="s">
        <v>5387</v>
      </c>
      <c r="E935" s="2" t="s">
        <v>5388</v>
      </c>
      <c r="F935" s="2" t="s">
        <v>5389</v>
      </c>
      <c r="G935" s="2" t="s">
        <v>5390</v>
      </c>
      <c r="H935" s="2" t="s">
        <v>20</v>
      </c>
      <c r="I935" s="2" t="s">
        <v>5391</v>
      </c>
      <c r="J935" s="2" t="s">
        <v>5382</v>
      </c>
      <c r="K935" s="2" t="s">
        <v>1193</v>
      </c>
      <c r="L935" s="2" t="n">
        <v>3</v>
      </c>
      <c r="M935" s="2" t="n">
        <v>64</v>
      </c>
    </row>
    <row r="936" customFormat="false" ht="61.15" hidden="false" customHeight="false" outlineLevel="0" collapsed="false">
      <c r="A936" s="2" t="s">
        <v>5392</v>
      </c>
      <c r="B936" s="2" t="s">
        <v>1185</v>
      </c>
      <c r="C936" s="2" t="s">
        <v>5023</v>
      </c>
      <c r="D936" s="2" t="s">
        <v>5393</v>
      </c>
      <c r="E936" s="2" t="s">
        <v>5394</v>
      </c>
      <c r="F936" s="2" t="s">
        <v>5395</v>
      </c>
      <c r="G936" s="2" t="s">
        <v>5396</v>
      </c>
      <c r="H936" s="2" t="s">
        <v>226</v>
      </c>
      <c r="I936" s="2" t="s">
        <v>5397</v>
      </c>
      <c r="J936" s="2" t="s">
        <v>5398</v>
      </c>
      <c r="K936" s="2" t="s">
        <v>1193</v>
      </c>
      <c r="L936" s="2" t="n">
        <v>2</v>
      </c>
      <c r="M936" s="2" t="n">
        <v>64</v>
      </c>
    </row>
    <row r="937" customFormat="false" ht="61.15" hidden="false" customHeight="false" outlineLevel="0" collapsed="false">
      <c r="A937" s="2" t="s">
        <v>5399</v>
      </c>
      <c r="B937" s="2" t="s">
        <v>1185</v>
      </c>
      <c r="C937" s="2" t="s">
        <v>5023</v>
      </c>
      <c r="D937" s="2" t="s">
        <v>5400</v>
      </c>
      <c r="E937" s="2" t="s">
        <v>5401</v>
      </c>
      <c r="F937" s="2" t="s">
        <v>5402</v>
      </c>
      <c r="G937" s="2" t="s">
        <v>5403</v>
      </c>
      <c r="H937" s="2" t="s">
        <v>28</v>
      </c>
      <c r="I937" s="2" t="s">
        <v>5404</v>
      </c>
      <c r="J937" s="2" t="s">
        <v>5398</v>
      </c>
      <c r="K937" s="2" t="s">
        <v>1193</v>
      </c>
      <c r="L937" s="2" t="n">
        <v>3</v>
      </c>
      <c r="M937" s="2" t="n">
        <v>64</v>
      </c>
    </row>
    <row r="938" customFormat="false" ht="61.15" hidden="false" customHeight="false" outlineLevel="0" collapsed="false">
      <c r="A938" s="2" t="s">
        <v>5405</v>
      </c>
      <c r="B938" s="2" t="s">
        <v>1185</v>
      </c>
      <c r="C938" s="2" t="s">
        <v>5023</v>
      </c>
      <c r="D938" s="2" t="s">
        <v>5406</v>
      </c>
      <c r="E938" s="2" t="s">
        <v>5407</v>
      </c>
      <c r="F938" s="2" t="s">
        <v>5408</v>
      </c>
      <c r="G938" s="2" t="s">
        <v>5409</v>
      </c>
      <c r="H938" s="2" t="s">
        <v>20</v>
      </c>
      <c r="I938" s="2" t="s">
        <v>5410</v>
      </c>
      <c r="J938" s="2" t="s">
        <v>5398</v>
      </c>
      <c r="K938" s="2" t="s">
        <v>1193</v>
      </c>
      <c r="L938" s="2" t="n">
        <v>3</v>
      </c>
      <c r="M938" s="2" t="n">
        <v>64</v>
      </c>
    </row>
    <row r="939" customFormat="false" ht="61.15" hidden="false" customHeight="false" outlineLevel="0" collapsed="false">
      <c r="A939" s="2" t="s">
        <v>5411</v>
      </c>
      <c r="B939" s="2" t="s">
        <v>1185</v>
      </c>
      <c r="C939" s="2" t="s">
        <v>5023</v>
      </c>
      <c r="D939" s="2" t="s">
        <v>5412</v>
      </c>
      <c r="E939" s="2" t="s">
        <v>5413</v>
      </c>
      <c r="F939" s="2" t="s">
        <v>5414</v>
      </c>
      <c r="G939" s="2" t="s">
        <v>5415</v>
      </c>
      <c r="H939" s="2" t="s">
        <v>20</v>
      </c>
      <c r="I939" s="2" t="s">
        <v>5416</v>
      </c>
      <c r="J939" s="2" t="s">
        <v>5417</v>
      </c>
      <c r="K939" s="2" t="s">
        <v>1193</v>
      </c>
      <c r="L939" s="2" t="n">
        <v>2</v>
      </c>
      <c r="M939" s="2" t="n">
        <v>69</v>
      </c>
    </row>
    <row r="940" customFormat="false" ht="76.1" hidden="false" customHeight="false" outlineLevel="0" collapsed="false">
      <c r="A940" s="2" t="s">
        <v>5418</v>
      </c>
      <c r="B940" s="2" t="s">
        <v>1185</v>
      </c>
      <c r="C940" s="2" t="s">
        <v>5023</v>
      </c>
      <c r="D940" s="2" t="s">
        <v>5419</v>
      </c>
      <c r="E940" s="2" t="s">
        <v>5420</v>
      </c>
      <c r="F940" s="2" t="s">
        <v>5421</v>
      </c>
      <c r="G940" s="2" t="s">
        <v>5422</v>
      </c>
      <c r="H940" s="2" t="s">
        <v>20</v>
      </c>
      <c r="I940" s="2" t="s">
        <v>5423</v>
      </c>
      <c r="J940" s="2" t="s">
        <v>5424</v>
      </c>
      <c r="K940" s="2" t="s">
        <v>1193</v>
      </c>
      <c r="L940" s="2" t="n">
        <v>2</v>
      </c>
      <c r="M940" s="2" t="n">
        <v>64</v>
      </c>
    </row>
    <row r="941" customFormat="false" ht="91" hidden="false" customHeight="false" outlineLevel="0" collapsed="false">
      <c r="A941" s="2" t="s">
        <v>5425</v>
      </c>
      <c r="B941" s="2" t="s">
        <v>1185</v>
      </c>
      <c r="C941" s="2" t="s">
        <v>5023</v>
      </c>
      <c r="D941" s="2" t="s">
        <v>5426</v>
      </c>
      <c r="E941" s="2" t="s">
        <v>5427</v>
      </c>
      <c r="F941" s="2" t="s">
        <v>5428</v>
      </c>
      <c r="G941" s="2" t="s">
        <v>5429</v>
      </c>
      <c r="H941" s="2" t="s">
        <v>20</v>
      </c>
      <c r="I941" s="2" t="s">
        <v>5430</v>
      </c>
      <c r="J941" s="2" t="s">
        <v>5431</v>
      </c>
      <c r="K941" s="2" t="s">
        <v>1193</v>
      </c>
      <c r="L941" s="2" t="n">
        <v>3</v>
      </c>
      <c r="M941" s="2" t="n">
        <v>66</v>
      </c>
    </row>
    <row r="942" customFormat="false" ht="76.1" hidden="false" customHeight="false" outlineLevel="0" collapsed="false">
      <c r="A942" s="2" t="s">
        <v>5432</v>
      </c>
      <c r="B942" s="2" t="s">
        <v>1185</v>
      </c>
      <c r="C942" s="2" t="s">
        <v>5023</v>
      </c>
      <c r="D942" s="2" t="s">
        <v>5433</v>
      </c>
      <c r="E942" s="2" t="s">
        <v>5434</v>
      </c>
      <c r="F942" s="2" t="s">
        <v>5435</v>
      </c>
      <c r="G942" s="2" t="s">
        <v>5436</v>
      </c>
      <c r="H942" s="2" t="s">
        <v>20</v>
      </c>
      <c r="I942" s="2" t="s">
        <v>5437</v>
      </c>
      <c r="J942" s="2" t="s">
        <v>5438</v>
      </c>
      <c r="K942" s="2" t="s">
        <v>1193</v>
      </c>
      <c r="L942" s="2" t="n">
        <v>3</v>
      </c>
      <c r="M942" s="2" t="n">
        <v>64</v>
      </c>
    </row>
    <row r="943" customFormat="false" ht="76.1" hidden="false" customHeight="false" outlineLevel="0" collapsed="false">
      <c r="A943" s="2" t="s">
        <v>5439</v>
      </c>
      <c r="B943" s="2" t="s">
        <v>1185</v>
      </c>
      <c r="C943" s="2" t="s">
        <v>5023</v>
      </c>
      <c r="D943" s="2" t="s">
        <v>5440</v>
      </c>
      <c r="E943" s="2" t="s">
        <v>5441</v>
      </c>
      <c r="F943" s="2" t="s">
        <v>5442</v>
      </c>
      <c r="G943" s="2" t="s">
        <v>5443</v>
      </c>
      <c r="H943" s="2" t="s">
        <v>28</v>
      </c>
      <c r="I943" s="2" t="s">
        <v>5444</v>
      </c>
      <c r="J943" s="2" t="s">
        <v>5445</v>
      </c>
      <c r="K943" s="2" t="s">
        <v>1193</v>
      </c>
      <c r="L943" s="2" t="n">
        <v>4</v>
      </c>
      <c r="M943" s="2" t="n">
        <v>65</v>
      </c>
    </row>
    <row r="944" customFormat="false" ht="61.15" hidden="false" customHeight="false" outlineLevel="0" collapsed="false">
      <c r="A944" s="2" t="s">
        <v>5446</v>
      </c>
      <c r="B944" s="2" t="s">
        <v>1185</v>
      </c>
      <c r="C944" s="2" t="s">
        <v>5023</v>
      </c>
      <c r="D944" s="2" t="s">
        <v>5447</v>
      </c>
      <c r="E944" s="2" t="s">
        <v>5448</v>
      </c>
      <c r="F944" s="2" t="s">
        <v>5449</v>
      </c>
      <c r="G944" s="2" t="s">
        <v>5450</v>
      </c>
      <c r="H944" s="2" t="s">
        <v>20</v>
      </c>
      <c r="I944" s="2" t="s">
        <v>5451</v>
      </c>
      <c r="J944" s="2" t="s">
        <v>5445</v>
      </c>
      <c r="K944" s="2" t="s">
        <v>1193</v>
      </c>
      <c r="L944" s="2" t="n">
        <v>2</v>
      </c>
      <c r="M944" s="2" t="n">
        <v>65</v>
      </c>
    </row>
    <row r="945" customFormat="false" ht="91" hidden="false" customHeight="false" outlineLevel="0" collapsed="false">
      <c r="A945" s="2" t="s">
        <v>5452</v>
      </c>
      <c r="B945" s="2" t="s">
        <v>1185</v>
      </c>
      <c r="C945" s="2" t="s">
        <v>5023</v>
      </c>
      <c r="D945" s="2" t="s">
        <v>5453</v>
      </c>
      <c r="E945" s="2" t="s">
        <v>5454</v>
      </c>
      <c r="F945" s="2" t="s">
        <v>5455</v>
      </c>
      <c r="G945" s="2" t="s">
        <v>5456</v>
      </c>
      <c r="H945" s="2" t="s">
        <v>20</v>
      </c>
      <c r="I945" s="2" t="s">
        <v>5457</v>
      </c>
      <c r="J945" s="2" t="s">
        <v>5458</v>
      </c>
      <c r="K945" s="2" t="s">
        <v>1193</v>
      </c>
      <c r="L945" s="2" t="n">
        <v>2</v>
      </c>
      <c r="M945" s="2" t="n">
        <v>65</v>
      </c>
    </row>
    <row r="946" customFormat="false" ht="46.25" hidden="false" customHeight="false" outlineLevel="0" collapsed="false">
      <c r="A946" s="2" t="s">
        <v>5459</v>
      </c>
      <c r="B946" s="2" t="s">
        <v>1185</v>
      </c>
      <c r="C946" s="2" t="s">
        <v>5023</v>
      </c>
      <c r="D946" s="2" t="s">
        <v>5460</v>
      </c>
      <c r="E946" s="2" t="s">
        <v>5461</v>
      </c>
      <c r="F946" s="2" t="s">
        <v>5462</v>
      </c>
      <c r="G946" s="2" t="s">
        <v>5463</v>
      </c>
      <c r="H946" s="2" t="s">
        <v>28</v>
      </c>
      <c r="I946" s="2" t="s">
        <v>5464</v>
      </c>
      <c r="J946" s="2" t="s">
        <v>5465</v>
      </c>
      <c r="K946" s="2" t="s">
        <v>1193</v>
      </c>
      <c r="L946" s="2" t="n">
        <v>2</v>
      </c>
      <c r="M946" s="2" t="n">
        <v>65</v>
      </c>
    </row>
    <row r="947" customFormat="false" ht="46.25" hidden="false" customHeight="false" outlineLevel="0" collapsed="false">
      <c r="A947" s="2" t="s">
        <v>5466</v>
      </c>
      <c r="B947" s="2" t="s">
        <v>1185</v>
      </c>
      <c r="C947" s="2" t="s">
        <v>5023</v>
      </c>
      <c r="D947" s="2" t="s">
        <v>5467</v>
      </c>
      <c r="E947" s="2" t="s">
        <v>2727</v>
      </c>
      <c r="F947" s="2" t="s">
        <v>5468</v>
      </c>
      <c r="G947" s="2" t="s">
        <v>5469</v>
      </c>
      <c r="H947" s="2" t="s">
        <v>20</v>
      </c>
      <c r="I947" s="2" t="s">
        <v>5470</v>
      </c>
      <c r="J947" s="2" t="s">
        <v>5471</v>
      </c>
      <c r="K947" s="2" t="s">
        <v>1193</v>
      </c>
      <c r="L947" s="2" t="n">
        <v>2</v>
      </c>
      <c r="M947" s="2" t="n">
        <v>65</v>
      </c>
    </row>
    <row r="948" customFormat="false" ht="61.15" hidden="false" customHeight="false" outlineLevel="0" collapsed="false">
      <c r="A948" s="2" t="s">
        <v>5472</v>
      </c>
      <c r="B948" s="2" t="s">
        <v>1185</v>
      </c>
      <c r="C948" s="2" t="s">
        <v>5023</v>
      </c>
      <c r="D948" s="2" t="s">
        <v>5473</v>
      </c>
      <c r="E948" s="2" t="s">
        <v>5474</v>
      </c>
      <c r="F948" s="2" t="s">
        <v>5475</v>
      </c>
      <c r="G948" s="2" t="s">
        <v>5476</v>
      </c>
      <c r="H948" s="2" t="s">
        <v>20</v>
      </c>
      <c r="I948" s="2" t="s">
        <v>5477</v>
      </c>
      <c r="J948" s="2" t="s">
        <v>5458</v>
      </c>
      <c r="K948" s="2" t="s">
        <v>1193</v>
      </c>
      <c r="L948" s="2" t="n">
        <v>4</v>
      </c>
      <c r="M948" s="2" t="n">
        <v>64</v>
      </c>
    </row>
    <row r="949" customFormat="false" ht="46.25" hidden="false" customHeight="false" outlineLevel="0" collapsed="false">
      <c r="A949" s="2" t="s">
        <v>5478</v>
      </c>
      <c r="B949" s="2" t="s">
        <v>1185</v>
      </c>
      <c r="C949" s="2" t="s">
        <v>5023</v>
      </c>
      <c r="D949" s="2" t="s">
        <v>5479</v>
      </c>
      <c r="E949" s="2" t="s">
        <v>5480</v>
      </c>
      <c r="F949" s="2" t="s">
        <v>5481</v>
      </c>
      <c r="G949" s="2" t="s">
        <v>5482</v>
      </c>
      <c r="H949" s="2" t="s">
        <v>20</v>
      </c>
      <c r="I949" s="2" t="s">
        <v>5483</v>
      </c>
      <c r="J949" s="2" t="s">
        <v>5484</v>
      </c>
      <c r="K949" s="2" t="s">
        <v>1193</v>
      </c>
      <c r="L949" s="2" t="n">
        <v>1</v>
      </c>
      <c r="M949" s="2" t="n">
        <v>65</v>
      </c>
    </row>
    <row r="950" customFormat="false" ht="76.1" hidden="false" customHeight="false" outlineLevel="0" collapsed="false">
      <c r="A950" s="2" t="s">
        <v>5485</v>
      </c>
      <c r="B950" s="2" t="s">
        <v>1185</v>
      </c>
      <c r="C950" s="2" t="s">
        <v>5023</v>
      </c>
      <c r="D950" s="2" t="s">
        <v>5486</v>
      </c>
      <c r="E950" s="2" t="s">
        <v>5487</v>
      </c>
      <c r="F950" s="2" t="s">
        <v>5488</v>
      </c>
      <c r="G950" s="2" t="s">
        <v>5489</v>
      </c>
      <c r="H950" s="2" t="s">
        <v>20</v>
      </c>
      <c r="I950" s="2" t="s">
        <v>5490</v>
      </c>
      <c r="J950" s="2" t="s">
        <v>5491</v>
      </c>
      <c r="K950" s="2" t="s">
        <v>1193</v>
      </c>
      <c r="L950" s="2" t="n">
        <v>2</v>
      </c>
      <c r="M950" s="2" t="n">
        <v>65</v>
      </c>
    </row>
    <row r="951" customFormat="false" ht="76.1" hidden="false" customHeight="false" outlineLevel="0" collapsed="false">
      <c r="A951" s="2" t="s">
        <v>5492</v>
      </c>
      <c r="B951" s="2" t="s">
        <v>1185</v>
      </c>
      <c r="C951" s="2" t="s">
        <v>5023</v>
      </c>
      <c r="D951" s="2" t="s">
        <v>5493</v>
      </c>
      <c r="E951" s="2" t="s">
        <v>5494</v>
      </c>
      <c r="F951" s="2" t="s">
        <v>5495</v>
      </c>
      <c r="G951" s="2" t="s">
        <v>5496</v>
      </c>
      <c r="H951" s="2" t="s">
        <v>20</v>
      </c>
      <c r="I951" s="2" t="s">
        <v>5497</v>
      </c>
      <c r="J951" s="2" t="s">
        <v>5491</v>
      </c>
      <c r="K951" s="2" t="s">
        <v>1193</v>
      </c>
      <c r="L951" s="2" t="n">
        <v>3</v>
      </c>
      <c r="M951" s="2" t="n">
        <v>65</v>
      </c>
    </row>
    <row r="952" customFormat="false" ht="120.85" hidden="false" customHeight="false" outlineLevel="0" collapsed="false">
      <c r="A952" s="2" t="s">
        <v>5498</v>
      </c>
      <c r="B952" s="2" t="s">
        <v>1185</v>
      </c>
      <c r="C952" s="2" t="s">
        <v>5023</v>
      </c>
      <c r="D952" s="2" t="s">
        <v>5499</v>
      </c>
      <c r="E952" s="2" t="s">
        <v>5500</v>
      </c>
      <c r="F952" s="2" t="s">
        <v>5501</v>
      </c>
      <c r="G952" s="2" t="s">
        <v>5502</v>
      </c>
      <c r="H952" s="2" t="s">
        <v>20</v>
      </c>
      <c r="I952" s="2" t="s">
        <v>5503</v>
      </c>
      <c r="J952" s="2" t="s">
        <v>5491</v>
      </c>
      <c r="K952" s="2" t="s">
        <v>1193</v>
      </c>
      <c r="L952" s="2" t="n">
        <v>4</v>
      </c>
      <c r="M952" s="2" t="n">
        <v>65</v>
      </c>
    </row>
    <row r="953" customFormat="false" ht="91" hidden="false" customHeight="false" outlineLevel="0" collapsed="false">
      <c r="A953" s="2" t="s">
        <v>5504</v>
      </c>
      <c r="B953" s="2" t="s">
        <v>1185</v>
      </c>
      <c r="C953" s="2" t="s">
        <v>5023</v>
      </c>
      <c r="D953" s="2" t="s">
        <v>5505</v>
      </c>
      <c r="E953" s="2" t="s">
        <v>5506</v>
      </c>
      <c r="F953" s="2" t="s">
        <v>5507</v>
      </c>
      <c r="G953" s="2" t="s">
        <v>5508</v>
      </c>
      <c r="H953" s="2" t="s">
        <v>20</v>
      </c>
      <c r="I953" s="2" t="s">
        <v>5509</v>
      </c>
      <c r="J953" s="2" t="s">
        <v>5510</v>
      </c>
      <c r="K953" s="2" t="s">
        <v>1193</v>
      </c>
      <c r="L953" s="2" t="n">
        <v>2</v>
      </c>
      <c r="M953" s="2" t="n">
        <v>65</v>
      </c>
    </row>
    <row r="954" customFormat="false" ht="61.15" hidden="false" customHeight="false" outlineLevel="0" collapsed="false">
      <c r="A954" s="2" t="s">
        <v>5511</v>
      </c>
      <c r="B954" s="2" t="s">
        <v>1185</v>
      </c>
      <c r="C954" s="2" t="s">
        <v>5023</v>
      </c>
      <c r="D954" s="2" t="s">
        <v>5512</v>
      </c>
      <c r="E954" s="2" t="s">
        <v>5513</v>
      </c>
      <c r="F954" s="2" t="s">
        <v>5514</v>
      </c>
      <c r="G954" s="2" t="s">
        <v>5515</v>
      </c>
      <c r="H954" s="2" t="s">
        <v>20</v>
      </c>
      <c r="I954" s="2" t="s">
        <v>5516</v>
      </c>
      <c r="J954" s="2" t="s">
        <v>5510</v>
      </c>
      <c r="K954" s="2" t="s">
        <v>1193</v>
      </c>
      <c r="L954" s="2" t="n">
        <v>3</v>
      </c>
      <c r="M954" s="2" t="n">
        <v>65</v>
      </c>
    </row>
    <row r="955" customFormat="false" ht="76.1" hidden="false" customHeight="false" outlineLevel="0" collapsed="false">
      <c r="A955" s="2" t="s">
        <v>5517</v>
      </c>
      <c r="B955" s="2" t="s">
        <v>1185</v>
      </c>
      <c r="C955" s="2" t="s">
        <v>5023</v>
      </c>
      <c r="D955" s="2" t="s">
        <v>5518</v>
      </c>
      <c r="E955" s="2" t="s">
        <v>5519</v>
      </c>
      <c r="F955" s="2" t="s">
        <v>5520</v>
      </c>
      <c r="G955" s="2" t="s">
        <v>5521</v>
      </c>
      <c r="H955" s="2" t="s">
        <v>226</v>
      </c>
      <c r="I955" s="2" t="s">
        <v>5522</v>
      </c>
      <c r="J955" s="2" t="s">
        <v>5510</v>
      </c>
      <c r="K955" s="2" t="s">
        <v>1193</v>
      </c>
      <c r="L955" s="2" t="n">
        <v>3</v>
      </c>
      <c r="M955" s="2" t="n">
        <v>65</v>
      </c>
    </row>
    <row r="956" customFormat="false" ht="61.15" hidden="false" customHeight="false" outlineLevel="0" collapsed="false">
      <c r="A956" s="2" t="s">
        <v>5523</v>
      </c>
      <c r="B956" s="2" t="s">
        <v>1185</v>
      </c>
      <c r="C956" s="2" t="s">
        <v>5023</v>
      </c>
      <c r="D956" s="2" t="s">
        <v>5524</v>
      </c>
      <c r="E956" s="2" t="s">
        <v>5525</v>
      </c>
      <c r="F956" s="2" t="s">
        <v>5526</v>
      </c>
      <c r="G956" s="2" t="s">
        <v>5527</v>
      </c>
      <c r="H956" s="2" t="s">
        <v>20</v>
      </c>
      <c r="I956" s="2" t="s">
        <v>5528</v>
      </c>
      <c r="J956" s="2" t="s">
        <v>5510</v>
      </c>
      <c r="K956" s="2" t="s">
        <v>1193</v>
      </c>
      <c r="L956" s="2" t="n">
        <v>4</v>
      </c>
      <c r="M956" s="2" t="n">
        <v>65</v>
      </c>
    </row>
    <row r="957" customFormat="false" ht="76.1" hidden="false" customHeight="false" outlineLevel="0" collapsed="false">
      <c r="A957" s="2" t="s">
        <v>5529</v>
      </c>
      <c r="B957" s="2" t="s">
        <v>1185</v>
      </c>
      <c r="C957" s="2" t="s">
        <v>5023</v>
      </c>
      <c r="D957" s="2" t="s">
        <v>5530</v>
      </c>
      <c r="E957" s="2" t="s">
        <v>5531</v>
      </c>
      <c r="F957" s="2" t="s">
        <v>5532</v>
      </c>
      <c r="G957" s="2" t="s">
        <v>5533</v>
      </c>
      <c r="H957" s="2" t="s">
        <v>20</v>
      </c>
      <c r="I957" s="2" t="s">
        <v>5534</v>
      </c>
      <c r="J957" s="2" t="s">
        <v>5510</v>
      </c>
      <c r="K957" s="2" t="s">
        <v>1193</v>
      </c>
      <c r="L957" s="2" t="n">
        <v>3</v>
      </c>
      <c r="M957" s="2" t="n">
        <v>65</v>
      </c>
    </row>
    <row r="958" customFormat="false" ht="76.1" hidden="false" customHeight="false" outlineLevel="0" collapsed="false">
      <c r="A958" s="2" t="s">
        <v>5535</v>
      </c>
      <c r="B958" s="2" t="s">
        <v>1185</v>
      </c>
      <c r="C958" s="2" t="s">
        <v>5023</v>
      </c>
      <c r="D958" s="2" t="s">
        <v>5536</v>
      </c>
      <c r="E958" s="2" t="s">
        <v>5537</v>
      </c>
      <c r="F958" s="2" t="s">
        <v>5538</v>
      </c>
      <c r="G958" s="2" t="s">
        <v>2973</v>
      </c>
      <c r="H958" s="2" t="s">
        <v>20</v>
      </c>
      <c r="I958" s="2" t="s">
        <v>5539</v>
      </c>
      <c r="J958" s="2" t="s">
        <v>5510</v>
      </c>
      <c r="K958" s="2" t="s">
        <v>1193</v>
      </c>
      <c r="L958" s="2" t="n">
        <v>4</v>
      </c>
      <c r="M958" s="2" t="n">
        <v>65</v>
      </c>
    </row>
    <row r="959" customFormat="false" ht="91" hidden="false" customHeight="false" outlineLevel="0" collapsed="false">
      <c r="A959" s="2" t="s">
        <v>5540</v>
      </c>
      <c r="B959" s="2" t="s">
        <v>1185</v>
      </c>
      <c r="C959" s="2" t="s">
        <v>5023</v>
      </c>
      <c r="D959" s="2" t="s">
        <v>5541</v>
      </c>
      <c r="E959" s="2" t="s">
        <v>5542</v>
      </c>
      <c r="F959" s="2" t="s">
        <v>5543</v>
      </c>
      <c r="G959" s="2" t="s">
        <v>5544</v>
      </c>
      <c r="H959" s="2" t="s">
        <v>20</v>
      </c>
      <c r="I959" s="2" t="s">
        <v>5545</v>
      </c>
      <c r="J959" s="2" t="s">
        <v>5546</v>
      </c>
      <c r="K959" s="2" t="s">
        <v>1193</v>
      </c>
      <c r="L959" s="2" t="n">
        <v>3</v>
      </c>
      <c r="M959" s="2" t="n">
        <v>66</v>
      </c>
    </row>
    <row r="960" customFormat="false" ht="76.1" hidden="false" customHeight="false" outlineLevel="0" collapsed="false">
      <c r="A960" s="2" t="s">
        <v>5547</v>
      </c>
      <c r="B960" s="2" t="s">
        <v>1185</v>
      </c>
      <c r="C960" s="2" t="s">
        <v>5023</v>
      </c>
      <c r="D960" s="2" t="s">
        <v>5548</v>
      </c>
      <c r="E960" s="2" t="s">
        <v>5549</v>
      </c>
      <c r="F960" s="2" t="s">
        <v>5550</v>
      </c>
      <c r="G960" s="2" t="s">
        <v>5551</v>
      </c>
      <c r="H960" s="2" t="s">
        <v>20</v>
      </c>
      <c r="I960" s="2" t="s">
        <v>5552</v>
      </c>
      <c r="J960" s="2" t="s">
        <v>5553</v>
      </c>
      <c r="K960" s="2" t="s">
        <v>1193</v>
      </c>
      <c r="L960" s="2" t="n">
        <v>3</v>
      </c>
      <c r="M960" s="2" t="n">
        <v>67</v>
      </c>
    </row>
    <row r="961" customFormat="false" ht="76.1" hidden="false" customHeight="false" outlineLevel="0" collapsed="false">
      <c r="A961" s="2" t="s">
        <v>5554</v>
      </c>
      <c r="B961" s="2" t="s">
        <v>1185</v>
      </c>
      <c r="C961" s="2" t="s">
        <v>5023</v>
      </c>
      <c r="D961" s="2" t="s">
        <v>5555</v>
      </c>
      <c r="E961" s="2" t="s">
        <v>5556</v>
      </c>
      <c r="F961" s="2" t="s">
        <v>5557</v>
      </c>
      <c r="G961" s="2" t="s">
        <v>5558</v>
      </c>
      <c r="H961" s="2" t="s">
        <v>20</v>
      </c>
      <c r="I961" s="2" t="s">
        <v>5559</v>
      </c>
      <c r="J961" s="2" t="s">
        <v>5553</v>
      </c>
      <c r="K961" s="2" t="s">
        <v>1193</v>
      </c>
      <c r="L961" s="2" t="n">
        <v>2</v>
      </c>
      <c r="M961" s="2" t="n">
        <v>66</v>
      </c>
    </row>
    <row r="962" customFormat="false" ht="76.1" hidden="false" customHeight="false" outlineLevel="0" collapsed="false">
      <c r="A962" s="2" t="s">
        <v>5560</v>
      </c>
      <c r="B962" s="2" t="s">
        <v>1185</v>
      </c>
      <c r="C962" s="2" t="s">
        <v>5023</v>
      </c>
      <c r="D962" s="2" t="s">
        <v>5561</v>
      </c>
      <c r="E962" s="2" t="s">
        <v>5562</v>
      </c>
      <c r="F962" s="2" t="s">
        <v>5563</v>
      </c>
      <c r="G962" s="2" t="s">
        <v>5564</v>
      </c>
      <c r="H962" s="2" t="s">
        <v>20</v>
      </c>
      <c r="I962" s="2" t="s">
        <v>5565</v>
      </c>
      <c r="J962" s="2" t="s">
        <v>5553</v>
      </c>
      <c r="K962" s="2" t="s">
        <v>1193</v>
      </c>
      <c r="L962" s="2" t="n">
        <v>2</v>
      </c>
      <c r="M962" s="2" t="n">
        <v>66</v>
      </c>
    </row>
    <row r="963" customFormat="false" ht="76.1" hidden="false" customHeight="false" outlineLevel="0" collapsed="false">
      <c r="A963" s="2" t="s">
        <v>5566</v>
      </c>
      <c r="B963" s="2" t="s">
        <v>1185</v>
      </c>
      <c r="C963" s="2" t="s">
        <v>5023</v>
      </c>
      <c r="D963" s="2" t="s">
        <v>5567</v>
      </c>
      <c r="E963" s="2" t="s">
        <v>5568</v>
      </c>
      <c r="F963" s="2" t="s">
        <v>5569</v>
      </c>
      <c r="G963" s="2" t="s">
        <v>5570</v>
      </c>
      <c r="H963" s="2" t="s">
        <v>20</v>
      </c>
      <c r="I963" s="2" t="s">
        <v>5571</v>
      </c>
      <c r="J963" s="2" t="s">
        <v>5553</v>
      </c>
      <c r="K963" s="2" t="s">
        <v>1193</v>
      </c>
      <c r="L963" s="2" t="n">
        <v>3</v>
      </c>
      <c r="M963" s="2" t="n">
        <v>66</v>
      </c>
    </row>
    <row r="964" customFormat="false" ht="76.1" hidden="false" customHeight="false" outlineLevel="0" collapsed="false">
      <c r="A964" s="2" t="s">
        <v>5572</v>
      </c>
      <c r="B964" s="2" t="s">
        <v>1185</v>
      </c>
      <c r="C964" s="2" t="s">
        <v>5023</v>
      </c>
      <c r="D964" s="2" t="s">
        <v>5573</v>
      </c>
      <c r="E964" s="2" t="s">
        <v>1607</v>
      </c>
      <c r="F964" s="2" t="s">
        <v>1608</v>
      </c>
      <c r="G964" s="2" t="s">
        <v>5162</v>
      </c>
      <c r="H964" s="2" t="s">
        <v>20</v>
      </c>
      <c r="I964" s="2" t="s">
        <v>5574</v>
      </c>
      <c r="J964" s="2" t="s">
        <v>5553</v>
      </c>
      <c r="K964" s="2" t="s">
        <v>1193</v>
      </c>
      <c r="L964" s="2" t="n">
        <v>2</v>
      </c>
      <c r="M964" s="2" t="n">
        <v>65</v>
      </c>
    </row>
    <row r="965" customFormat="false" ht="76.1" hidden="false" customHeight="false" outlineLevel="0" collapsed="false">
      <c r="A965" s="2" t="s">
        <v>5575</v>
      </c>
      <c r="B965" s="2" t="s">
        <v>1185</v>
      </c>
      <c r="C965" s="2" t="s">
        <v>5023</v>
      </c>
      <c r="D965" s="2" t="s">
        <v>5576</v>
      </c>
      <c r="E965" s="2" t="s">
        <v>5577</v>
      </c>
      <c r="F965" s="2" t="s">
        <v>5578</v>
      </c>
      <c r="G965" s="2" t="s">
        <v>5579</v>
      </c>
      <c r="H965" s="2" t="s">
        <v>20</v>
      </c>
      <c r="I965" s="2" t="s">
        <v>5580</v>
      </c>
      <c r="J965" s="2" t="s">
        <v>5553</v>
      </c>
      <c r="K965" s="2" t="s">
        <v>1193</v>
      </c>
      <c r="L965" s="2" t="n">
        <v>2</v>
      </c>
      <c r="M965" s="2" t="n">
        <v>66</v>
      </c>
    </row>
    <row r="966" customFormat="false" ht="61.15" hidden="false" customHeight="false" outlineLevel="0" collapsed="false">
      <c r="A966" s="2" t="s">
        <v>5581</v>
      </c>
      <c r="B966" s="2" t="s">
        <v>1185</v>
      </c>
      <c r="C966" s="2" t="s">
        <v>5023</v>
      </c>
      <c r="D966" s="2" t="s">
        <v>5582</v>
      </c>
      <c r="E966" s="2" t="s">
        <v>1608</v>
      </c>
      <c r="F966" s="2" t="s">
        <v>1607</v>
      </c>
      <c r="G966" s="2" t="s">
        <v>5162</v>
      </c>
      <c r="H966" s="2" t="s">
        <v>20</v>
      </c>
      <c r="I966" s="2" t="s">
        <v>5583</v>
      </c>
      <c r="J966" s="2" t="s">
        <v>5584</v>
      </c>
      <c r="K966" s="2" t="s">
        <v>1193</v>
      </c>
      <c r="L966" s="2" t="n">
        <v>2</v>
      </c>
      <c r="M966" s="2" t="n">
        <v>67</v>
      </c>
    </row>
    <row r="967" customFormat="false" ht="61.15" hidden="false" customHeight="false" outlineLevel="0" collapsed="false">
      <c r="A967" s="2" t="s">
        <v>5585</v>
      </c>
      <c r="B967" s="2" t="s">
        <v>1185</v>
      </c>
      <c r="C967" s="2" t="s">
        <v>5023</v>
      </c>
      <c r="D967" s="2" t="s">
        <v>5586</v>
      </c>
      <c r="E967" s="2" t="s">
        <v>1608</v>
      </c>
      <c r="F967" s="2" t="s">
        <v>5587</v>
      </c>
      <c r="G967" s="2" t="s">
        <v>1607</v>
      </c>
      <c r="H967" s="2" t="s">
        <v>226</v>
      </c>
      <c r="I967" s="2" t="s">
        <v>5588</v>
      </c>
      <c r="J967" s="2" t="s">
        <v>5589</v>
      </c>
      <c r="K967" s="2" t="s">
        <v>1193</v>
      </c>
      <c r="L967" s="2" t="n">
        <v>2</v>
      </c>
      <c r="M967" s="2" t="n">
        <v>68</v>
      </c>
    </row>
    <row r="968" customFormat="false" ht="61.15" hidden="false" customHeight="false" outlineLevel="0" collapsed="false">
      <c r="A968" s="2" t="s">
        <v>5590</v>
      </c>
      <c r="B968" s="2" t="s">
        <v>1185</v>
      </c>
      <c r="C968" s="2" t="s">
        <v>5023</v>
      </c>
      <c r="D968" s="2" t="s">
        <v>5591</v>
      </c>
      <c r="E968" s="2" t="s">
        <v>5592</v>
      </c>
      <c r="F968" s="2" t="s">
        <v>5593</v>
      </c>
      <c r="G968" s="2" t="s">
        <v>5594</v>
      </c>
      <c r="H968" s="2" t="s">
        <v>20</v>
      </c>
      <c r="I968" s="2" t="s">
        <v>5595</v>
      </c>
      <c r="J968" s="2" t="s">
        <v>5589</v>
      </c>
      <c r="K968" s="2" t="s">
        <v>1193</v>
      </c>
      <c r="L968" s="2" t="n">
        <v>2</v>
      </c>
      <c r="M968" s="2" t="n">
        <v>66</v>
      </c>
    </row>
    <row r="969" customFormat="false" ht="46.25" hidden="false" customHeight="false" outlineLevel="0" collapsed="false">
      <c r="A969" s="2" t="s">
        <v>5596</v>
      </c>
      <c r="B969" s="2" t="s">
        <v>1185</v>
      </c>
      <c r="C969" s="2" t="s">
        <v>5023</v>
      </c>
      <c r="D969" s="2" t="s">
        <v>5597</v>
      </c>
      <c r="E969" s="2" t="s">
        <v>1967</v>
      </c>
      <c r="F969" s="2" t="s">
        <v>5598</v>
      </c>
      <c r="G969" s="2" t="s">
        <v>5085</v>
      </c>
      <c r="H969" s="2" t="s">
        <v>20</v>
      </c>
      <c r="I969" s="2" t="s">
        <v>5599</v>
      </c>
      <c r="J969" s="2" t="s">
        <v>5600</v>
      </c>
      <c r="K969" s="2" t="s">
        <v>1193</v>
      </c>
      <c r="L969" s="2" t="n">
        <v>1</v>
      </c>
      <c r="M969" s="2" t="n">
        <v>66</v>
      </c>
    </row>
    <row r="970" customFormat="false" ht="61.15" hidden="false" customHeight="false" outlineLevel="0" collapsed="false">
      <c r="A970" s="2" t="s">
        <v>5601</v>
      </c>
      <c r="B970" s="2" t="s">
        <v>1185</v>
      </c>
      <c r="C970" s="2" t="s">
        <v>5023</v>
      </c>
      <c r="D970" s="2" t="s">
        <v>5602</v>
      </c>
      <c r="E970" s="2" t="s">
        <v>5603</v>
      </c>
      <c r="F970" s="2" t="s">
        <v>5604</v>
      </c>
      <c r="G970" s="2" t="s">
        <v>5605</v>
      </c>
      <c r="H970" s="2" t="s">
        <v>20</v>
      </c>
      <c r="I970" s="2" t="s">
        <v>5606</v>
      </c>
      <c r="J970" s="2" t="s">
        <v>5600</v>
      </c>
      <c r="K970" s="2" t="s">
        <v>1193</v>
      </c>
      <c r="L970" s="2" t="n">
        <v>2</v>
      </c>
      <c r="M970" s="2" t="n">
        <v>66</v>
      </c>
    </row>
    <row r="971" customFormat="false" ht="61.15" hidden="false" customHeight="false" outlineLevel="0" collapsed="false">
      <c r="A971" s="2" t="s">
        <v>5607</v>
      </c>
      <c r="B971" s="2" t="s">
        <v>1185</v>
      </c>
      <c r="C971" s="2" t="s">
        <v>5023</v>
      </c>
      <c r="D971" s="2" t="s">
        <v>5608</v>
      </c>
      <c r="E971" s="2" t="s">
        <v>5609</v>
      </c>
      <c r="F971" s="2" t="s">
        <v>5610</v>
      </c>
      <c r="G971" s="2" t="s">
        <v>5611</v>
      </c>
      <c r="H971" s="2" t="s">
        <v>28</v>
      </c>
      <c r="I971" s="2" t="s">
        <v>5612</v>
      </c>
      <c r="J971" s="2" t="s">
        <v>5600</v>
      </c>
      <c r="K971" s="2" t="s">
        <v>1193</v>
      </c>
      <c r="L971" s="2" t="n">
        <v>2</v>
      </c>
      <c r="M971" s="2" t="n">
        <v>67</v>
      </c>
    </row>
    <row r="972" customFormat="false" ht="61.15" hidden="false" customHeight="false" outlineLevel="0" collapsed="false">
      <c r="A972" s="2" t="s">
        <v>5613</v>
      </c>
      <c r="B972" s="2" t="s">
        <v>1185</v>
      </c>
      <c r="C972" s="2" t="s">
        <v>5023</v>
      </c>
      <c r="D972" s="2" t="s">
        <v>5614</v>
      </c>
      <c r="E972" s="2" t="s">
        <v>5615</v>
      </c>
      <c r="F972" s="2" t="s">
        <v>5616</v>
      </c>
      <c r="G972" s="2" t="s">
        <v>4596</v>
      </c>
      <c r="H972" s="2" t="s">
        <v>20</v>
      </c>
      <c r="I972" s="2" t="s">
        <v>5617</v>
      </c>
      <c r="J972" s="2" t="s">
        <v>5600</v>
      </c>
      <c r="K972" s="2" t="s">
        <v>1193</v>
      </c>
      <c r="L972" s="2" t="n">
        <v>3</v>
      </c>
      <c r="M972" s="2" t="n">
        <v>67</v>
      </c>
    </row>
    <row r="973" customFormat="false" ht="76.1" hidden="false" customHeight="false" outlineLevel="0" collapsed="false">
      <c r="A973" s="2" t="s">
        <v>5618</v>
      </c>
      <c r="B973" s="2" t="s">
        <v>1185</v>
      </c>
      <c r="C973" s="2" t="s">
        <v>5023</v>
      </c>
      <c r="D973" s="2" t="s">
        <v>5619</v>
      </c>
      <c r="E973" s="2" t="s">
        <v>5620</v>
      </c>
      <c r="F973" s="2" t="s">
        <v>5621</v>
      </c>
      <c r="G973" s="2" t="s">
        <v>5622</v>
      </c>
      <c r="H973" s="2" t="s">
        <v>20</v>
      </c>
      <c r="I973" s="2" t="s">
        <v>5623</v>
      </c>
      <c r="J973" s="2" t="s">
        <v>5584</v>
      </c>
      <c r="K973" s="2" t="s">
        <v>1193</v>
      </c>
      <c r="L973" s="2" t="n">
        <v>3</v>
      </c>
      <c r="M973" s="2" t="n">
        <v>67</v>
      </c>
    </row>
    <row r="974" customFormat="false" ht="76.1" hidden="false" customHeight="false" outlineLevel="0" collapsed="false">
      <c r="A974" s="2" t="s">
        <v>5624</v>
      </c>
      <c r="B974" s="2" t="s">
        <v>1185</v>
      </c>
      <c r="C974" s="2" t="s">
        <v>5023</v>
      </c>
      <c r="D974" s="2" t="s">
        <v>5625</v>
      </c>
      <c r="E974" s="2" t="s">
        <v>5626</v>
      </c>
      <c r="F974" s="2" t="s">
        <v>5627</v>
      </c>
      <c r="G974" s="2" t="s">
        <v>5628</v>
      </c>
      <c r="H974" s="2" t="s">
        <v>20</v>
      </c>
      <c r="I974" s="2" t="s">
        <v>5629</v>
      </c>
      <c r="J974" s="2" t="s">
        <v>5584</v>
      </c>
      <c r="K974" s="2" t="s">
        <v>1193</v>
      </c>
      <c r="L974" s="2" t="n">
        <v>2</v>
      </c>
      <c r="M974" s="2" t="n">
        <v>67</v>
      </c>
    </row>
    <row r="975" customFormat="false" ht="61.15" hidden="false" customHeight="false" outlineLevel="0" collapsed="false">
      <c r="A975" s="2" t="s">
        <v>5630</v>
      </c>
      <c r="B975" s="2" t="s">
        <v>1185</v>
      </c>
      <c r="C975" s="2" t="s">
        <v>5023</v>
      </c>
      <c r="D975" s="2" t="s">
        <v>5631</v>
      </c>
      <c r="E975" s="2" t="s">
        <v>5085</v>
      </c>
      <c r="F975" s="2" t="s">
        <v>5632</v>
      </c>
      <c r="G975" s="2" t="s">
        <v>1967</v>
      </c>
      <c r="H975" s="2" t="s">
        <v>226</v>
      </c>
      <c r="I975" s="2" t="s">
        <v>5633</v>
      </c>
      <c r="J975" s="2" t="s">
        <v>5600</v>
      </c>
      <c r="K975" s="2" t="s">
        <v>1193</v>
      </c>
      <c r="L975" s="2" t="n">
        <v>2</v>
      </c>
      <c r="M975" s="2" t="n">
        <v>66</v>
      </c>
    </row>
    <row r="976" customFormat="false" ht="61.15" hidden="false" customHeight="false" outlineLevel="0" collapsed="false">
      <c r="A976" s="2" t="s">
        <v>5634</v>
      </c>
      <c r="B976" s="2" t="s">
        <v>1185</v>
      </c>
      <c r="C976" s="2" t="s">
        <v>5023</v>
      </c>
      <c r="D976" s="2" t="s">
        <v>5635</v>
      </c>
      <c r="E976" s="2" t="s">
        <v>5636</v>
      </c>
      <c r="F976" s="2" t="s">
        <v>5637</v>
      </c>
      <c r="G976" s="2" t="s">
        <v>5638</v>
      </c>
      <c r="H976" s="2" t="s">
        <v>20</v>
      </c>
      <c r="I976" s="2" t="s">
        <v>5639</v>
      </c>
      <c r="J976" s="2" t="s">
        <v>5600</v>
      </c>
      <c r="K976" s="2" t="s">
        <v>1193</v>
      </c>
      <c r="L976" s="2" t="n">
        <v>3</v>
      </c>
      <c r="M976" s="2" t="n">
        <v>66</v>
      </c>
    </row>
    <row r="977" customFormat="false" ht="61.15" hidden="false" customHeight="false" outlineLevel="0" collapsed="false">
      <c r="A977" s="2" t="s">
        <v>5640</v>
      </c>
      <c r="B977" s="2" t="s">
        <v>1185</v>
      </c>
      <c r="C977" s="2" t="s">
        <v>5023</v>
      </c>
      <c r="D977" s="2" t="s">
        <v>5641</v>
      </c>
      <c r="E977" s="2" t="s">
        <v>5642</v>
      </c>
      <c r="F977" s="2" t="s">
        <v>1967</v>
      </c>
      <c r="G977" s="2" t="s">
        <v>5643</v>
      </c>
      <c r="H977" s="2" t="s">
        <v>20</v>
      </c>
      <c r="I977" s="2" t="s">
        <v>5644</v>
      </c>
      <c r="J977" s="2" t="s">
        <v>5645</v>
      </c>
      <c r="K977" s="2" t="s">
        <v>1193</v>
      </c>
      <c r="L977" s="2" t="n">
        <v>3</v>
      </c>
      <c r="M977" s="2" t="n">
        <v>39</v>
      </c>
    </row>
    <row r="978" customFormat="false" ht="46.25" hidden="false" customHeight="false" outlineLevel="0" collapsed="false">
      <c r="A978" s="2" t="s">
        <v>5646</v>
      </c>
      <c r="B978" s="2" t="s">
        <v>1185</v>
      </c>
      <c r="C978" s="2" t="s">
        <v>5023</v>
      </c>
      <c r="D978" s="2" t="s">
        <v>5647</v>
      </c>
      <c r="E978" s="2" t="s">
        <v>5648</v>
      </c>
      <c r="F978" s="2" t="s">
        <v>1967</v>
      </c>
      <c r="G978" s="2" t="s">
        <v>5649</v>
      </c>
      <c r="H978" s="2" t="s">
        <v>28</v>
      </c>
      <c r="I978" s="2" t="s">
        <v>5650</v>
      </c>
      <c r="J978" s="2" t="s">
        <v>5600</v>
      </c>
      <c r="K978" s="2" t="s">
        <v>1193</v>
      </c>
      <c r="L978" s="2" t="n">
        <v>3</v>
      </c>
      <c r="M978" s="2" t="n">
        <v>66</v>
      </c>
    </row>
    <row r="979" customFormat="false" ht="46.25" hidden="false" customHeight="false" outlineLevel="0" collapsed="false">
      <c r="A979" s="2" t="s">
        <v>5651</v>
      </c>
      <c r="B979" s="2" t="s">
        <v>1185</v>
      </c>
      <c r="C979" s="2" t="s">
        <v>5023</v>
      </c>
      <c r="D979" s="2" t="s">
        <v>5652</v>
      </c>
      <c r="E979" s="2" t="s">
        <v>5653</v>
      </c>
      <c r="F979" s="2" t="s">
        <v>5654</v>
      </c>
      <c r="G979" s="2" t="s">
        <v>5655</v>
      </c>
      <c r="H979" s="2" t="s">
        <v>20</v>
      </c>
      <c r="I979" s="2" t="s">
        <v>5656</v>
      </c>
      <c r="J979" s="2" t="s">
        <v>5600</v>
      </c>
      <c r="K979" s="2" t="s">
        <v>1193</v>
      </c>
      <c r="L979" s="2" t="n">
        <v>2</v>
      </c>
      <c r="M979" s="2" t="n">
        <v>67</v>
      </c>
    </row>
    <row r="980" customFormat="false" ht="76.1" hidden="false" customHeight="false" outlineLevel="0" collapsed="false">
      <c r="A980" s="2" t="s">
        <v>5657</v>
      </c>
      <c r="B980" s="2" t="s">
        <v>1185</v>
      </c>
      <c r="C980" s="2" t="s">
        <v>5023</v>
      </c>
      <c r="D980" s="2" t="s">
        <v>5658</v>
      </c>
      <c r="E980" s="2" t="s">
        <v>5659</v>
      </c>
      <c r="F980" s="2" t="s">
        <v>5660</v>
      </c>
      <c r="G980" s="2" t="s">
        <v>5661</v>
      </c>
      <c r="H980" s="2" t="s">
        <v>20</v>
      </c>
      <c r="I980" s="2" t="s">
        <v>5662</v>
      </c>
      <c r="J980" s="2" t="s">
        <v>5663</v>
      </c>
      <c r="K980" s="2" t="s">
        <v>1193</v>
      </c>
      <c r="L980" s="2" t="n">
        <v>1</v>
      </c>
      <c r="M980" s="2" t="n">
        <v>66</v>
      </c>
    </row>
    <row r="981" customFormat="false" ht="61.15" hidden="false" customHeight="false" outlineLevel="0" collapsed="false">
      <c r="A981" s="2" t="s">
        <v>5664</v>
      </c>
      <c r="B981" s="2" t="s">
        <v>1185</v>
      </c>
      <c r="C981" s="2" t="s">
        <v>5023</v>
      </c>
      <c r="D981" s="2" t="s">
        <v>5665</v>
      </c>
      <c r="E981" s="2" t="s">
        <v>5666</v>
      </c>
      <c r="F981" s="2" t="s">
        <v>5667</v>
      </c>
      <c r="G981" s="2" t="s">
        <v>5668</v>
      </c>
      <c r="H981" s="2" t="s">
        <v>20</v>
      </c>
      <c r="I981" s="2" t="s">
        <v>5669</v>
      </c>
      <c r="J981" s="2" t="s">
        <v>5663</v>
      </c>
      <c r="K981" s="2" t="s">
        <v>1193</v>
      </c>
      <c r="L981" s="2" t="n">
        <v>3</v>
      </c>
      <c r="M981" s="2" t="n">
        <v>66</v>
      </c>
    </row>
    <row r="982" customFormat="false" ht="61.15" hidden="false" customHeight="false" outlineLevel="0" collapsed="false">
      <c r="A982" s="2" t="s">
        <v>5670</v>
      </c>
      <c r="B982" s="2" t="s">
        <v>1185</v>
      </c>
      <c r="C982" s="2" t="s">
        <v>5023</v>
      </c>
      <c r="D982" s="2" t="s">
        <v>5671</v>
      </c>
      <c r="E982" s="2" t="s">
        <v>5672</v>
      </c>
      <c r="F982" s="2" t="s">
        <v>5673</v>
      </c>
      <c r="G982" s="2" t="s">
        <v>5674</v>
      </c>
      <c r="H982" s="2" t="s">
        <v>20</v>
      </c>
      <c r="I982" s="2" t="s">
        <v>5675</v>
      </c>
      <c r="J982" s="2" t="s">
        <v>5663</v>
      </c>
      <c r="K982" s="2" t="s">
        <v>1193</v>
      </c>
      <c r="L982" s="2" t="n">
        <v>2</v>
      </c>
      <c r="M982" s="2" t="n">
        <v>67</v>
      </c>
    </row>
    <row r="983" customFormat="false" ht="46.25" hidden="false" customHeight="false" outlineLevel="0" collapsed="false">
      <c r="A983" s="2" t="s">
        <v>5676</v>
      </c>
      <c r="B983" s="2" t="s">
        <v>1185</v>
      </c>
      <c r="C983" s="2" t="s">
        <v>5023</v>
      </c>
      <c r="D983" s="2" t="s">
        <v>5677</v>
      </c>
      <c r="E983" s="2" t="s">
        <v>5678</v>
      </c>
      <c r="F983" s="2" t="s">
        <v>5679</v>
      </c>
      <c r="G983" s="2" t="s">
        <v>5680</v>
      </c>
      <c r="H983" s="2" t="s">
        <v>20</v>
      </c>
      <c r="I983" s="2" t="s">
        <v>5681</v>
      </c>
      <c r="J983" s="2" t="s">
        <v>5663</v>
      </c>
      <c r="K983" s="2" t="s">
        <v>1193</v>
      </c>
      <c r="L983" s="2" t="n">
        <v>2</v>
      </c>
      <c r="M983" s="2" t="n">
        <v>67</v>
      </c>
    </row>
    <row r="984" customFormat="false" ht="46.25" hidden="false" customHeight="false" outlineLevel="0" collapsed="false">
      <c r="A984" s="2" t="s">
        <v>5682</v>
      </c>
      <c r="B984" s="2" t="s">
        <v>1185</v>
      </c>
      <c r="C984" s="2" t="s">
        <v>5023</v>
      </c>
      <c r="D984" s="2" t="s">
        <v>5683</v>
      </c>
      <c r="E984" s="2" t="s">
        <v>1607</v>
      </c>
      <c r="F984" s="2" t="s">
        <v>4596</v>
      </c>
      <c r="G984" s="2" t="s">
        <v>5162</v>
      </c>
      <c r="H984" s="2" t="s">
        <v>20</v>
      </c>
      <c r="I984" s="2" t="s">
        <v>5684</v>
      </c>
      <c r="J984" s="2" t="s">
        <v>5663</v>
      </c>
      <c r="K984" s="2" t="s">
        <v>1193</v>
      </c>
      <c r="L984" s="2" t="n">
        <v>2</v>
      </c>
      <c r="M984" s="2" t="n">
        <v>67</v>
      </c>
    </row>
    <row r="985" customFormat="false" ht="46.25" hidden="false" customHeight="false" outlineLevel="0" collapsed="false">
      <c r="A985" s="2" t="s">
        <v>5685</v>
      </c>
      <c r="B985" s="2" t="s">
        <v>1185</v>
      </c>
      <c r="C985" s="2" t="s">
        <v>5023</v>
      </c>
      <c r="D985" s="2" t="s">
        <v>5686</v>
      </c>
      <c r="E985" s="2" t="s">
        <v>1607</v>
      </c>
      <c r="F985" s="2" t="s">
        <v>1608</v>
      </c>
      <c r="G985" s="2" t="s">
        <v>4596</v>
      </c>
      <c r="H985" s="2" t="s">
        <v>20</v>
      </c>
      <c r="I985" s="2" t="s">
        <v>5687</v>
      </c>
      <c r="J985" s="2" t="s">
        <v>5663</v>
      </c>
      <c r="K985" s="2" t="s">
        <v>1193</v>
      </c>
      <c r="L985" s="2" t="n">
        <v>2</v>
      </c>
      <c r="M985" s="2" t="n">
        <v>66</v>
      </c>
    </row>
    <row r="986" customFormat="false" ht="61.15" hidden="false" customHeight="false" outlineLevel="0" collapsed="false">
      <c r="A986" s="2" t="s">
        <v>5688</v>
      </c>
      <c r="B986" s="2" t="s">
        <v>1185</v>
      </c>
      <c r="C986" s="2" t="s">
        <v>5023</v>
      </c>
      <c r="D986" s="2" t="s">
        <v>5689</v>
      </c>
      <c r="E986" s="2" t="s">
        <v>5690</v>
      </c>
      <c r="F986" s="2" t="s">
        <v>5691</v>
      </c>
      <c r="G986" s="2" t="s">
        <v>5692</v>
      </c>
      <c r="H986" s="2" t="s">
        <v>20</v>
      </c>
      <c r="I986" s="2" t="s">
        <v>5693</v>
      </c>
      <c r="J986" s="2" t="s">
        <v>5663</v>
      </c>
      <c r="K986" s="2" t="s">
        <v>1193</v>
      </c>
      <c r="L986" s="2" t="n">
        <v>3</v>
      </c>
      <c r="M986" s="2" t="n">
        <v>67</v>
      </c>
    </row>
    <row r="987" customFormat="false" ht="61.15" hidden="false" customHeight="false" outlineLevel="0" collapsed="false">
      <c r="A987" s="2" t="s">
        <v>5694</v>
      </c>
      <c r="B987" s="2" t="s">
        <v>1185</v>
      </c>
      <c r="C987" s="2" t="s">
        <v>5023</v>
      </c>
      <c r="D987" s="2" t="s">
        <v>5695</v>
      </c>
      <c r="E987" s="2" t="s">
        <v>5696</v>
      </c>
      <c r="F987" s="2" t="s">
        <v>5697</v>
      </c>
      <c r="G987" s="2" t="s">
        <v>5698</v>
      </c>
      <c r="H987" s="2" t="s">
        <v>226</v>
      </c>
      <c r="I987" s="2" t="s">
        <v>5699</v>
      </c>
      <c r="J987" s="2" t="s">
        <v>5700</v>
      </c>
      <c r="K987" s="2" t="s">
        <v>1193</v>
      </c>
      <c r="L987" s="2" t="n">
        <v>2</v>
      </c>
      <c r="M987" s="2" t="n">
        <v>67</v>
      </c>
    </row>
    <row r="988" customFormat="false" ht="61.15" hidden="false" customHeight="false" outlineLevel="0" collapsed="false">
      <c r="A988" s="2" t="s">
        <v>5701</v>
      </c>
      <c r="B988" s="2" t="s">
        <v>1185</v>
      </c>
      <c r="C988" s="2" t="s">
        <v>5023</v>
      </c>
      <c r="D988" s="2" t="s">
        <v>5702</v>
      </c>
      <c r="E988" s="2" t="s">
        <v>5703</v>
      </c>
      <c r="F988" s="2" t="s">
        <v>5704</v>
      </c>
      <c r="G988" s="2" t="s">
        <v>5705</v>
      </c>
      <c r="H988" s="2" t="s">
        <v>20</v>
      </c>
      <c r="I988" s="2" t="s">
        <v>5706</v>
      </c>
      <c r="J988" s="2" t="s">
        <v>5584</v>
      </c>
      <c r="K988" s="2" t="s">
        <v>1193</v>
      </c>
      <c r="L988" s="2" t="n">
        <v>1</v>
      </c>
      <c r="M988" s="2" t="n">
        <v>66</v>
      </c>
    </row>
    <row r="989" customFormat="false" ht="61.15" hidden="false" customHeight="false" outlineLevel="0" collapsed="false">
      <c r="A989" s="2" t="s">
        <v>5707</v>
      </c>
      <c r="B989" s="2" t="s">
        <v>1185</v>
      </c>
      <c r="C989" s="2" t="s">
        <v>5023</v>
      </c>
      <c r="D989" s="2" t="s">
        <v>5708</v>
      </c>
      <c r="E989" s="2" t="s">
        <v>5709</v>
      </c>
      <c r="F989" s="2" t="s">
        <v>5710</v>
      </c>
      <c r="G989" s="2" t="s">
        <v>5711</v>
      </c>
      <c r="H989" s="2" t="s">
        <v>28</v>
      </c>
      <c r="I989" s="2" t="s">
        <v>5712</v>
      </c>
      <c r="J989" s="2" t="s">
        <v>5713</v>
      </c>
      <c r="K989" s="2" t="s">
        <v>1193</v>
      </c>
      <c r="L989" s="2" t="n">
        <v>3</v>
      </c>
      <c r="M989" s="2" t="n">
        <v>69</v>
      </c>
    </row>
    <row r="990" customFormat="false" ht="61.15" hidden="false" customHeight="false" outlineLevel="0" collapsed="false">
      <c r="A990" s="2" t="s">
        <v>5714</v>
      </c>
      <c r="B990" s="2" t="s">
        <v>1185</v>
      </c>
      <c r="C990" s="2" t="s">
        <v>5023</v>
      </c>
      <c r="D990" s="2" t="s">
        <v>5715</v>
      </c>
      <c r="E990" s="2" t="s">
        <v>5716</v>
      </c>
      <c r="F990" s="2" t="s">
        <v>5717</v>
      </c>
      <c r="G990" s="2" t="s">
        <v>5718</v>
      </c>
      <c r="H990" s="2" t="s">
        <v>226</v>
      </c>
      <c r="I990" s="2" t="s">
        <v>5719</v>
      </c>
      <c r="J990" s="2" t="s">
        <v>5584</v>
      </c>
      <c r="K990" s="2" t="s">
        <v>1193</v>
      </c>
      <c r="L990" s="2" t="n">
        <v>2</v>
      </c>
      <c r="M990" s="2" t="n">
        <v>67</v>
      </c>
    </row>
    <row r="991" customFormat="false" ht="76.1" hidden="false" customHeight="false" outlineLevel="0" collapsed="false">
      <c r="A991" s="2" t="s">
        <v>5720</v>
      </c>
      <c r="B991" s="2" t="s">
        <v>1185</v>
      </c>
      <c r="C991" s="2" t="s">
        <v>5023</v>
      </c>
      <c r="D991" s="2" t="s">
        <v>5721</v>
      </c>
      <c r="E991" s="2" t="s">
        <v>5616</v>
      </c>
      <c r="F991" s="2" t="s">
        <v>5615</v>
      </c>
      <c r="G991" s="2" t="s">
        <v>4596</v>
      </c>
      <c r="H991" s="2" t="s">
        <v>20</v>
      </c>
      <c r="I991" s="2" t="s">
        <v>5722</v>
      </c>
      <c r="J991" s="2" t="s">
        <v>5076</v>
      </c>
      <c r="K991" s="2" t="s">
        <v>1193</v>
      </c>
      <c r="L991" s="2" t="n">
        <v>3</v>
      </c>
      <c r="M991" s="2" t="n">
        <v>67</v>
      </c>
    </row>
    <row r="992" customFormat="false" ht="76.1" hidden="false" customHeight="false" outlineLevel="0" collapsed="false">
      <c r="A992" s="2" t="s">
        <v>5723</v>
      </c>
      <c r="B992" s="2" t="s">
        <v>1185</v>
      </c>
      <c r="C992" s="2" t="s">
        <v>5023</v>
      </c>
      <c r="D992" s="2" t="s">
        <v>5724</v>
      </c>
      <c r="E992" s="2" t="s">
        <v>5725</v>
      </c>
      <c r="F992" s="2" t="s">
        <v>5726</v>
      </c>
      <c r="G992" s="2" t="s">
        <v>5727</v>
      </c>
      <c r="H992" s="2" t="s">
        <v>20</v>
      </c>
      <c r="I992" s="2" t="s">
        <v>5728</v>
      </c>
      <c r="J992" s="2" t="s">
        <v>5076</v>
      </c>
      <c r="K992" s="2" t="s">
        <v>1193</v>
      </c>
      <c r="L992" s="2" t="n">
        <v>3</v>
      </c>
      <c r="M992" s="2" t="n">
        <v>67</v>
      </c>
    </row>
    <row r="993" customFormat="false" ht="76.1" hidden="false" customHeight="false" outlineLevel="0" collapsed="false">
      <c r="A993" s="2" t="s">
        <v>5729</v>
      </c>
      <c r="B993" s="2" t="s">
        <v>1185</v>
      </c>
      <c r="C993" s="2" t="s">
        <v>5023</v>
      </c>
      <c r="D993" s="2" t="s">
        <v>5730</v>
      </c>
      <c r="E993" s="2" t="s">
        <v>5731</v>
      </c>
      <c r="F993" s="2" t="s">
        <v>5732</v>
      </c>
      <c r="G993" s="2" t="s">
        <v>5733</v>
      </c>
      <c r="H993" s="2" t="s">
        <v>226</v>
      </c>
      <c r="I993" s="2" t="s">
        <v>5734</v>
      </c>
      <c r="J993" s="2" t="s">
        <v>5076</v>
      </c>
      <c r="K993" s="2" t="s">
        <v>1193</v>
      </c>
      <c r="L993" s="2" t="n">
        <v>2</v>
      </c>
      <c r="M993" s="2" t="n">
        <v>67</v>
      </c>
    </row>
    <row r="994" customFormat="false" ht="76.1" hidden="false" customHeight="false" outlineLevel="0" collapsed="false">
      <c r="A994" s="2" t="s">
        <v>5735</v>
      </c>
      <c r="B994" s="2" t="s">
        <v>1185</v>
      </c>
      <c r="C994" s="2" t="s">
        <v>5023</v>
      </c>
      <c r="D994" s="2" t="s">
        <v>5736</v>
      </c>
      <c r="E994" s="2" t="s">
        <v>5737</v>
      </c>
      <c r="F994" s="2" t="s">
        <v>5738</v>
      </c>
      <c r="G994" s="2" t="s">
        <v>5739</v>
      </c>
      <c r="H994" s="2" t="s">
        <v>20</v>
      </c>
      <c r="I994" s="2" t="s">
        <v>5740</v>
      </c>
      <c r="J994" s="2" t="s">
        <v>5076</v>
      </c>
      <c r="K994" s="2" t="s">
        <v>1193</v>
      </c>
      <c r="L994" s="2" t="n">
        <v>3</v>
      </c>
      <c r="M994" s="2" t="n">
        <v>67</v>
      </c>
    </row>
    <row r="995" customFormat="false" ht="76.1" hidden="false" customHeight="false" outlineLevel="0" collapsed="false">
      <c r="A995" s="2" t="s">
        <v>5741</v>
      </c>
      <c r="B995" s="2" t="s">
        <v>1185</v>
      </c>
      <c r="C995" s="2" t="s">
        <v>5023</v>
      </c>
      <c r="D995" s="2" t="s">
        <v>5742</v>
      </c>
      <c r="E995" s="2" t="s">
        <v>5743</v>
      </c>
      <c r="F995" s="2" t="s">
        <v>5744</v>
      </c>
      <c r="G995" s="2" t="s">
        <v>5745</v>
      </c>
      <c r="H995" s="2" t="s">
        <v>20</v>
      </c>
      <c r="I995" s="2" t="s">
        <v>5746</v>
      </c>
      <c r="J995" s="2" t="s">
        <v>5076</v>
      </c>
      <c r="K995" s="2" t="s">
        <v>1193</v>
      </c>
      <c r="L995" s="2" t="n">
        <v>3</v>
      </c>
      <c r="M995" s="2" t="n">
        <v>67</v>
      </c>
    </row>
    <row r="996" customFormat="false" ht="61.15" hidden="false" customHeight="false" outlineLevel="0" collapsed="false">
      <c r="A996" s="2" t="s">
        <v>5747</v>
      </c>
      <c r="B996" s="2" t="s">
        <v>1185</v>
      </c>
      <c r="C996" s="2" t="s">
        <v>5023</v>
      </c>
      <c r="D996" s="2" t="s">
        <v>5748</v>
      </c>
      <c r="E996" s="2" t="s">
        <v>5749</v>
      </c>
      <c r="F996" s="2" t="s">
        <v>5750</v>
      </c>
      <c r="G996" s="2" t="s">
        <v>5751</v>
      </c>
      <c r="H996" s="2" t="s">
        <v>226</v>
      </c>
      <c r="I996" s="2" t="s">
        <v>5752</v>
      </c>
      <c r="J996" s="2" t="s">
        <v>5753</v>
      </c>
      <c r="K996" s="2" t="s">
        <v>1193</v>
      </c>
      <c r="L996" s="2" t="n">
        <v>2</v>
      </c>
      <c r="M996" s="2" t="n">
        <v>67</v>
      </c>
    </row>
    <row r="997" customFormat="false" ht="61.15" hidden="false" customHeight="false" outlineLevel="0" collapsed="false">
      <c r="A997" s="2" t="s">
        <v>5754</v>
      </c>
      <c r="B997" s="2" t="s">
        <v>1185</v>
      </c>
      <c r="C997" s="2" t="s">
        <v>5023</v>
      </c>
      <c r="D997" s="2" t="s">
        <v>5755</v>
      </c>
      <c r="E997" s="2" t="s">
        <v>5756</v>
      </c>
      <c r="F997" s="2" t="s">
        <v>5757</v>
      </c>
      <c r="G997" s="2" t="s">
        <v>5758</v>
      </c>
      <c r="H997" s="2" t="s">
        <v>20</v>
      </c>
      <c r="I997" s="2" t="s">
        <v>5759</v>
      </c>
      <c r="J997" s="2" t="s">
        <v>5760</v>
      </c>
      <c r="K997" s="2" t="s">
        <v>1193</v>
      </c>
      <c r="L997" s="2" t="n">
        <v>2</v>
      </c>
      <c r="M997" s="2" t="n">
        <v>68</v>
      </c>
    </row>
    <row r="998" customFormat="false" ht="61.15" hidden="false" customHeight="false" outlineLevel="0" collapsed="false">
      <c r="A998" s="2" t="s">
        <v>5761</v>
      </c>
      <c r="B998" s="2" t="s">
        <v>1185</v>
      </c>
      <c r="C998" s="2" t="s">
        <v>5023</v>
      </c>
      <c r="D998" s="2" t="s">
        <v>5762</v>
      </c>
      <c r="E998" s="2" t="s">
        <v>1967</v>
      </c>
      <c r="F998" s="2" t="s">
        <v>5085</v>
      </c>
      <c r="G998" s="2" t="s">
        <v>4596</v>
      </c>
      <c r="H998" s="2" t="s">
        <v>28</v>
      </c>
      <c r="I998" s="2" t="s">
        <v>5763</v>
      </c>
      <c r="J998" s="2" t="s">
        <v>5760</v>
      </c>
      <c r="K998" s="2" t="s">
        <v>1193</v>
      </c>
      <c r="L998" s="2" t="n">
        <v>3</v>
      </c>
      <c r="M998" s="2" t="n">
        <v>68</v>
      </c>
    </row>
    <row r="999" customFormat="false" ht="61.15" hidden="false" customHeight="false" outlineLevel="0" collapsed="false">
      <c r="A999" s="2" t="s">
        <v>5764</v>
      </c>
      <c r="B999" s="2" t="s">
        <v>1185</v>
      </c>
      <c r="C999" s="2" t="s">
        <v>5023</v>
      </c>
      <c r="D999" s="2" t="s">
        <v>5765</v>
      </c>
      <c r="E999" s="2" t="s">
        <v>1967</v>
      </c>
      <c r="F999" s="2" t="s">
        <v>5085</v>
      </c>
      <c r="G999" s="2" t="s">
        <v>5766</v>
      </c>
      <c r="H999" s="2" t="s">
        <v>28</v>
      </c>
      <c r="I999" s="2" t="s">
        <v>5767</v>
      </c>
      <c r="J999" s="2" t="s">
        <v>5760</v>
      </c>
      <c r="K999" s="2" t="s">
        <v>1193</v>
      </c>
      <c r="L999" s="2" t="n">
        <v>3</v>
      </c>
      <c r="M999" s="2" t="n">
        <v>68</v>
      </c>
    </row>
    <row r="1000" customFormat="false" ht="61.15" hidden="false" customHeight="false" outlineLevel="0" collapsed="false">
      <c r="A1000" s="2" t="s">
        <v>5768</v>
      </c>
      <c r="B1000" s="2" t="s">
        <v>1185</v>
      </c>
      <c r="C1000" s="2" t="s">
        <v>5023</v>
      </c>
      <c r="D1000" s="2" t="s">
        <v>5769</v>
      </c>
      <c r="E1000" s="2" t="s">
        <v>5770</v>
      </c>
      <c r="F1000" s="2" t="s">
        <v>5771</v>
      </c>
      <c r="G1000" s="2" t="s">
        <v>5772</v>
      </c>
      <c r="H1000" s="2" t="s">
        <v>20</v>
      </c>
      <c r="I1000" s="2" t="s">
        <v>5773</v>
      </c>
      <c r="J1000" s="2" t="s">
        <v>5760</v>
      </c>
      <c r="K1000" s="2" t="s">
        <v>1193</v>
      </c>
      <c r="L1000" s="2" t="n">
        <v>4</v>
      </c>
      <c r="M1000" s="2" t="n">
        <v>68</v>
      </c>
    </row>
    <row r="1001" customFormat="false" ht="61.15" hidden="false" customHeight="false" outlineLevel="0" collapsed="false">
      <c r="A1001" s="2" t="s">
        <v>5774</v>
      </c>
      <c r="B1001" s="2" t="s">
        <v>1185</v>
      </c>
      <c r="C1001" s="2" t="s">
        <v>5023</v>
      </c>
      <c r="D1001" s="2" t="s">
        <v>5775</v>
      </c>
      <c r="E1001" s="2" t="s">
        <v>5776</v>
      </c>
      <c r="F1001" s="2" t="s">
        <v>5777</v>
      </c>
      <c r="G1001" s="2" t="s">
        <v>5778</v>
      </c>
      <c r="H1001" s="2" t="s">
        <v>20</v>
      </c>
      <c r="I1001" s="2" t="s">
        <v>5779</v>
      </c>
      <c r="J1001" s="2" t="s">
        <v>5760</v>
      </c>
      <c r="K1001" s="2" t="s">
        <v>1193</v>
      </c>
      <c r="L1001" s="2" t="n">
        <v>3</v>
      </c>
      <c r="M1001" s="2" t="n">
        <v>69</v>
      </c>
    </row>
    <row r="1002" customFormat="false" ht="61.15" hidden="false" customHeight="false" outlineLevel="0" collapsed="false">
      <c r="A1002" s="2" t="s">
        <v>5780</v>
      </c>
      <c r="B1002" s="2" t="s">
        <v>1185</v>
      </c>
      <c r="C1002" s="2" t="s">
        <v>5023</v>
      </c>
      <c r="D1002" s="2" t="s">
        <v>5781</v>
      </c>
      <c r="E1002" s="2" t="s">
        <v>5782</v>
      </c>
      <c r="F1002" s="2" t="s">
        <v>5783</v>
      </c>
      <c r="G1002" s="2" t="s">
        <v>5784</v>
      </c>
      <c r="H1002" s="2" t="s">
        <v>20</v>
      </c>
      <c r="I1002" s="2" t="s">
        <v>5785</v>
      </c>
      <c r="J1002" s="2" t="s">
        <v>5786</v>
      </c>
      <c r="K1002" s="2" t="s">
        <v>1193</v>
      </c>
      <c r="L1002" s="2" t="n">
        <v>3</v>
      </c>
      <c r="M1002" s="2" t="n">
        <v>69</v>
      </c>
    </row>
    <row r="1003" customFormat="false" ht="46.25" hidden="false" customHeight="false" outlineLevel="0" collapsed="false">
      <c r="A1003" s="2" t="s">
        <v>5787</v>
      </c>
      <c r="B1003" s="2" t="s">
        <v>1185</v>
      </c>
      <c r="C1003" s="2" t="s">
        <v>5023</v>
      </c>
      <c r="D1003" s="2" t="s">
        <v>5788</v>
      </c>
      <c r="E1003" s="2" t="s">
        <v>5789</v>
      </c>
      <c r="F1003" s="2" t="s">
        <v>5790</v>
      </c>
      <c r="G1003" s="2" t="s">
        <v>5791</v>
      </c>
      <c r="H1003" s="2" t="s">
        <v>20</v>
      </c>
      <c r="I1003" s="2" t="s">
        <v>5792</v>
      </c>
      <c r="J1003" s="2" t="s">
        <v>5793</v>
      </c>
      <c r="K1003" s="2" t="s">
        <v>1193</v>
      </c>
      <c r="L1003" s="2" t="n">
        <v>2</v>
      </c>
      <c r="M1003" s="2" t="n">
        <v>67</v>
      </c>
    </row>
    <row r="1004" customFormat="false" ht="76.1" hidden="false" customHeight="false" outlineLevel="0" collapsed="false">
      <c r="A1004" s="2" t="s">
        <v>5794</v>
      </c>
      <c r="B1004" s="2" t="s">
        <v>1185</v>
      </c>
      <c r="C1004" s="2" t="s">
        <v>5023</v>
      </c>
      <c r="D1004" s="2" t="s">
        <v>5795</v>
      </c>
      <c r="E1004" s="2" t="s">
        <v>3290</v>
      </c>
      <c r="F1004" s="2" t="s">
        <v>1607</v>
      </c>
      <c r="G1004" s="2" t="s">
        <v>1608</v>
      </c>
      <c r="H1004" s="2" t="s">
        <v>20</v>
      </c>
      <c r="I1004" s="2" t="s">
        <v>5796</v>
      </c>
      <c r="J1004" s="2" t="s">
        <v>5797</v>
      </c>
      <c r="K1004" s="2" t="s">
        <v>1193</v>
      </c>
      <c r="L1004" s="2" t="n">
        <v>2</v>
      </c>
      <c r="M1004" s="2" t="n">
        <v>68</v>
      </c>
    </row>
    <row r="1005" customFormat="false" ht="61.15" hidden="false" customHeight="false" outlineLevel="0" collapsed="false">
      <c r="A1005" s="2" t="s">
        <v>5798</v>
      </c>
      <c r="B1005" s="2" t="s">
        <v>1185</v>
      </c>
      <c r="C1005" s="2" t="s">
        <v>5023</v>
      </c>
      <c r="D1005" s="2" t="s">
        <v>5799</v>
      </c>
      <c r="E1005" s="2" t="s">
        <v>3290</v>
      </c>
      <c r="F1005" s="2" t="s">
        <v>1607</v>
      </c>
      <c r="G1005" s="2" t="s">
        <v>1608</v>
      </c>
      <c r="H1005" s="2" t="s">
        <v>20</v>
      </c>
      <c r="I1005" s="2" t="s">
        <v>5800</v>
      </c>
      <c r="J1005" s="2" t="s">
        <v>5797</v>
      </c>
      <c r="K1005" s="2" t="s">
        <v>1193</v>
      </c>
      <c r="L1005" s="2" t="n">
        <v>2</v>
      </c>
      <c r="M1005" s="2" t="n">
        <v>68</v>
      </c>
    </row>
    <row r="1006" customFormat="false" ht="76.1" hidden="false" customHeight="false" outlineLevel="0" collapsed="false">
      <c r="A1006" s="2" t="s">
        <v>5801</v>
      </c>
      <c r="B1006" s="2" t="s">
        <v>1185</v>
      </c>
      <c r="C1006" s="2" t="s">
        <v>5023</v>
      </c>
      <c r="D1006" s="2" t="s">
        <v>5802</v>
      </c>
      <c r="E1006" s="2" t="s">
        <v>5803</v>
      </c>
      <c r="F1006" s="2" t="s">
        <v>5804</v>
      </c>
      <c r="G1006" s="2" t="s">
        <v>5805</v>
      </c>
      <c r="H1006" s="2" t="s">
        <v>20</v>
      </c>
      <c r="I1006" s="2" t="s">
        <v>5806</v>
      </c>
      <c r="J1006" s="2" t="s">
        <v>5797</v>
      </c>
      <c r="K1006" s="2" t="s">
        <v>1193</v>
      </c>
      <c r="L1006" s="2" t="n">
        <v>2</v>
      </c>
      <c r="M1006" s="2" t="n">
        <v>68</v>
      </c>
    </row>
    <row r="1007" customFormat="false" ht="61.15" hidden="false" customHeight="false" outlineLevel="0" collapsed="false">
      <c r="A1007" s="2" t="s">
        <v>5807</v>
      </c>
      <c r="B1007" s="2" t="s">
        <v>1185</v>
      </c>
      <c r="C1007" s="2" t="s">
        <v>5023</v>
      </c>
      <c r="D1007" s="2" t="s">
        <v>5808</v>
      </c>
      <c r="E1007" s="2" t="s">
        <v>5809</v>
      </c>
      <c r="F1007" s="2" t="s">
        <v>5810</v>
      </c>
      <c r="G1007" s="2" t="s">
        <v>5811</v>
      </c>
      <c r="H1007" s="2" t="s">
        <v>20</v>
      </c>
      <c r="I1007" s="2" t="s">
        <v>5812</v>
      </c>
      <c r="J1007" s="2" t="s">
        <v>5797</v>
      </c>
      <c r="K1007" s="2" t="s">
        <v>1193</v>
      </c>
      <c r="L1007" s="2" t="n">
        <v>1</v>
      </c>
      <c r="M1007" s="2" t="n">
        <v>68</v>
      </c>
    </row>
    <row r="1008" customFormat="false" ht="76.1" hidden="false" customHeight="false" outlineLevel="0" collapsed="false">
      <c r="A1008" s="2" t="s">
        <v>5813</v>
      </c>
      <c r="B1008" s="2" t="s">
        <v>1185</v>
      </c>
      <c r="C1008" s="2" t="s">
        <v>5023</v>
      </c>
      <c r="D1008" s="2" t="s">
        <v>5814</v>
      </c>
      <c r="E1008" s="2" t="s">
        <v>5815</v>
      </c>
      <c r="F1008" s="2" t="s">
        <v>5816</v>
      </c>
      <c r="G1008" s="2" t="s">
        <v>5817</v>
      </c>
      <c r="H1008" s="2" t="s">
        <v>20</v>
      </c>
      <c r="I1008" s="2" t="s">
        <v>5818</v>
      </c>
      <c r="J1008" s="2" t="s">
        <v>5819</v>
      </c>
      <c r="K1008" s="2" t="s">
        <v>1193</v>
      </c>
      <c r="L1008" s="2" t="n">
        <v>2</v>
      </c>
      <c r="M1008" s="2" t="n">
        <v>68</v>
      </c>
    </row>
    <row r="1009" customFormat="false" ht="61.15" hidden="false" customHeight="false" outlineLevel="0" collapsed="false">
      <c r="A1009" s="2" t="s">
        <v>5820</v>
      </c>
      <c r="B1009" s="2" t="s">
        <v>1185</v>
      </c>
      <c r="C1009" s="2" t="s">
        <v>5023</v>
      </c>
      <c r="D1009" s="2" t="s">
        <v>5821</v>
      </c>
      <c r="E1009" s="2" t="s">
        <v>1607</v>
      </c>
      <c r="F1009" s="2" t="s">
        <v>1608</v>
      </c>
      <c r="G1009" s="2" t="s">
        <v>3290</v>
      </c>
      <c r="H1009" s="2" t="s">
        <v>20</v>
      </c>
      <c r="I1009" s="2" t="s">
        <v>5822</v>
      </c>
      <c r="J1009" s="2" t="s">
        <v>5819</v>
      </c>
      <c r="K1009" s="2" t="s">
        <v>1193</v>
      </c>
      <c r="L1009" s="2" t="n">
        <v>2</v>
      </c>
      <c r="M1009" s="2" t="n">
        <v>68</v>
      </c>
    </row>
    <row r="1010" customFormat="false" ht="61.15" hidden="false" customHeight="false" outlineLevel="0" collapsed="false">
      <c r="A1010" s="2" t="s">
        <v>5823</v>
      </c>
      <c r="B1010" s="2" t="s">
        <v>1185</v>
      </c>
      <c r="C1010" s="2" t="s">
        <v>5023</v>
      </c>
      <c r="D1010" s="2" t="s">
        <v>5824</v>
      </c>
      <c r="E1010" s="2" t="s">
        <v>1607</v>
      </c>
      <c r="F1010" s="2" t="s">
        <v>1608</v>
      </c>
      <c r="G1010" s="2" t="s">
        <v>3290</v>
      </c>
      <c r="H1010" s="2" t="s">
        <v>20</v>
      </c>
      <c r="I1010" s="2" t="s">
        <v>5825</v>
      </c>
      <c r="J1010" s="2" t="s">
        <v>5819</v>
      </c>
      <c r="K1010" s="2" t="s">
        <v>1193</v>
      </c>
      <c r="L1010" s="2" t="n">
        <v>3</v>
      </c>
      <c r="M1010" s="2" t="n">
        <v>68</v>
      </c>
    </row>
    <row r="1011" customFormat="false" ht="61.15" hidden="false" customHeight="false" outlineLevel="0" collapsed="false">
      <c r="A1011" s="2" t="s">
        <v>5826</v>
      </c>
      <c r="B1011" s="2" t="s">
        <v>1185</v>
      </c>
      <c r="C1011" s="2" t="s">
        <v>5023</v>
      </c>
      <c r="D1011" s="2" t="s">
        <v>5827</v>
      </c>
      <c r="E1011" s="2" t="s">
        <v>5828</v>
      </c>
      <c r="F1011" s="2" t="s">
        <v>5829</v>
      </c>
      <c r="G1011" s="2" t="s">
        <v>5830</v>
      </c>
      <c r="H1011" s="2" t="s">
        <v>20</v>
      </c>
      <c r="I1011" s="2" t="s">
        <v>5831</v>
      </c>
      <c r="J1011" s="2" t="s">
        <v>5819</v>
      </c>
      <c r="K1011" s="2" t="s">
        <v>1193</v>
      </c>
      <c r="L1011" s="2" t="n">
        <v>2</v>
      </c>
      <c r="M1011" s="2" t="n">
        <v>68</v>
      </c>
    </row>
    <row r="1012" customFormat="false" ht="61.15" hidden="false" customHeight="false" outlineLevel="0" collapsed="false">
      <c r="A1012" s="2" t="s">
        <v>5832</v>
      </c>
      <c r="B1012" s="2" t="s">
        <v>1185</v>
      </c>
      <c r="C1012" s="2" t="s">
        <v>5023</v>
      </c>
      <c r="D1012" s="2" t="s">
        <v>5833</v>
      </c>
      <c r="E1012" s="2" t="s">
        <v>1608</v>
      </c>
      <c r="F1012" s="2" t="s">
        <v>3290</v>
      </c>
      <c r="G1012" s="2" t="s">
        <v>1607</v>
      </c>
      <c r="H1012" s="2" t="s">
        <v>226</v>
      </c>
      <c r="I1012" s="2" t="s">
        <v>5834</v>
      </c>
      <c r="J1012" s="2" t="s">
        <v>5819</v>
      </c>
      <c r="K1012" s="2" t="s">
        <v>1193</v>
      </c>
      <c r="L1012" s="2" t="n">
        <v>2</v>
      </c>
      <c r="M1012" s="2" t="n">
        <v>68</v>
      </c>
    </row>
    <row r="1013" customFormat="false" ht="61.15" hidden="false" customHeight="false" outlineLevel="0" collapsed="false">
      <c r="A1013" s="2" t="s">
        <v>5835</v>
      </c>
      <c r="B1013" s="2" t="s">
        <v>1185</v>
      </c>
      <c r="C1013" s="2" t="s">
        <v>5023</v>
      </c>
      <c r="D1013" s="2" t="s">
        <v>5836</v>
      </c>
      <c r="E1013" s="2" t="s">
        <v>5837</v>
      </c>
      <c r="F1013" s="2" t="s">
        <v>5838</v>
      </c>
      <c r="G1013" s="2" t="s">
        <v>5839</v>
      </c>
      <c r="H1013" s="2" t="s">
        <v>20</v>
      </c>
      <c r="I1013" s="2" t="s">
        <v>5840</v>
      </c>
      <c r="J1013" s="2" t="s">
        <v>5819</v>
      </c>
      <c r="K1013" s="2" t="s">
        <v>1193</v>
      </c>
      <c r="L1013" s="2" t="n">
        <v>2</v>
      </c>
      <c r="M1013" s="2" t="n">
        <v>68</v>
      </c>
    </row>
    <row r="1014" customFormat="false" ht="61.15" hidden="false" customHeight="false" outlineLevel="0" collapsed="false">
      <c r="A1014" s="2" t="s">
        <v>5841</v>
      </c>
      <c r="B1014" s="2" t="s">
        <v>1185</v>
      </c>
      <c r="C1014" s="2" t="s">
        <v>5023</v>
      </c>
      <c r="D1014" s="2" t="s">
        <v>5842</v>
      </c>
      <c r="E1014" s="2" t="s">
        <v>5843</v>
      </c>
      <c r="F1014" s="2" t="s">
        <v>5844</v>
      </c>
      <c r="G1014" s="2" t="s">
        <v>5845</v>
      </c>
      <c r="H1014" s="2" t="s">
        <v>20</v>
      </c>
      <c r="I1014" s="2" t="s">
        <v>5846</v>
      </c>
      <c r="J1014" s="2" t="s">
        <v>5819</v>
      </c>
      <c r="K1014" s="2" t="s">
        <v>1193</v>
      </c>
      <c r="L1014" s="2" t="n">
        <v>2</v>
      </c>
      <c r="M1014" s="2" t="n">
        <v>68</v>
      </c>
    </row>
    <row r="1015" customFormat="false" ht="91" hidden="false" customHeight="false" outlineLevel="0" collapsed="false">
      <c r="A1015" s="2" t="s">
        <v>5847</v>
      </c>
      <c r="B1015" s="2" t="s">
        <v>1185</v>
      </c>
      <c r="C1015" s="2" t="s">
        <v>5023</v>
      </c>
      <c r="D1015" s="2" t="s">
        <v>5848</v>
      </c>
      <c r="E1015" s="2" t="s">
        <v>5849</v>
      </c>
      <c r="F1015" s="2" t="s">
        <v>5850</v>
      </c>
      <c r="G1015" s="2" t="s">
        <v>5851</v>
      </c>
      <c r="H1015" s="2" t="s">
        <v>20</v>
      </c>
      <c r="I1015" s="2" t="s">
        <v>5852</v>
      </c>
      <c r="J1015" s="2" t="s">
        <v>5853</v>
      </c>
      <c r="K1015" s="2" t="s">
        <v>1193</v>
      </c>
      <c r="L1015" s="2" t="n">
        <v>3</v>
      </c>
      <c r="M1015" s="2" t="n">
        <v>68</v>
      </c>
    </row>
    <row r="1016" customFormat="false" ht="61.15" hidden="false" customHeight="false" outlineLevel="0" collapsed="false">
      <c r="A1016" s="2" t="s">
        <v>5854</v>
      </c>
      <c r="B1016" s="2" t="s">
        <v>1185</v>
      </c>
      <c r="C1016" s="2" t="s">
        <v>5023</v>
      </c>
      <c r="D1016" s="2" t="s">
        <v>5855</v>
      </c>
      <c r="E1016" s="2" t="s">
        <v>5856</v>
      </c>
      <c r="F1016" s="2" t="s">
        <v>5857</v>
      </c>
      <c r="G1016" s="2" t="s">
        <v>5858</v>
      </c>
      <c r="H1016" s="2" t="s">
        <v>20</v>
      </c>
      <c r="I1016" s="2" t="s">
        <v>5859</v>
      </c>
      <c r="J1016" s="2" t="s">
        <v>5853</v>
      </c>
      <c r="K1016" s="2" t="s">
        <v>1193</v>
      </c>
      <c r="L1016" s="2" t="n">
        <v>3</v>
      </c>
      <c r="M1016" s="2" t="n">
        <v>68</v>
      </c>
    </row>
    <row r="1017" customFormat="false" ht="61.15" hidden="false" customHeight="false" outlineLevel="0" collapsed="false">
      <c r="A1017" s="2" t="s">
        <v>5860</v>
      </c>
      <c r="B1017" s="2" t="s">
        <v>1185</v>
      </c>
      <c r="C1017" s="2" t="s">
        <v>5023</v>
      </c>
      <c r="D1017" s="2" t="s">
        <v>5861</v>
      </c>
      <c r="E1017" s="2" t="s">
        <v>5862</v>
      </c>
      <c r="F1017" s="2" t="s">
        <v>5863</v>
      </c>
      <c r="G1017" s="2" t="s">
        <v>5864</v>
      </c>
      <c r="H1017" s="2" t="s">
        <v>226</v>
      </c>
      <c r="I1017" s="2" t="s">
        <v>5865</v>
      </c>
      <c r="J1017" s="2" t="s">
        <v>5853</v>
      </c>
      <c r="K1017" s="2" t="s">
        <v>1193</v>
      </c>
      <c r="L1017" s="2" t="n">
        <v>3</v>
      </c>
      <c r="M1017" s="2" t="n">
        <v>68</v>
      </c>
    </row>
    <row r="1018" customFormat="false" ht="61.15" hidden="false" customHeight="false" outlineLevel="0" collapsed="false">
      <c r="A1018" s="2" t="s">
        <v>5866</v>
      </c>
      <c r="B1018" s="2" t="s">
        <v>1185</v>
      </c>
      <c r="C1018" s="2" t="s">
        <v>5023</v>
      </c>
      <c r="D1018" s="2" t="s">
        <v>5867</v>
      </c>
      <c r="E1018" s="2" t="s">
        <v>5868</v>
      </c>
      <c r="F1018" s="2" t="s">
        <v>5869</v>
      </c>
      <c r="G1018" s="2" t="s">
        <v>5870</v>
      </c>
      <c r="H1018" s="2" t="s">
        <v>20</v>
      </c>
      <c r="I1018" s="2" t="s">
        <v>5871</v>
      </c>
      <c r="J1018" s="2" t="s">
        <v>5853</v>
      </c>
      <c r="K1018" s="2" t="s">
        <v>1193</v>
      </c>
      <c r="L1018" s="2" t="n">
        <v>2</v>
      </c>
      <c r="M1018" s="2" t="n">
        <v>68</v>
      </c>
    </row>
    <row r="1019" customFormat="false" ht="61.15" hidden="false" customHeight="false" outlineLevel="0" collapsed="false">
      <c r="A1019" s="2" t="s">
        <v>5872</v>
      </c>
      <c r="B1019" s="2" t="s">
        <v>1185</v>
      </c>
      <c r="C1019" s="2" t="s">
        <v>5023</v>
      </c>
      <c r="D1019" s="2" t="s">
        <v>5873</v>
      </c>
      <c r="E1019" s="2" t="s">
        <v>5874</v>
      </c>
      <c r="F1019" s="2" t="s">
        <v>5875</v>
      </c>
      <c r="G1019" s="2" t="s">
        <v>5876</v>
      </c>
      <c r="H1019" s="2" t="s">
        <v>28</v>
      </c>
      <c r="I1019" s="2" t="s">
        <v>5877</v>
      </c>
      <c r="J1019" s="2" t="s">
        <v>5853</v>
      </c>
      <c r="K1019" s="2" t="s">
        <v>1193</v>
      </c>
      <c r="L1019" s="2" t="n">
        <v>3</v>
      </c>
      <c r="M1019" s="2" t="n">
        <v>69</v>
      </c>
    </row>
    <row r="1020" customFormat="false" ht="61.15" hidden="false" customHeight="false" outlineLevel="0" collapsed="false">
      <c r="A1020" s="2" t="s">
        <v>5878</v>
      </c>
      <c r="B1020" s="2" t="s">
        <v>1185</v>
      </c>
      <c r="C1020" s="2" t="s">
        <v>5023</v>
      </c>
      <c r="D1020" s="2" t="s">
        <v>5879</v>
      </c>
      <c r="E1020" s="2" t="s">
        <v>5880</v>
      </c>
      <c r="F1020" s="2" t="s">
        <v>5881</v>
      </c>
      <c r="G1020" s="2" t="s">
        <v>5882</v>
      </c>
      <c r="H1020" s="2" t="s">
        <v>226</v>
      </c>
      <c r="I1020" s="2" t="s">
        <v>5883</v>
      </c>
      <c r="J1020" s="2" t="s">
        <v>5853</v>
      </c>
      <c r="K1020" s="2" t="s">
        <v>1193</v>
      </c>
      <c r="L1020" s="2" t="n">
        <v>2</v>
      </c>
      <c r="M1020" s="2" t="n">
        <v>69</v>
      </c>
    </row>
    <row r="1021" customFormat="false" ht="61.15" hidden="false" customHeight="false" outlineLevel="0" collapsed="false">
      <c r="A1021" s="2" t="s">
        <v>5884</v>
      </c>
      <c r="B1021" s="2" t="s">
        <v>1185</v>
      </c>
      <c r="C1021" s="2" t="s">
        <v>5023</v>
      </c>
      <c r="D1021" s="2" t="s">
        <v>5885</v>
      </c>
      <c r="E1021" s="2" t="s">
        <v>5886</v>
      </c>
      <c r="F1021" s="2" t="s">
        <v>5887</v>
      </c>
      <c r="G1021" s="2" t="s">
        <v>5888</v>
      </c>
      <c r="H1021" s="2" t="s">
        <v>28</v>
      </c>
      <c r="I1021" s="2" t="s">
        <v>5889</v>
      </c>
      <c r="J1021" s="2" t="s">
        <v>5853</v>
      </c>
      <c r="K1021" s="2" t="s">
        <v>1193</v>
      </c>
      <c r="L1021" s="2" t="n">
        <v>2</v>
      </c>
      <c r="M1021" s="2" t="n">
        <v>65</v>
      </c>
    </row>
    <row r="1022" customFormat="false" ht="61.15" hidden="false" customHeight="false" outlineLevel="0" collapsed="false">
      <c r="A1022" s="2" t="s">
        <v>5890</v>
      </c>
      <c r="B1022" s="2" t="s">
        <v>1185</v>
      </c>
      <c r="C1022" s="2" t="s">
        <v>5023</v>
      </c>
      <c r="D1022" s="2" t="s">
        <v>5891</v>
      </c>
      <c r="E1022" s="2" t="s">
        <v>5892</v>
      </c>
      <c r="F1022" s="2" t="s">
        <v>5893</v>
      </c>
      <c r="G1022" s="2" t="s">
        <v>5894</v>
      </c>
      <c r="H1022" s="2" t="s">
        <v>20</v>
      </c>
      <c r="I1022" s="2" t="s">
        <v>5895</v>
      </c>
      <c r="J1022" s="2" t="s">
        <v>5853</v>
      </c>
      <c r="K1022" s="2" t="s">
        <v>1193</v>
      </c>
      <c r="L1022" s="2" t="n">
        <v>2</v>
      </c>
      <c r="M1022" s="2" t="n">
        <v>67</v>
      </c>
    </row>
    <row r="1023" customFormat="false" ht="61.15" hidden="false" customHeight="false" outlineLevel="0" collapsed="false">
      <c r="A1023" s="2" t="s">
        <v>5896</v>
      </c>
      <c r="B1023" s="2" t="s">
        <v>1185</v>
      </c>
      <c r="C1023" s="2" t="s">
        <v>5023</v>
      </c>
      <c r="D1023" s="2" t="s">
        <v>5897</v>
      </c>
      <c r="E1023" s="2" t="s">
        <v>5085</v>
      </c>
      <c r="F1023" s="2" t="s">
        <v>5643</v>
      </c>
      <c r="G1023" s="2" t="s">
        <v>1967</v>
      </c>
      <c r="H1023" s="2" t="s">
        <v>226</v>
      </c>
      <c r="I1023" s="2" t="s">
        <v>5898</v>
      </c>
      <c r="J1023" s="2" t="s">
        <v>5899</v>
      </c>
      <c r="K1023" s="2" t="s">
        <v>1193</v>
      </c>
      <c r="L1023" s="2" t="n">
        <v>2</v>
      </c>
      <c r="M1023" s="2" t="n">
        <v>69</v>
      </c>
    </row>
    <row r="1024" customFormat="false" ht="46.25" hidden="false" customHeight="false" outlineLevel="0" collapsed="false">
      <c r="A1024" s="2" t="s">
        <v>5900</v>
      </c>
      <c r="B1024" s="2" t="s">
        <v>1185</v>
      </c>
      <c r="C1024" s="2" t="s">
        <v>5023</v>
      </c>
      <c r="D1024" s="2" t="s">
        <v>5901</v>
      </c>
      <c r="E1024" s="2" t="s">
        <v>5902</v>
      </c>
      <c r="F1024" s="2" t="s">
        <v>5903</v>
      </c>
      <c r="G1024" s="2" t="s">
        <v>5904</v>
      </c>
      <c r="H1024" s="2" t="s">
        <v>20</v>
      </c>
      <c r="I1024" s="2" t="s">
        <v>5905</v>
      </c>
      <c r="J1024" s="2" t="s">
        <v>5899</v>
      </c>
      <c r="K1024" s="2" t="s">
        <v>1193</v>
      </c>
      <c r="L1024" s="2" t="n">
        <v>3</v>
      </c>
      <c r="M1024" s="2" t="n">
        <v>69</v>
      </c>
    </row>
    <row r="1025" customFormat="false" ht="46.25" hidden="false" customHeight="false" outlineLevel="0" collapsed="false">
      <c r="A1025" s="2" t="s">
        <v>5906</v>
      </c>
      <c r="B1025" s="2" t="s">
        <v>1185</v>
      </c>
      <c r="C1025" s="2" t="s">
        <v>5023</v>
      </c>
      <c r="D1025" s="2" t="s">
        <v>5907</v>
      </c>
      <c r="E1025" s="2" t="s">
        <v>5908</v>
      </c>
      <c r="F1025" s="2" t="s">
        <v>5909</v>
      </c>
      <c r="G1025" s="2" t="s">
        <v>5910</v>
      </c>
      <c r="H1025" s="2" t="s">
        <v>20</v>
      </c>
      <c r="I1025" s="2" t="s">
        <v>5911</v>
      </c>
      <c r="J1025" s="2" t="s">
        <v>5912</v>
      </c>
      <c r="K1025" s="2" t="s">
        <v>1193</v>
      </c>
      <c r="L1025" s="2" t="n">
        <v>2</v>
      </c>
      <c r="M1025" s="2" t="n">
        <v>70</v>
      </c>
    </row>
    <row r="1026" customFormat="false" ht="91" hidden="false" customHeight="false" outlineLevel="0" collapsed="false">
      <c r="A1026" s="2" t="s">
        <v>5913</v>
      </c>
      <c r="B1026" s="2" t="s">
        <v>1185</v>
      </c>
      <c r="C1026" s="2" t="s">
        <v>5023</v>
      </c>
      <c r="D1026" s="2" t="s">
        <v>5914</v>
      </c>
      <c r="E1026" s="2" t="s">
        <v>5915</v>
      </c>
      <c r="F1026" s="2" t="s">
        <v>5916</v>
      </c>
      <c r="G1026" s="2" t="s">
        <v>5917</v>
      </c>
      <c r="H1026" s="2" t="s">
        <v>20</v>
      </c>
      <c r="I1026" s="2" t="s">
        <v>5918</v>
      </c>
      <c r="J1026" s="2" t="s">
        <v>5912</v>
      </c>
      <c r="K1026" s="2" t="s">
        <v>1193</v>
      </c>
      <c r="L1026" s="2" t="n">
        <v>3</v>
      </c>
      <c r="M1026" s="2" t="n">
        <v>70</v>
      </c>
    </row>
    <row r="1027" customFormat="false" ht="105.95" hidden="false" customHeight="false" outlineLevel="0" collapsed="false">
      <c r="A1027" s="2" t="s">
        <v>5919</v>
      </c>
      <c r="B1027" s="2" t="s">
        <v>1185</v>
      </c>
      <c r="C1027" s="2" t="s">
        <v>5023</v>
      </c>
      <c r="D1027" s="2" t="s">
        <v>5920</v>
      </c>
      <c r="E1027" s="2" t="s">
        <v>5921</v>
      </c>
      <c r="F1027" s="2" t="s">
        <v>5922</v>
      </c>
      <c r="G1027" s="2" t="s">
        <v>5923</v>
      </c>
      <c r="H1027" s="2" t="s">
        <v>20</v>
      </c>
      <c r="I1027" s="2" t="s">
        <v>5924</v>
      </c>
      <c r="J1027" s="2" t="s">
        <v>5912</v>
      </c>
      <c r="K1027" s="2" t="s">
        <v>1193</v>
      </c>
      <c r="L1027" s="2" t="n">
        <v>3</v>
      </c>
      <c r="M1027" s="2" t="n">
        <v>70</v>
      </c>
    </row>
    <row r="1028" customFormat="false" ht="46.25" hidden="false" customHeight="false" outlineLevel="0" collapsed="false">
      <c r="A1028" s="2" t="s">
        <v>5925</v>
      </c>
      <c r="B1028" s="2" t="s">
        <v>1185</v>
      </c>
      <c r="C1028" s="2" t="s">
        <v>5023</v>
      </c>
      <c r="D1028" s="2" t="s">
        <v>5926</v>
      </c>
      <c r="E1028" s="2" t="s">
        <v>5927</v>
      </c>
      <c r="F1028" s="2" t="s">
        <v>5928</v>
      </c>
      <c r="G1028" s="2" t="s">
        <v>5929</v>
      </c>
      <c r="H1028" s="2" t="s">
        <v>226</v>
      </c>
      <c r="I1028" s="2" t="s">
        <v>5930</v>
      </c>
      <c r="J1028" s="2" t="s">
        <v>5349</v>
      </c>
      <c r="K1028" s="2" t="s">
        <v>1193</v>
      </c>
      <c r="L1028" s="2" t="n">
        <v>2</v>
      </c>
      <c r="M1028" s="2" t="n">
        <v>69</v>
      </c>
    </row>
    <row r="1029" customFormat="false" ht="46.25" hidden="false" customHeight="false" outlineLevel="0" collapsed="false">
      <c r="A1029" s="2" t="s">
        <v>5931</v>
      </c>
      <c r="B1029" s="2" t="s">
        <v>1185</v>
      </c>
      <c r="C1029" s="2" t="s">
        <v>5023</v>
      </c>
      <c r="D1029" s="2" t="s">
        <v>5932</v>
      </c>
      <c r="E1029" s="2" t="s">
        <v>5933</v>
      </c>
      <c r="F1029" s="2" t="s">
        <v>5934</v>
      </c>
      <c r="G1029" s="2" t="s">
        <v>5935</v>
      </c>
      <c r="H1029" s="2" t="s">
        <v>28</v>
      </c>
      <c r="I1029" s="2" t="s">
        <v>5936</v>
      </c>
      <c r="J1029" s="2" t="s">
        <v>5937</v>
      </c>
      <c r="K1029" s="2" t="s">
        <v>1193</v>
      </c>
      <c r="L1029" s="2" t="n">
        <v>2</v>
      </c>
      <c r="M1029" s="2" t="n">
        <v>69</v>
      </c>
    </row>
    <row r="1030" customFormat="false" ht="76.1" hidden="false" customHeight="false" outlineLevel="0" collapsed="false">
      <c r="A1030" s="2" t="s">
        <v>5938</v>
      </c>
      <c r="B1030" s="2" t="s">
        <v>1185</v>
      </c>
      <c r="C1030" s="2" t="s">
        <v>5023</v>
      </c>
      <c r="D1030" s="2" t="s">
        <v>5939</v>
      </c>
      <c r="E1030" s="2" t="s">
        <v>5940</v>
      </c>
      <c r="F1030" s="2" t="s">
        <v>5941</v>
      </c>
      <c r="G1030" s="2" t="s">
        <v>5942</v>
      </c>
      <c r="H1030" s="2" t="s">
        <v>20</v>
      </c>
      <c r="I1030" s="2" t="s">
        <v>5943</v>
      </c>
      <c r="J1030" s="2" t="s">
        <v>5349</v>
      </c>
      <c r="K1030" s="2" t="s">
        <v>1193</v>
      </c>
      <c r="L1030" s="2" t="n">
        <v>2</v>
      </c>
      <c r="M1030" s="2" t="n">
        <v>69</v>
      </c>
    </row>
    <row r="1031" customFormat="false" ht="76.1" hidden="false" customHeight="false" outlineLevel="0" collapsed="false">
      <c r="A1031" s="2" t="s">
        <v>5944</v>
      </c>
      <c r="B1031" s="2" t="s">
        <v>1185</v>
      </c>
      <c r="C1031" s="2" t="s">
        <v>5023</v>
      </c>
      <c r="D1031" s="2" t="s">
        <v>5945</v>
      </c>
      <c r="E1031" s="2" t="s">
        <v>5946</v>
      </c>
      <c r="F1031" s="2" t="s">
        <v>5947</v>
      </c>
      <c r="G1031" s="2" t="s">
        <v>5948</v>
      </c>
      <c r="H1031" s="2" t="s">
        <v>20</v>
      </c>
      <c r="I1031" s="2" t="s">
        <v>5949</v>
      </c>
      <c r="J1031" s="2" t="s">
        <v>5950</v>
      </c>
      <c r="K1031" s="2" t="s">
        <v>1193</v>
      </c>
      <c r="L1031" s="2" t="n">
        <v>2</v>
      </c>
      <c r="M1031" s="2" t="n">
        <v>69</v>
      </c>
    </row>
    <row r="1032" customFormat="false" ht="76.1" hidden="false" customHeight="false" outlineLevel="0" collapsed="false">
      <c r="A1032" s="2" t="s">
        <v>5951</v>
      </c>
      <c r="B1032" s="2" t="s">
        <v>1185</v>
      </c>
      <c r="C1032" s="2" t="s">
        <v>5023</v>
      </c>
      <c r="D1032" s="2" t="s">
        <v>5952</v>
      </c>
      <c r="E1032" s="2" t="s">
        <v>5953</v>
      </c>
      <c r="F1032" s="2" t="s">
        <v>5954</v>
      </c>
      <c r="G1032" s="2" t="s">
        <v>5955</v>
      </c>
      <c r="H1032" s="2" t="s">
        <v>20</v>
      </c>
      <c r="I1032" s="2" t="s">
        <v>5956</v>
      </c>
      <c r="J1032" s="2" t="s">
        <v>5950</v>
      </c>
      <c r="K1032" s="2" t="s">
        <v>1193</v>
      </c>
      <c r="L1032" s="2" t="n">
        <v>4</v>
      </c>
      <c r="M1032" s="2" t="n">
        <v>69</v>
      </c>
    </row>
    <row r="1033" customFormat="false" ht="91" hidden="false" customHeight="false" outlineLevel="0" collapsed="false">
      <c r="A1033" s="2" t="s">
        <v>5957</v>
      </c>
      <c r="B1033" s="2" t="s">
        <v>1185</v>
      </c>
      <c r="C1033" s="2" t="s">
        <v>5023</v>
      </c>
      <c r="D1033" s="2" t="s">
        <v>5958</v>
      </c>
      <c r="E1033" s="2" t="s">
        <v>5959</v>
      </c>
      <c r="F1033" s="2" t="s">
        <v>5960</v>
      </c>
      <c r="G1033" s="2" t="s">
        <v>5961</v>
      </c>
      <c r="H1033" s="2" t="s">
        <v>20</v>
      </c>
      <c r="I1033" s="2" t="s">
        <v>5962</v>
      </c>
      <c r="J1033" s="2" t="s">
        <v>5349</v>
      </c>
      <c r="K1033" s="2" t="s">
        <v>1193</v>
      </c>
      <c r="L1033" s="2" t="n">
        <v>3</v>
      </c>
      <c r="M1033" s="2" t="n">
        <v>69</v>
      </c>
    </row>
    <row r="1034" customFormat="false" ht="76.1" hidden="false" customHeight="false" outlineLevel="0" collapsed="false">
      <c r="A1034" s="2" t="s">
        <v>5963</v>
      </c>
      <c r="B1034" s="2" t="s">
        <v>1185</v>
      </c>
      <c r="C1034" s="2" t="s">
        <v>5023</v>
      </c>
      <c r="D1034" s="2" t="s">
        <v>5964</v>
      </c>
      <c r="E1034" s="2" t="s">
        <v>5965</v>
      </c>
      <c r="F1034" s="2" t="s">
        <v>5966</v>
      </c>
      <c r="G1034" s="2" t="s">
        <v>5967</v>
      </c>
      <c r="H1034" s="2" t="s">
        <v>20</v>
      </c>
      <c r="I1034" s="2" t="s">
        <v>5968</v>
      </c>
      <c r="J1034" s="2" t="s">
        <v>5349</v>
      </c>
      <c r="K1034" s="2" t="s">
        <v>1193</v>
      </c>
      <c r="L1034" s="2" t="n">
        <v>3</v>
      </c>
      <c r="M1034" s="2" t="n">
        <v>69</v>
      </c>
    </row>
    <row r="1035" customFormat="false" ht="46.25" hidden="false" customHeight="false" outlineLevel="0" collapsed="false">
      <c r="A1035" s="2" t="s">
        <v>5969</v>
      </c>
      <c r="B1035" s="2" t="s">
        <v>1185</v>
      </c>
      <c r="C1035" s="2" t="s">
        <v>5023</v>
      </c>
      <c r="D1035" s="2" t="s">
        <v>5970</v>
      </c>
      <c r="E1035" s="2" t="s">
        <v>5971</v>
      </c>
      <c r="F1035" s="2" t="s">
        <v>5972</v>
      </c>
      <c r="G1035" s="2" t="s">
        <v>5973</v>
      </c>
      <c r="H1035" s="2" t="s">
        <v>20</v>
      </c>
      <c r="I1035" s="2" t="s">
        <v>5974</v>
      </c>
      <c r="J1035" s="2" t="s">
        <v>5349</v>
      </c>
      <c r="K1035" s="2" t="s">
        <v>1193</v>
      </c>
      <c r="L1035" s="2" t="n">
        <v>4</v>
      </c>
      <c r="M1035" s="2" t="n">
        <v>69</v>
      </c>
    </row>
    <row r="1036" customFormat="false" ht="76.1" hidden="false" customHeight="false" outlineLevel="0" collapsed="false">
      <c r="A1036" s="2" t="s">
        <v>5975</v>
      </c>
      <c r="B1036" s="2" t="s">
        <v>1185</v>
      </c>
      <c r="C1036" s="2" t="s">
        <v>5023</v>
      </c>
      <c r="D1036" s="2" t="s">
        <v>5976</v>
      </c>
      <c r="E1036" s="2" t="s">
        <v>5977</v>
      </c>
      <c r="F1036" s="2" t="s">
        <v>5978</v>
      </c>
      <c r="G1036" s="2" t="s">
        <v>5979</v>
      </c>
      <c r="H1036" s="2" t="s">
        <v>226</v>
      </c>
      <c r="I1036" s="2" t="s">
        <v>5980</v>
      </c>
      <c r="J1036" s="2" t="s">
        <v>5349</v>
      </c>
      <c r="K1036" s="2" t="s">
        <v>1193</v>
      </c>
      <c r="L1036" s="2" t="n">
        <v>3</v>
      </c>
      <c r="M1036" s="2" t="n">
        <v>69</v>
      </c>
    </row>
    <row r="1037" customFormat="false" ht="61.15" hidden="false" customHeight="false" outlineLevel="0" collapsed="false">
      <c r="A1037" s="2" t="s">
        <v>5981</v>
      </c>
      <c r="B1037" s="2" t="s">
        <v>1185</v>
      </c>
      <c r="C1037" s="2" t="s">
        <v>5023</v>
      </c>
      <c r="D1037" s="2" t="s">
        <v>5982</v>
      </c>
      <c r="E1037" s="2" t="s">
        <v>5983</v>
      </c>
      <c r="F1037" s="2" t="s">
        <v>5984</v>
      </c>
      <c r="G1037" s="2" t="s">
        <v>5985</v>
      </c>
      <c r="H1037" s="2" t="s">
        <v>20</v>
      </c>
      <c r="I1037" s="2" t="s">
        <v>5986</v>
      </c>
      <c r="J1037" s="2" t="s">
        <v>5937</v>
      </c>
      <c r="K1037" s="2" t="s">
        <v>1193</v>
      </c>
      <c r="L1037" s="2" t="n">
        <v>4</v>
      </c>
      <c r="M1037" s="2" t="n">
        <v>69</v>
      </c>
    </row>
    <row r="1038" customFormat="false" ht="61.15" hidden="false" customHeight="false" outlineLevel="0" collapsed="false">
      <c r="A1038" s="2" t="s">
        <v>5987</v>
      </c>
      <c r="B1038" s="2" t="s">
        <v>1185</v>
      </c>
      <c r="C1038" s="2" t="s">
        <v>5023</v>
      </c>
      <c r="D1038" s="2" t="s">
        <v>5988</v>
      </c>
      <c r="E1038" s="2" t="s">
        <v>5989</v>
      </c>
      <c r="F1038" s="2" t="s">
        <v>5990</v>
      </c>
      <c r="G1038" s="2" t="s">
        <v>5991</v>
      </c>
      <c r="H1038" s="2" t="s">
        <v>20</v>
      </c>
      <c r="I1038" s="2" t="s">
        <v>5992</v>
      </c>
      <c r="J1038" s="2" t="s">
        <v>5993</v>
      </c>
      <c r="K1038" s="2" t="s">
        <v>1193</v>
      </c>
      <c r="L1038" s="2" t="n">
        <v>1</v>
      </c>
      <c r="M1038" s="2" t="n">
        <v>62</v>
      </c>
    </row>
    <row r="1039" customFormat="false" ht="76.1" hidden="false" customHeight="false" outlineLevel="0" collapsed="false">
      <c r="A1039" s="2" t="s">
        <v>5994</v>
      </c>
      <c r="B1039" s="2" t="s">
        <v>1185</v>
      </c>
      <c r="C1039" s="2" t="s">
        <v>5023</v>
      </c>
      <c r="D1039" s="2" t="s">
        <v>5995</v>
      </c>
      <c r="E1039" s="2" t="s">
        <v>5996</v>
      </c>
      <c r="F1039" s="2" t="s">
        <v>5997</v>
      </c>
      <c r="G1039" s="2" t="s">
        <v>5998</v>
      </c>
      <c r="H1039" s="2" t="s">
        <v>28</v>
      </c>
      <c r="I1039" s="2" t="s">
        <v>5999</v>
      </c>
      <c r="J1039" s="2" t="s">
        <v>6000</v>
      </c>
      <c r="K1039" s="2" t="s">
        <v>1193</v>
      </c>
      <c r="L1039" s="2" t="n">
        <v>3</v>
      </c>
      <c r="M1039" s="2" t="n">
        <v>69</v>
      </c>
    </row>
    <row r="1040" customFormat="false" ht="46.25" hidden="false" customHeight="false" outlineLevel="0" collapsed="false">
      <c r="A1040" s="2" t="s">
        <v>6001</v>
      </c>
      <c r="B1040" s="2" t="s">
        <v>1185</v>
      </c>
      <c r="C1040" s="2" t="s">
        <v>5023</v>
      </c>
      <c r="D1040" s="2" t="s">
        <v>6002</v>
      </c>
      <c r="E1040" s="2" t="s">
        <v>5783</v>
      </c>
      <c r="F1040" s="2" t="s">
        <v>6003</v>
      </c>
      <c r="G1040" s="2" t="s">
        <v>6004</v>
      </c>
      <c r="H1040" s="2" t="s">
        <v>28</v>
      </c>
      <c r="I1040" s="2" t="s">
        <v>6005</v>
      </c>
      <c r="J1040" s="2" t="s">
        <v>6006</v>
      </c>
      <c r="K1040" s="2" t="s">
        <v>1193</v>
      </c>
      <c r="L1040" s="2" t="n">
        <v>3</v>
      </c>
      <c r="M1040" s="2" t="n">
        <v>69</v>
      </c>
    </row>
    <row r="1041" customFormat="false" ht="76.1" hidden="false" customHeight="false" outlineLevel="0" collapsed="false">
      <c r="A1041" s="2" t="s">
        <v>6007</v>
      </c>
      <c r="B1041" s="2" t="s">
        <v>1185</v>
      </c>
      <c r="C1041" s="2" t="s">
        <v>5023</v>
      </c>
      <c r="D1041" s="2" t="s">
        <v>6008</v>
      </c>
      <c r="E1041" s="2" t="s">
        <v>6009</v>
      </c>
      <c r="F1041" s="2" t="s">
        <v>6010</v>
      </c>
      <c r="G1041" s="2" t="s">
        <v>5373</v>
      </c>
      <c r="H1041" s="2" t="s">
        <v>20</v>
      </c>
      <c r="I1041" s="2" t="s">
        <v>6011</v>
      </c>
      <c r="J1041" s="2" t="s">
        <v>5294</v>
      </c>
      <c r="K1041" s="2" t="s">
        <v>1193</v>
      </c>
      <c r="L1041" s="2" t="n">
        <v>3</v>
      </c>
      <c r="M1041" s="2" t="n">
        <v>64</v>
      </c>
    </row>
    <row r="1042" customFormat="false" ht="61.15" hidden="false" customHeight="false" outlineLevel="0" collapsed="false">
      <c r="A1042" s="2" t="s">
        <v>6012</v>
      </c>
      <c r="B1042" s="2" t="s">
        <v>1185</v>
      </c>
      <c r="C1042" s="2" t="s">
        <v>5023</v>
      </c>
      <c r="D1042" s="2" t="s">
        <v>6013</v>
      </c>
      <c r="E1042" s="2" t="s">
        <v>6014</v>
      </c>
      <c r="F1042" s="2" t="s">
        <v>6015</v>
      </c>
      <c r="G1042" s="2" t="s">
        <v>6016</v>
      </c>
      <c r="H1042" s="2" t="s">
        <v>20</v>
      </c>
      <c r="I1042" s="2" t="s">
        <v>6017</v>
      </c>
      <c r="J1042" s="2" t="s">
        <v>6018</v>
      </c>
      <c r="K1042" s="2" t="s">
        <v>1193</v>
      </c>
      <c r="L1042" s="2" t="n">
        <v>3</v>
      </c>
      <c r="M1042" s="2" t="n">
        <v>64</v>
      </c>
    </row>
    <row r="1043" customFormat="false" ht="61.15" hidden="false" customHeight="false" outlineLevel="0" collapsed="false">
      <c r="A1043" s="2" t="s">
        <v>6019</v>
      </c>
      <c r="B1043" s="2" t="s">
        <v>1185</v>
      </c>
      <c r="C1043" s="2" t="s">
        <v>5023</v>
      </c>
      <c r="D1043" s="2" t="s">
        <v>6020</v>
      </c>
      <c r="E1043" s="2" t="s">
        <v>6021</v>
      </c>
      <c r="F1043" s="2" t="s">
        <v>5928</v>
      </c>
      <c r="G1043" s="2" t="s">
        <v>6022</v>
      </c>
      <c r="H1043" s="2" t="s">
        <v>226</v>
      </c>
      <c r="I1043" s="2" t="s">
        <v>6023</v>
      </c>
      <c r="J1043" s="2" t="s">
        <v>6024</v>
      </c>
      <c r="K1043" s="2" t="s">
        <v>1193</v>
      </c>
      <c r="L1043" s="2" t="n">
        <v>3</v>
      </c>
      <c r="M1043" s="2" t="n">
        <v>64</v>
      </c>
    </row>
    <row r="1044" customFormat="false" ht="61.15" hidden="false" customHeight="false" outlineLevel="0" collapsed="false">
      <c r="A1044" s="2" t="s">
        <v>6025</v>
      </c>
      <c r="B1044" s="2" t="s">
        <v>1185</v>
      </c>
      <c r="C1044" s="2" t="s">
        <v>5023</v>
      </c>
      <c r="D1044" s="2" t="s">
        <v>6026</v>
      </c>
      <c r="E1044" s="2" t="s">
        <v>2940</v>
      </c>
      <c r="F1044" s="2" t="s">
        <v>6027</v>
      </c>
      <c r="G1044" s="2" t="s">
        <v>6028</v>
      </c>
      <c r="H1044" s="2" t="s">
        <v>20</v>
      </c>
      <c r="I1044" s="2" t="s">
        <v>6029</v>
      </c>
      <c r="J1044" s="2" t="s">
        <v>6030</v>
      </c>
      <c r="K1044" s="2" t="s">
        <v>1193</v>
      </c>
      <c r="L1044" s="2" t="n">
        <v>2</v>
      </c>
      <c r="M1044" s="2" t="n">
        <v>65</v>
      </c>
    </row>
    <row r="1045" customFormat="false" ht="76.1" hidden="false" customHeight="false" outlineLevel="0" collapsed="false">
      <c r="A1045" s="2" t="s">
        <v>6031</v>
      </c>
      <c r="B1045" s="2" t="s">
        <v>1185</v>
      </c>
      <c r="C1045" s="2" t="s">
        <v>5023</v>
      </c>
      <c r="D1045" s="2" t="s">
        <v>6032</v>
      </c>
      <c r="E1045" s="2" t="s">
        <v>6033</v>
      </c>
      <c r="F1045" s="2" t="s">
        <v>6034</v>
      </c>
      <c r="G1045" s="2" t="s">
        <v>6035</v>
      </c>
      <c r="H1045" s="2" t="s">
        <v>28</v>
      </c>
      <c r="I1045" s="2" t="s">
        <v>6036</v>
      </c>
      <c r="J1045" s="2" t="s">
        <v>6030</v>
      </c>
      <c r="K1045" s="2" t="s">
        <v>1193</v>
      </c>
      <c r="L1045" s="2" t="n">
        <v>3</v>
      </c>
      <c r="M1045" s="2" t="n">
        <v>65</v>
      </c>
    </row>
    <row r="1046" customFormat="false" ht="61.15" hidden="false" customHeight="false" outlineLevel="0" collapsed="false">
      <c r="A1046" s="2" t="s">
        <v>6037</v>
      </c>
      <c r="B1046" s="2" t="s">
        <v>1185</v>
      </c>
      <c r="C1046" s="2" t="s">
        <v>5023</v>
      </c>
      <c r="D1046" s="2" t="s">
        <v>6038</v>
      </c>
      <c r="E1046" s="2" t="s">
        <v>6039</v>
      </c>
      <c r="F1046" s="2" t="s">
        <v>5844</v>
      </c>
      <c r="G1046" s="2" t="s">
        <v>6040</v>
      </c>
      <c r="H1046" s="2" t="s">
        <v>20</v>
      </c>
      <c r="I1046" s="2" t="s">
        <v>6041</v>
      </c>
      <c r="J1046" s="2" t="s">
        <v>5589</v>
      </c>
      <c r="K1046" s="2" t="s">
        <v>1193</v>
      </c>
      <c r="L1046" s="2" t="n">
        <v>2</v>
      </c>
      <c r="M1046" s="2" t="n">
        <v>66</v>
      </c>
    </row>
    <row r="1047" customFormat="false" ht="61.15" hidden="false" customHeight="false" outlineLevel="0" collapsed="false">
      <c r="A1047" s="2" t="s">
        <v>6042</v>
      </c>
      <c r="B1047" s="2" t="s">
        <v>1185</v>
      </c>
      <c r="C1047" s="2" t="s">
        <v>5023</v>
      </c>
      <c r="D1047" s="2" t="s">
        <v>6043</v>
      </c>
      <c r="E1047" s="2" t="s">
        <v>6044</v>
      </c>
      <c r="F1047" s="2" t="s">
        <v>6045</v>
      </c>
      <c r="G1047" s="2" t="s">
        <v>6046</v>
      </c>
      <c r="H1047" s="2" t="s">
        <v>20</v>
      </c>
      <c r="I1047" s="2" t="s">
        <v>6047</v>
      </c>
      <c r="J1047" s="2" t="s">
        <v>5589</v>
      </c>
      <c r="K1047" s="2" t="s">
        <v>1193</v>
      </c>
      <c r="L1047" s="2" t="n">
        <v>3</v>
      </c>
      <c r="M1047" s="2" t="n">
        <v>66</v>
      </c>
    </row>
    <row r="1048" customFormat="false" ht="76.1" hidden="false" customHeight="false" outlineLevel="0" collapsed="false">
      <c r="A1048" s="2" t="s">
        <v>6048</v>
      </c>
      <c r="B1048" s="2" t="s">
        <v>1185</v>
      </c>
      <c r="C1048" s="2" t="s">
        <v>5023</v>
      </c>
      <c r="D1048" s="2" t="s">
        <v>6049</v>
      </c>
      <c r="E1048" s="2" t="s">
        <v>6050</v>
      </c>
      <c r="F1048" s="2" t="s">
        <v>6051</v>
      </c>
      <c r="G1048" s="2" t="s">
        <v>6052</v>
      </c>
      <c r="H1048" s="2" t="s">
        <v>20</v>
      </c>
      <c r="I1048" s="2" t="s">
        <v>6053</v>
      </c>
      <c r="J1048" s="2" t="s">
        <v>5553</v>
      </c>
      <c r="K1048" s="2" t="s">
        <v>1193</v>
      </c>
      <c r="L1048" s="2" t="n">
        <v>2</v>
      </c>
      <c r="M1048" s="2" t="n">
        <v>66</v>
      </c>
    </row>
    <row r="1049" customFormat="false" ht="76.1" hidden="false" customHeight="false" outlineLevel="0" collapsed="false">
      <c r="A1049" s="2" t="s">
        <v>6054</v>
      </c>
      <c r="B1049" s="2" t="s">
        <v>1185</v>
      </c>
      <c r="C1049" s="2" t="s">
        <v>5023</v>
      </c>
      <c r="D1049" s="2" t="s">
        <v>6055</v>
      </c>
      <c r="E1049" s="2" t="s">
        <v>6056</v>
      </c>
      <c r="F1049" s="2" t="s">
        <v>6057</v>
      </c>
      <c r="G1049" s="2" t="s">
        <v>5766</v>
      </c>
      <c r="H1049" s="2" t="s">
        <v>28</v>
      </c>
      <c r="I1049" s="2" t="s">
        <v>6058</v>
      </c>
      <c r="J1049" s="2" t="s">
        <v>5076</v>
      </c>
      <c r="K1049" s="2" t="s">
        <v>1193</v>
      </c>
      <c r="L1049" s="2" t="n">
        <v>4</v>
      </c>
      <c r="M1049" s="2" t="n">
        <v>66</v>
      </c>
    </row>
    <row r="1050" customFormat="false" ht="61.15" hidden="false" customHeight="false" outlineLevel="0" collapsed="false">
      <c r="A1050" s="2" t="s">
        <v>6059</v>
      </c>
      <c r="B1050" s="2" t="s">
        <v>1185</v>
      </c>
      <c r="C1050" s="2" t="s">
        <v>5023</v>
      </c>
      <c r="D1050" s="2" t="s">
        <v>6060</v>
      </c>
      <c r="E1050" s="2" t="s">
        <v>6061</v>
      </c>
      <c r="F1050" s="2" t="s">
        <v>6062</v>
      </c>
      <c r="G1050" s="2" t="s">
        <v>6063</v>
      </c>
      <c r="H1050" s="2" t="s">
        <v>20</v>
      </c>
      <c r="I1050" s="2" t="s">
        <v>6064</v>
      </c>
      <c r="J1050" s="2" t="s">
        <v>5349</v>
      </c>
      <c r="K1050" s="2" t="s">
        <v>1193</v>
      </c>
      <c r="L1050" s="2" t="n">
        <v>2</v>
      </c>
      <c r="M1050" s="2" t="n">
        <v>69</v>
      </c>
    </row>
    <row r="1051" customFormat="false" ht="76.1" hidden="false" customHeight="false" outlineLevel="0" collapsed="false">
      <c r="A1051" s="2" t="s">
        <v>6065</v>
      </c>
      <c r="B1051" s="2" t="s">
        <v>1185</v>
      </c>
      <c r="C1051" s="2" t="s">
        <v>5023</v>
      </c>
      <c r="D1051" s="2" t="s">
        <v>6066</v>
      </c>
      <c r="E1051" s="2" t="s">
        <v>6067</v>
      </c>
      <c r="F1051" s="2" t="s">
        <v>6068</v>
      </c>
      <c r="G1051" s="2" t="s">
        <v>6069</v>
      </c>
      <c r="H1051" s="2" t="s">
        <v>20</v>
      </c>
      <c r="I1051" s="2" t="s">
        <v>6070</v>
      </c>
      <c r="J1051" s="2" t="s">
        <v>5819</v>
      </c>
      <c r="K1051" s="2" t="s">
        <v>1193</v>
      </c>
      <c r="L1051" s="2" t="n">
        <v>2</v>
      </c>
      <c r="M1051" s="2" t="n">
        <v>68</v>
      </c>
    </row>
    <row r="1052" customFormat="false" ht="46.25" hidden="false" customHeight="false" outlineLevel="0" collapsed="false">
      <c r="A1052" s="2" t="s">
        <v>6071</v>
      </c>
      <c r="B1052" s="2" t="s">
        <v>1185</v>
      </c>
      <c r="C1052" s="2" t="s">
        <v>5023</v>
      </c>
      <c r="D1052" s="2" t="s">
        <v>6072</v>
      </c>
      <c r="E1052" s="2" t="s">
        <v>4170</v>
      </c>
      <c r="F1052" s="2" t="s">
        <v>4370</v>
      </c>
      <c r="G1052" s="2" t="s">
        <v>4172</v>
      </c>
      <c r="H1052" s="2" t="s">
        <v>20</v>
      </c>
      <c r="I1052" s="2" t="s">
        <v>6073</v>
      </c>
      <c r="J1052" s="2" t="s">
        <v>5458</v>
      </c>
      <c r="K1052" s="2" t="s">
        <v>1193</v>
      </c>
      <c r="L1052" s="2" t="n">
        <v>2</v>
      </c>
      <c r="M1052" s="2" t="n">
        <v>64</v>
      </c>
    </row>
    <row r="1053" customFormat="false" ht="61.15" hidden="false" customHeight="false" outlineLevel="0" collapsed="false">
      <c r="A1053" s="2" t="s">
        <v>6074</v>
      </c>
      <c r="B1053" s="2" t="s">
        <v>1185</v>
      </c>
      <c r="C1053" s="2" t="s">
        <v>5023</v>
      </c>
      <c r="D1053" s="2" t="s">
        <v>6075</v>
      </c>
      <c r="E1053" s="2" t="s">
        <v>6076</v>
      </c>
      <c r="F1053" s="2" t="s">
        <v>6077</v>
      </c>
      <c r="G1053" s="2" t="s">
        <v>6078</v>
      </c>
      <c r="H1053" s="2" t="s">
        <v>28</v>
      </c>
      <c r="I1053" s="2" t="s">
        <v>6079</v>
      </c>
      <c r="J1053" s="2" t="s">
        <v>5760</v>
      </c>
      <c r="K1053" s="2" t="s">
        <v>1193</v>
      </c>
      <c r="L1053" s="2" t="n">
        <v>3</v>
      </c>
      <c r="M1053" s="2" t="n">
        <v>67</v>
      </c>
    </row>
    <row r="1054" customFormat="false" ht="91" hidden="false" customHeight="false" outlineLevel="0" collapsed="false">
      <c r="A1054" s="2" t="s">
        <v>6080</v>
      </c>
      <c r="B1054" s="2" t="s">
        <v>1185</v>
      </c>
      <c r="C1054" s="2" t="s">
        <v>5023</v>
      </c>
      <c r="D1054" s="2" t="s">
        <v>6081</v>
      </c>
      <c r="E1054" s="2" t="s">
        <v>6082</v>
      </c>
      <c r="F1054" s="2" t="s">
        <v>6083</v>
      </c>
      <c r="G1054" s="2" t="s">
        <v>6084</v>
      </c>
      <c r="H1054" s="2" t="s">
        <v>20</v>
      </c>
      <c r="I1054" s="2" t="s">
        <v>6085</v>
      </c>
      <c r="J1054" s="2" t="s">
        <v>6086</v>
      </c>
      <c r="K1054" s="2" t="s">
        <v>1193</v>
      </c>
      <c r="L1054" s="2" t="n">
        <v>3</v>
      </c>
      <c r="M1054" s="2" t="n">
        <v>68</v>
      </c>
    </row>
    <row r="1055" customFormat="false" ht="61.15" hidden="false" customHeight="false" outlineLevel="0" collapsed="false">
      <c r="A1055" s="2" t="s">
        <v>6087</v>
      </c>
      <c r="B1055" s="2" t="s">
        <v>1185</v>
      </c>
      <c r="C1055" s="2" t="s">
        <v>5023</v>
      </c>
      <c r="D1055" s="2" t="s">
        <v>6088</v>
      </c>
      <c r="E1055" s="2" t="s">
        <v>6089</v>
      </c>
      <c r="F1055" s="2" t="s">
        <v>6090</v>
      </c>
      <c r="G1055" s="2" t="s">
        <v>6091</v>
      </c>
      <c r="H1055" s="2" t="s">
        <v>20</v>
      </c>
      <c r="I1055" s="2" t="s">
        <v>6092</v>
      </c>
      <c r="J1055" s="2" t="s">
        <v>6093</v>
      </c>
      <c r="K1055" s="2" t="s">
        <v>1193</v>
      </c>
      <c r="L1055" s="2" t="n">
        <v>2</v>
      </c>
      <c r="M1055" s="2" t="n">
        <v>66</v>
      </c>
    </row>
    <row r="1056" customFormat="false" ht="61.15" hidden="false" customHeight="false" outlineLevel="0" collapsed="false">
      <c r="A1056" s="2" t="s">
        <v>6094</v>
      </c>
      <c r="B1056" s="2" t="s">
        <v>1185</v>
      </c>
      <c r="C1056" s="2" t="s">
        <v>5023</v>
      </c>
      <c r="D1056" s="2" t="s">
        <v>6095</v>
      </c>
      <c r="E1056" s="2" t="s">
        <v>4596</v>
      </c>
      <c r="F1056" s="2" t="s">
        <v>6096</v>
      </c>
      <c r="G1056" s="2" t="s">
        <v>6097</v>
      </c>
      <c r="H1056" s="2" t="s">
        <v>20</v>
      </c>
      <c r="I1056" s="2" t="s">
        <v>6098</v>
      </c>
      <c r="J1056" s="2" t="s">
        <v>5600</v>
      </c>
      <c r="K1056" s="2" t="s">
        <v>1193</v>
      </c>
      <c r="L1056" s="2" t="n">
        <v>4</v>
      </c>
      <c r="M1056" s="2" t="n">
        <v>66</v>
      </c>
    </row>
    <row r="1057" customFormat="false" ht="61.15" hidden="false" customHeight="false" outlineLevel="0" collapsed="false">
      <c r="A1057" s="2" t="s">
        <v>6099</v>
      </c>
      <c r="B1057" s="2" t="s">
        <v>1185</v>
      </c>
      <c r="C1057" s="2" t="s">
        <v>5023</v>
      </c>
      <c r="D1057" s="2" t="s">
        <v>6100</v>
      </c>
      <c r="E1057" s="2" t="s">
        <v>5615</v>
      </c>
      <c r="F1057" s="2" t="s">
        <v>4596</v>
      </c>
      <c r="G1057" s="2" t="s">
        <v>5616</v>
      </c>
      <c r="H1057" s="2" t="s">
        <v>20</v>
      </c>
      <c r="I1057" s="2" t="s">
        <v>6101</v>
      </c>
      <c r="J1057" s="2" t="s">
        <v>5600</v>
      </c>
      <c r="K1057" s="2" t="s">
        <v>1193</v>
      </c>
      <c r="L1057" s="2" t="n">
        <v>4</v>
      </c>
      <c r="M1057" s="2" t="n">
        <v>66</v>
      </c>
    </row>
    <row r="1058" customFormat="false" ht="61.15" hidden="false" customHeight="false" outlineLevel="0" collapsed="false">
      <c r="A1058" s="2" t="s">
        <v>6102</v>
      </c>
      <c r="B1058" s="2" t="s">
        <v>1185</v>
      </c>
      <c r="C1058" s="2" t="s">
        <v>5023</v>
      </c>
      <c r="D1058" s="2" t="s">
        <v>6103</v>
      </c>
      <c r="E1058" s="2" t="s">
        <v>6104</v>
      </c>
      <c r="F1058" s="2" t="s">
        <v>5727</v>
      </c>
      <c r="G1058" s="2" t="s">
        <v>6105</v>
      </c>
      <c r="H1058" s="2" t="s">
        <v>28</v>
      </c>
      <c r="I1058" s="2" t="s">
        <v>6106</v>
      </c>
      <c r="J1058" s="2" t="s">
        <v>5195</v>
      </c>
      <c r="K1058" s="2" t="s">
        <v>1193</v>
      </c>
      <c r="L1058" s="2" t="n">
        <v>2</v>
      </c>
      <c r="M1058" s="2" t="n">
        <v>65</v>
      </c>
    </row>
    <row r="1059" customFormat="false" ht="76.1" hidden="false" customHeight="false" outlineLevel="0" collapsed="false">
      <c r="A1059" s="2" t="s">
        <v>6107</v>
      </c>
      <c r="B1059" s="2" t="s">
        <v>1185</v>
      </c>
      <c r="C1059" s="2" t="s">
        <v>5023</v>
      </c>
      <c r="D1059" s="2" t="s">
        <v>6108</v>
      </c>
      <c r="E1059" s="2" t="s">
        <v>6109</v>
      </c>
      <c r="F1059" s="2" t="s">
        <v>6110</v>
      </c>
      <c r="G1059" s="2" t="s">
        <v>6111</v>
      </c>
      <c r="H1059" s="2" t="s">
        <v>20</v>
      </c>
      <c r="I1059" s="2" t="s">
        <v>6112</v>
      </c>
      <c r="J1059" s="2" t="s">
        <v>5323</v>
      </c>
      <c r="K1059" s="2" t="s">
        <v>1193</v>
      </c>
      <c r="L1059" s="2" t="n">
        <v>3</v>
      </c>
      <c r="M1059" s="2" t="n">
        <v>64</v>
      </c>
    </row>
    <row r="1060" customFormat="false" ht="91" hidden="false" customHeight="false" outlineLevel="0" collapsed="false">
      <c r="A1060" s="2" t="s">
        <v>6113</v>
      </c>
      <c r="B1060" s="2" t="s">
        <v>1185</v>
      </c>
      <c r="C1060" s="2" t="s">
        <v>5023</v>
      </c>
      <c r="D1060" s="2" t="s">
        <v>6114</v>
      </c>
      <c r="E1060" s="2" t="s">
        <v>6115</v>
      </c>
      <c r="F1060" s="2" t="s">
        <v>6116</v>
      </c>
      <c r="G1060" s="2" t="s">
        <v>6117</v>
      </c>
      <c r="H1060" s="2" t="s">
        <v>20</v>
      </c>
      <c r="I1060" s="2" t="s">
        <v>6118</v>
      </c>
      <c r="J1060" s="2" t="s">
        <v>6093</v>
      </c>
      <c r="K1060" s="2" t="s">
        <v>1193</v>
      </c>
      <c r="L1060" s="2" t="n">
        <v>3</v>
      </c>
      <c r="M1060" s="2" t="n">
        <v>64</v>
      </c>
    </row>
    <row r="1061" customFormat="false" ht="76.1" hidden="false" customHeight="false" outlineLevel="0" collapsed="false">
      <c r="A1061" s="2" t="s">
        <v>6119</v>
      </c>
      <c r="B1061" s="2" t="s">
        <v>1185</v>
      </c>
      <c r="C1061" s="2" t="s">
        <v>5023</v>
      </c>
      <c r="D1061" s="2" t="s">
        <v>6120</v>
      </c>
      <c r="E1061" s="2" t="s">
        <v>6121</v>
      </c>
      <c r="F1061" s="2" t="s">
        <v>6122</v>
      </c>
      <c r="G1061" s="2" t="s">
        <v>4841</v>
      </c>
      <c r="H1061" s="2" t="s">
        <v>226</v>
      </c>
      <c r="I1061" s="2" t="s">
        <v>6123</v>
      </c>
      <c r="J1061" s="2" t="s">
        <v>5510</v>
      </c>
      <c r="K1061" s="2" t="s">
        <v>1193</v>
      </c>
      <c r="L1061" s="2" t="n">
        <v>4</v>
      </c>
      <c r="M1061" s="2" t="n">
        <v>65</v>
      </c>
    </row>
    <row r="1062" customFormat="false" ht="76.1" hidden="false" customHeight="false" outlineLevel="0" collapsed="false">
      <c r="A1062" s="2" t="s">
        <v>6124</v>
      </c>
      <c r="B1062" s="2" t="s">
        <v>1185</v>
      </c>
      <c r="C1062" s="2" t="s">
        <v>5023</v>
      </c>
      <c r="D1062" s="2" t="s">
        <v>6125</v>
      </c>
      <c r="E1062" s="2" t="s">
        <v>6126</v>
      </c>
      <c r="F1062" s="2" t="s">
        <v>6127</v>
      </c>
      <c r="G1062" s="2" t="s">
        <v>6128</v>
      </c>
      <c r="H1062" s="2" t="s">
        <v>28</v>
      </c>
      <c r="I1062" s="2" t="s">
        <v>6129</v>
      </c>
      <c r="J1062" s="2" t="s">
        <v>6130</v>
      </c>
      <c r="K1062" s="2" t="s">
        <v>1193</v>
      </c>
      <c r="L1062" s="2" t="n">
        <v>4</v>
      </c>
      <c r="M1062" s="2" t="n">
        <v>64</v>
      </c>
    </row>
    <row r="1063" customFormat="false" ht="61.15" hidden="false" customHeight="false" outlineLevel="0" collapsed="false">
      <c r="A1063" s="2" t="s">
        <v>6131</v>
      </c>
      <c r="B1063" s="2" t="s">
        <v>1185</v>
      </c>
      <c r="C1063" s="2" t="s">
        <v>5023</v>
      </c>
      <c r="D1063" s="2" t="s">
        <v>6132</v>
      </c>
      <c r="E1063" s="2" t="s">
        <v>6133</v>
      </c>
      <c r="F1063" s="2" t="s">
        <v>6134</v>
      </c>
      <c r="G1063" s="2" t="s">
        <v>6135</v>
      </c>
      <c r="H1063" s="2" t="s">
        <v>226</v>
      </c>
      <c r="I1063" s="2" t="s">
        <v>6136</v>
      </c>
      <c r="J1063" s="2" t="s">
        <v>6137</v>
      </c>
      <c r="K1063" s="2" t="s">
        <v>1193</v>
      </c>
      <c r="L1063" s="2" t="n">
        <v>3</v>
      </c>
      <c r="M1063" s="2" t="n">
        <v>67</v>
      </c>
    </row>
    <row r="1064" customFormat="false" ht="61.15" hidden="false" customHeight="false" outlineLevel="0" collapsed="false">
      <c r="A1064" s="2" t="s">
        <v>6138</v>
      </c>
      <c r="B1064" s="2" t="s">
        <v>1185</v>
      </c>
      <c r="C1064" s="2" t="s">
        <v>5023</v>
      </c>
      <c r="D1064" s="2" t="s">
        <v>6139</v>
      </c>
      <c r="E1064" s="2" t="s">
        <v>3993</v>
      </c>
      <c r="F1064" s="2" t="s">
        <v>6140</v>
      </c>
      <c r="G1064" s="2" t="s">
        <v>3995</v>
      </c>
      <c r="H1064" s="2" t="s">
        <v>20</v>
      </c>
      <c r="I1064" s="2" t="s">
        <v>6141</v>
      </c>
      <c r="J1064" s="2" t="s">
        <v>6142</v>
      </c>
      <c r="K1064" s="2" t="s">
        <v>1193</v>
      </c>
      <c r="L1064" s="2" t="n">
        <v>4</v>
      </c>
      <c r="M1064" s="2" t="n">
        <v>64</v>
      </c>
    </row>
    <row r="1065" customFormat="false" ht="76.1" hidden="false" customHeight="false" outlineLevel="0" collapsed="false">
      <c r="A1065" s="2" t="s">
        <v>6143</v>
      </c>
      <c r="B1065" s="2" t="s">
        <v>1185</v>
      </c>
      <c r="C1065" s="2" t="s">
        <v>5023</v>
      </c>
      <c r="D1065" s="2" t="s">
        <v>6144</v>
      </c>
      <c r="E1065" s="2" t="s">
        <v>6145</v>
      </c>
      <c r="F1065" s="2" t="s">
        <v>6146</v>
      </c>
      <c r="G1065" s="2" t="s">
        <v>6147</v>
      </c>
      <c r="H1065" s="2" t="s">
        <v>20</v>
      </c>
      <c r="I1065" s="2" t="s">
        <v>6148</v>
      </c>
      <c r="J1065" s="2" t="s">
        <v>5023</v>
      </c>
      <c r="K1065" s="2" t="s">
        <v>1193</v>
      </c>
      <c r="L1065" s="2" t="n">
        <v>3</v>
      </c>
      <c r="M1065" s="2" t="n">
        <v>67</v>
      </c>
    </row>
    <row r="1066" customFormat="false" ht="61.15" hidden="false" customHeight="false" outlineLevel="0" collapsed="false">
      <c r="A1066" s="2" t="s">
        <v>6149</v>
      </c>
      <c r="B1066" s="2" t="s">
        <v>1185</v>
      </c>
      <c r="C1066" s="2" t="s">
        <v>5023</v>
      </c>
      <c r="D1066" s="2" t="s">
        <v>6150</v>
      </c>
      <c r="E1066" s="2" t="s">
        <v>6151</v>
      </c>
      <c r="F1066" s="2" t="s">
        <v>6152</v>
      </c>
      <c r="G1066" s="2" t="s">
        <v>6146</v>
      </c>
      <c r="H1066" s="2" t="s">
        <v>20</v>
      </c>
      <c r="I1066" s="2" t="s">
        <v>6153</v>
      </c>
      <c r="J1066" s="2" t="s">
        <v>5023</v>
      </c>
      <c r="K1066" s="2" t="s">
        <v>1193</v>
      </c>
      <c r="L1066" s="2" t="n">
        <v>3</v>
      </c>
      <c r="M1066" s="2" t="n">
        <v>67</v>
      </c>
    </row>
    <row r="1067" customFormat="false" ht="61.15" hidden="false" customHeight="false" outlineLevel="0" collapsed="false">
      <c r="A1067" s="2" t="s">
        <v>6154</v>
      </c>
      <c r="B1067" s="2" t="s">
        <v>1185</v>
      </c>
      <c r="C1067" s="2" t="s">
        <v>5023</v>
      </c>
      <c r="D1067" s="2" t="s">
        <v>6155</v>
      </c>
      <c r="E1067" s="2" t="s">
        <v>6156</v>
      </c>
      <c r="F1067" s="2" t="s">
        <v>6157</v>
      </c>
      <c r="G1067" s="2" t="s">
        <v>6158</v>
      </c>
      <c r="H1067" s="2" t="s">
        <v>20</v>
      </c>
      <c r="I1067" s="2" t="s">
        <v>6159</v>
      </c>
      <c r="J1067" s="2" t="s">
        <v>5023</v>
      </c>
      <c r="K1067" s="2" t="s">
        <v>1193</v>
      </c>
      <c r="L1067" s="2" t="n">
        <v>1</v>
      </c>
      <c r="M1067" s="2" t="n">
        <v>66</v>
      </c>
    </row>
    <row r="1068" customFormat="false" ht="61.15" hidden="false" customHeight="false" outlineLevel="0" collapsed="false">
      <c r="A1068" s="2" t="s">
        <v>6160</v>
      </c>
      <c r="B1068" s="2" t="s">
        <v>1185</v>
      </c>
      <c r="C1068" s="2" t="s">
        <v>5023</v>
      </c>
      <c r="D1068" s="2" t="s">
        <v>6161</v>
      </c>
      <c r="E1068" s="2" t="s">
        <v>2958</v>
      </c>
      <c r="F1068" s="2" t="s">
        <v>6162</v>
      </c>
      <c r="G1068" s="2" t="s">
        <v>6163</v>
      </c>
      <c r="H1068" s="2" t="s">
        <v>20</v>
      </c>
      <c r="I1068" s="2" t="s">
        <v>6164</v>
      </c>
      <c r="J1068" s="2" t="s">
        <v>6165</v>
      </c>
      <c r="K1068" s="2" t="s">
        <v>1193</v>
      </c>
      <c r="L1068" s="2" t="n">
        <v>3</v>
      </c>
      <c r="M1068" s="2" t="n">
        <v>66</v>
      </c>
    </row>
    <row r="1069" customFormat="false" ht="105.95" hidden="false" customHeight="false" outlineLevel="0" collapsed="false">
      <c r="A1069" s="2" t="s">
        <v>6166</v>
      </c>
      <c r="B1069" s="2" t="s">
        <v>1185</v>
      </c>
      <c r="C1069" s="2" t="s">
        <v>5023</v>
      </c>
      <c r="D1069" s="2" t="s">
        <v>6167</v>
      </c>
      <c r="E1069" s="2" t="s">
        <v>6168</v>
      </c>
      <c r="F1069" s="2" t="s">
        <v>6169</v>
      </c>
      <c r="G1069" s="2" t="s">
        <v>6170</v>
      </c>
      <c r="H1069" s="2" t="s">
        <v>20</v>
      </c>
      <c r="I1069" s="2" t="s">
        <v>6171</v>
      </c>
      <c r="J1069" s="2" t="s">
        <v>5023</v>
      </c>
      <c r="K1069" s="2" t="s">
        <v>1193</v>
      </c>
      <c r="L1069" s="2" t="n">
        <v>3</v>
      </c>
      <c r="M1069" s="2" t="n">
        <v>69</v>
      </c>
    </row>
    <row r="1070" customFormat="false" ht="61.15" hidden="false" customHeight="false" outlineLevel="0" collapsed="false">
      <c r="A1070" s="2" t="s">
        <v>6172</v>
      </c>
      <c r="B1070" s="2" t="s">
        <v>1185</v>
      </c>
      <c r="C1070" s="2" t="s">
        <v>5023</v>
      </c>
      <c r="D1070" s="2" t="s">
        <v>6173</v>
      </c>
      <c r="E1070" s="2" t="s">
        <v>6174</v>
      </c>
      <c r="F1070" s="2" t="s">
        <v>6175</v>
      </c>
      <c r="G1070" s="2" t="s">
        <v>6176</v>
      </c>
      <c r="H1070" s="2" t="s">
        <v>20</v>
      </c>
      <c r="I1070" s="2" t="s">
        <v>6177</v>
      </c>
      <c r="J1070" s="2" t="s">
        <v>5023</v>
      </c>
      <c r="K1070" s="2" t="s">
        <v>1193</v>
      </c>
      <c r="L1070" s="2" t="n">
        <v>2</v>
      </c>
      <c r="M1070" s="2" t="n">
        <v>66</v>
      </c>
    </row>
    <row r="1071" customFormat="false" ht="61.15" hidden="false" customHeight="false" outlineLevel="0" collapsed="false">
      <c r="A1071" s="2" t="s">
        <v>6178</v>
      </c>
      <c r="B1071" s="2" t="s">
        <v>1185</v>
      </c>
      <c r="C1071" s="2" t="s">
        <v>5023</v>
      </c>
      <c r="D1071" s="2" t="s">
        <v>6179</v>
      </c>
      <c r="E1071" s="2" t="s">
        <v>6180</v>
      </c>
      <c r="F1071" s="2" t="s">
        <v>6181</v>
      </c>
      <c r="G1071" s="2" t="s">
        <v>6182</v>
      </c>
      <c r="H1071" s="2" t="s">
        <v>20</v>
      </c>
      <c r="I1071" s="2" t="s">
        <v>6183</v>
      </c>
      <c r="J1071" s="2" t="s">
        <v>5023</v>
      </c>
      <c r="K1071" s="2" t="s">
        <v>1193</v>
      </c>
      <c r="L1071" s="2" t="n">
        <v>2</v>
      </c>
      <c r="M1071" s="2" t="n">
        <v>65</v>
      </c>
    </row>
    <row r="1072" customFormat="false" ht="61.15" hidden="false" customHeight="false" outlineLevel="0" collapsed="false">
      <c r="A1072" s="2" t="s">
        <v>6184</v>
      </c>
      <c r="B1072" s="2" t="s">
        <v>1185</v>
      </c>
      <c r="C1072" s="2" t="s">
        <v>5023</v>
      </c>
      <c r="D1072" s="2" t="s">
        <v>6185</v>
      </c>
      <c r="E1072" s="2" t="s">
        <v>6186</v>
      </c>
      <c r="F1072" s="2" t="s">
        <v>6187</v>
      </c>
      <c r="G1072" s="2" t="s">
        <v>6188</v>
      </c>
      <c r="H1072" s="2" t="s">
        <v>20</v>
      </c>
      <c r="I1072" s="2" t="s">
        <v>6189</v>
      </c>
      <c r="J1072" s="2" t="s">
        <v>5023</v>
      </c>
      <c r="K1072" s="2" t="s">
        <v>1193</v>
      </c>
      <c r="L1072" s="2" t="n">
        <v>2</v>
      </c>
      <c r="M1072" s="2" t="n">
        <v>68</v>
      </c>
    </row>
    <row r="1073" customFormat="false" ht="61.15" hidden="false" customHeight="false" outlineLevel="0" collapsed="false">
      <c r="A1073" s="2" t="s">
        <v>6190</v>
      </c>
      <c r="B1073" s="2" t="s">
        <v>1185</v>
      </c>
      <c r="C1073" s="2" t="s">
        <v>5023</v>
      </c>
      <c r="D1073" s="2" t="s">
        <v>6191</v>
      </c>
      <c r="E1073" s="2" t="s">
        <v>6192</v>
      </c>
      <c r="F1073" s="2" t="s">
        <v>6193</v>
      </c>
      <c r="G1073" s="2" t="s">
        <v>6194</v>
      </c>
      <c r="H1073" s="2" t="s">
        <v>20</v>
      </c>
      <c r="I1073" s="2" t="s">
        <v>6195</v>
      </c>
      <c r="J1073" s="2" t="s">
        <v>5023</v>
      </c>
      <c r="K1073" s="2" t="s">
        <v>1193</v>
      </c>
      <c r="L1073" s="2" t="n">
        <v>2</v>
      </c>
      <c r="M1073" s="2" t="n">
        <v>64</v>
      </c>
    </row>
    <row r="1074" customFormat="false" ht="46.25" hidden="false" customHeight="false" outlineLevel="0" collapsed="false">
      <c r="A1074" s="2" t="s">
        <v>6196</v>
      </c>
      <c r="B1074" s="2" t="s">
        <v>1185</v>
      </c>
      <c r="C1074" s="2" t="s">
        <v>5023</v>
      </c>
      <c r="D1074" s="2" t="s">
        <v>6197</v>
      </c>
      <c r="E1074" s="2" t="s">
        <v>3290</v>
      </c>
      <c r="F1074" s="2" t="s">
        <v>1607</v>
      </c>
      <c r="G1074" s="2" t="s">
        <v>6198</v>
      </c>
      <c r="H1074" s="2" t="s">
        <v>20</v>
      </c>
      <c r="I1074" s="2" t="s">
        <v>6199</v>
      </c>
      <c r="J1074" s="2" t="s">
        <v>5023</v>
      </c>
      <c r="K1074" s="2" t="s">
        <v>1193</v>
      </c>
      <c r="L1074" s="2" t="n">
        <v>2</v>
      </c>
      <c r="M1074" s="2" t="n">
        <v>68</v>
      </c>
    </row>
    <row r="1075" customFormat="false" ht="61.15" hidden="false" customHeight="false" outlineLevel="0" collapsed="false">
      <c r="A1075" s="2" t="s">
        <v>6200</v>
      </c>
      <c r="B1075" s="2" t="s">
        <v>1185</v>
      </c>
      <c r="C1075" s="2" t="s">
        <v>5023</v>
      </c>
      <c r="D1075" s="2" t="s">
        <v>6201</v>
      </c>
      <c r="E1075" s="2" t="s">
        <v>6202</v>
      </c>
      <c r="F1075" s="2" t="s">
        <v>6203</v>
      </c>
      <c r="G1075" s="2" t="s">
        <v>6204</v>
      </c>
      <c r="H1075" s="2" t="s">
        <v>20</v>
      </c>
      <c r="I1075" s="2" t="s">
        <v>6205</v>
      </c>
      <c r="J1075" s="2" t="s">
        <v>5023</v>
      </c>
      <c r="K1075" s="2" t="s">
        <v>1193</v>
      </c>
      <c r="L1075" s="2" t="n">
        <v>2</v>
      </c>
      <c r="M1075" s="2" t="n">
        <v>68</v>
      </c>
    </row>
    <row r="1076" customFormat="false" ht="91" hidden="false" customHeight="false" outlineLevel="0" collapsed="false">
      <c r="A1076" s="2" t="s">
        <v>6206</v>
      </c>
      <c r="B1076" s="2" t="s">
        <v>1185</v>
      </c>
      <c r="C1076" s="2" t="s">
        <v>5023</v>
      </c>
      <c r="D1076" s="2" t="s">
        <v>6207</v>
      </c>
      <c r="E1076" s="2" t="s">
        <v>6208</v>
      </c>
      <c r="F1076" s="2" t="s">
        <v>6209</v>
      </c>
      <c r="G1076" s="2" t="s">
        <v>6210</v>
      </c>
      <c r="H1076" s="2" t="s">
        <v>20</v>
      </c>
      <c r="I1076" s="2" t="s">
        <v>6211</v>
      </c>
      <c r="J1076" s="2" t="s">
        <v>5458</v>
      </c>
      <c r="K1076" s="2" t="s">
        <v>1193</v>
      </c>
      <c r="L1076" s="2" t="n">
        <v>2</v>
      </c>
      <c r="M1076" s="2" t="n">
        <v>65</v>
      </c>
    </row>
    <row r="1077" customFormat="false" ht="61.15" hidden="false" customHeight="false" outlineLevel="0" collapsed="false">
      <c r="A1077" s="2" t="s">
        <v>6212</v>
      </c>
      <c r="B1077" s="2" t="s">
        <v>1185</v>
      </c>
      <c r="C1077" s="2" t="s">
        <v>6213</v>
      </c>
      <c r="D1077" s="2" t="s">
        <v>6214</v>
      </c>
      <c r="E1077" s="2" t="s">
        <v>6215</v>
      </c>
      <c r="F1077" s="2" t="s">
        <v>6216</v>
      </c>
      <c r="G1077" s="2" t="s">
        <v>6217</v>
      </c>
      <c r="H1077" s="2" t="s">
        <v>28</v>
      </c>
      <c r="I1077" s="2" t="s">
        <v>6218</v>
      </c>
      <c r="J1077" s="2" t="s">
        <v>6213</v>
      </c>
      <c r="K1077" s="2" t="s">
        <v>1193</v>
      </c>
      <c r="L1077" s="2" t="n">
        <v>4</v>
      </c>
      <c r="M1077" s="2" t="n">
        <v>72</v>
      </c>
    </row>
    <row r="1078" customFormat="false" ht="61.15" hidden="false" customHeight="false" outlineLevel="0" collapsed="false">
      <c r="A1078" s="2" t="s">
        <v>6219</v>
      </c>
      <c r="B1078" s="2" t="s">
        <v>1185</v>
      </c>
      <c r="C1078" s="2" t="s">
        <v>6213</v>
      </c>
      <c r="D1078" s="2" t="s">
        <v>6220</v>
      </c>
      <c r="E1078" s="2" t="s">
        <v>6221</v>
      </c>
      <c r="F1078" s="2" t="s">
        <v>6222</v>
      </c>
      <c r="G1078" s="2" t="s">
        <v>4170</v>
      </c>
      <c r="H1078" s="2" t="s">
        <v>226</v>
      </c>
      <c r="I1078" s="2" t="s">
        <v>6223</v>
      </c>
      <c r="J1078" s="2" t="s">
        <v>6213</v>
      </c>
      <c r="K1078" s="2" t="s">
        <v>1193</v>
      </c>
      <c r="L1078" s="2" t="n">
        <v>2</v>
      </c>
      <c r="M1078" s="2" t="n">
        <v>72</v>
      </c>
    </row>
    <row r="1079" customFormat="false" ht="76.1" hidden="false" customHeight="false" outlineLevel="0" collapsed="false">
      <c r="A1079" s="2" t="s">
        <v>6224</v>
      </c>
      <c r="B1079" s="2" t="s">
        <v>1185</v>
      </c>
      <c r="C1079" s="2" t="s">
        <v>6213</v>
      </c>
      <c r="D1079" s="2" t="s">
        <v>6225</v>
      </c>
      <c r="E1079" s="2" t="s">
        <v>6226</v>
      </c>
      <c r="F1079" s="2" t="s">
        <v>6227</v>
      </c>
      <c r="G1079" s="2" t="s">
        <v>6228</v>
      </c>
      <c r="H1079" s="2" t="s">
        <v>226</v>
      </c>
      <c r="I1079" s="2" t="s">
        <v>6229</v>
      </c>
      <c r="J1079" s="2" t="s">
        <v>6213</v>
      </c>
      <c r="K1079" s="2" t="s">
        <v>1193</v>
      </c>
      <c r="L1079" s="2" t="n">
        <v>2</v>
      </c>
      <c r="M1079" s="2" t="n">
        <v>72</v>
      </c>
    </row>
    <row r="1080" customFormat="false" ht="76.1" hidden="false" customHeight="false" outlineLevel="0" collapsed="false">
      <c r="A1080" s="2" t="s">
        <v>6230</v>
      </c>
      <c r="B1080" s="2" t="s">
        <v>1185</v>
      </c>
      <c r="C1080" s="2" t="s">
        <v>6213</v>
      </c>
      <c r="D1080" s="2" t="s">
        <v>6231</v>
      </c>
      <c r="E1080" s="2" t="s">
        <v>6232</v>
      </c>
      <c r="F1080" s="2" t="s">
        <v>6233</v>
      </c>
      <c r="G1080" s="2" t="s">
        <v>6234</v>
      </c>
      <c r="H1080" s="2" t="s">
        <v>20</v>
      </c>
      <c r="I1080" s="2" t="s">
        <v>6235</v>
      </c>
      <c r="J1080" s="2" t="s">
        <v>6236</v>
      </c>
      <c r="K1080" s="2" t="s">
        <v>1193</v>
      </c>
      <c r="L1080" s="2" t="n">
        <v>2</v>
      </c>
      <c r="M1080" s="2" t="n">
        <v>71</v>
      </c>
    </row>
    <row r="1081" customFormat="false" ht="61.15" hidden="false" customHeight="false" outlineLevel="0" collapsed="false">
      <c r="A1081" s="2" t="s">
        <v>6237</v>
      </c>
      <c r="B1081" s="2" t="s">
        <v>1185</v>
      </c>
      <c r="C1081" s="2" t="s">
        <v>6213</v>
      </c>
      <c r="D1081" s="2" t="s">
        <v>6238</v>
      </c>
      <c r="E1081" s="2" t="s">
        <v>6239</v>
      </c>
      <c r="F1081" s="2" t="s">
        <v>6240</v>
      </c>
      <c r="G1081" s="2" t="s">
        <v>6241</v>
      </c>
      <c r="H1081" s="2" t="s">
        <v>20</v>
      </c>
      <c r="I1081" s="2" t="s">
        <v>6242</v>
      </c>
      <c r="J1081" s="2" t="s">
        <v>6236</v>
      </c>
      <c r="K1081" s="2" t="s">
        <v>1193</v>
      </c>
      <c r="L1081" s="2" t="n">
        <v>2</v>
      </c>
      <c r="M1081" s="2" t="n">
        <v>71</v>
      </c>
    </row>
    <row r="1082" customFormat="false" ht="91" hidden="false" customHeight="false" outlineLevel="0" collapsed="false">
      <c r="A1082" s="2" t="s">
        <v>6243</v>
      </c>
      <c r="B1082" s="2" t="s">
        <v>1185</v>
      </c>
      <c r="C1082" s="2" t="s">
        <v>6213</v>
      </c>
      <c r="D1082" s="2" t="s">
        <v>6244</v>
      </c>
      <c r="E1082" s="2" t="s">
        <v>4891</v>
      </c>
      <c r="F1082" s="2" t="s">
        <v>6245</v>
      </c>
      <c r="G1082" s="2" t="s">
        <v>6246</v>
      </c>
      <c r="H1082" s="2" t="s">
        <v>20</v>
      </c>
      <c r="I1082" s="2" t="s">
        <v>6247</v>
      </c>
      <c r="J1082" s="2" t="s">
        <v>6248</v>
      </c>
      <c r="K1082" s="2" t="s">
        <v>1193</v>
      </c>
      <c r="L1082" s="2" t="n">
        <v>3</v>
      </c>
      <c r="M1082" s="2" t="n">
        <v>71</v>
      </c>
    </row>
    <row r="1083" customFormat="false" ht="46.25" hidden="false" customHeight="false" outlineLevel="0" collapsed="false">
      <c r="A1083" s="2" t="s">
        <v>6249</v>
      </c>
      <c r="B1083" s="2" t="s">
        <v>1185</v>
      </c>
      <c r="C1083" s="2" t="s">
        <v>6213</v>
      </c>
      <c r="D1083" s="2" t="s">
        <v>6250</v>
      </c>
      <c r="E1083" s="2" t="s">
        <v>4889</v>
      </c>
      <c r="F1083" s="2" t="s">
        <v>4890</v>
      </c>
      <c r="G1083" s="2" t="s">
        <v>6251</v>
      </c>
      <c r="H1083" s="2" t="s">
        <v>20</v>
      </c>
      <c r="I1083" s="2" t="s">
        <v>6252</v>
      </c>
      <c r="J1083" s="2" t="s">
        <v>6248</v>
      </c>
      <c r="K1083" s="2" t="s">
        <v>1193</v>
      </c>
      <c r="L1083" s="2" t="n">
        <v>2</v>
      </c>
      <c r="M1083" s="2" t="n">
        <v>71</v>
      </c>
    </row>
    <row r="1084" customFormat="false" ht="61.15" hidden="false" customHeight="false" outlineLevel="0" collapsed="false">
      <c r="A1084" s="2" t="s">
        <v>6253</v>
      </c>
      <c r="B1084" s="2" t="s">
        <v>1185</v>
      </c>
      <c r="C1084" s="2" t="s">
        <v>6213</v>
      </c>
      <c r="D1084" s="2" t="s">
        <v>6254</v>
      </c>
      <c r="E1084" s="2" t="s">
        <v>6255</v>
      </c>
      <c r="F1084" s="2" t="s">
        <v>6256</v>
      </c>
      <c r="G1084" s="2" t="s">
        <v>6257</v>
      </c>
      <c r="H1084" s="2" t="s">
        <v>20</v>
      </c>
      <c r="I1084" s="2" t="s">
        <v>6258</v>
      </c>
      <c r="J1084" s="2" t="s">
        <v>6248</v>
      </c>
      <c r="K1084" s="2" t="s">
        <v>1193</v>
      </c>
      <c r="L1084" s="2" t="n">
        <v>2</v>
      </c>
      <c r="M1084" s="2" t="n">
        <v>72</v>
      </c>
    </row>
    <row r="1085" customFormat="false" ht="61.15" hidden="false" customHeight="false" outlineLevel="0" collapsed="false">
      <c r="A1085" s="2" t="s">
        <v>6259</v>
      </c>
      <c r="B1085" s="2" t="s">
        <v>1185</v>
      </c>
      <c r="C1085" s="2" t="s">
        <v>6213</v>
      </c>
      <c r="D1085" s="2" t="s">
        <v>6260</v>
      </c>
      <c r="E1085" s="2" t="s">
        <v>6261</v>
      </c>
      <c r="F1085" s="2" t="s">
        <v>6262</v>
      </c>
      <c r="G1085" s="2" t="s">
        <v>6263</v>
      </c>
      <c r="H1085" s="2" t="s">
        <v>226</v>
      </c>
      <c r="I1085" s="2" t="s">
        <v>6264</v>
      </c>
      <c r="J1085" s="2" t="s">
        <v>6248</v>
      </c>
      <c r="K1085" s="2" t="s">
        <v>1193</v>
      </c>
      <c r="L1085" s="2" t="n">
        <v>3</v>
      </c>
      <c r="M1085" s="2" t="n">
        <v>72</v>
      </c>
    </row>
    <row r="1086" customFormat="false" ht="46.25" hidden="false" customHeight="false" outlineLevel="0" collapsed="false">
      <c r="A1086" s="2" t="s">
        <v>6265</v>
      </c>
      <c r="B1086" s="2" t="s">
        <v>1185</v>
      </c>
      <c r="C1086" s="2" t="s">
        <v>6213</v>
      </c>
      <c r="D1086" s="2" t="s">
        <v>6266</v>
      </c>
      <c r="E1086" s="2" t="s">
        <v>6267</v>
      </c>
      <c r="F1086" s="2" t="s">
        <v>6268</v>
      </c>
      <c r="G1086" s="2" t="s">
        <v>6269</v>
      </c>
      <c r="H1086" s="2" t="s">
        <v>20</v>
      </c>
      <c r="I1086" s="2" t="s">
        <v>6270</v>
      </c>
      <c r="J1086" s="2" t="s">
        <v>6271</v>
      </c>
      <c r="K1086" s="2" t="s">
        <v>1193</v>
      </c>
      <c r="L1086" s="2" t="n">
        <v>2</v>
      </c>
      <c r="M1086" s="2" t="n">
        <v>72</v>
      </c>
    </row>
    <row r="1087" customFormat="false" ht="61.15" hidden="false" customHeight="false" outlineLevel="0" collapsed="false">
      <c r="A1087" s="2" t="s">
        <v>6272</v>
      </c>
      <c r="B1087" s="2" t="s">
        <v>1185</v>
      </c>
      <c r="C1087" s="2" t="s">
        <v>6213</v>
      </c>
      <c r="D1087" s="2" t="s">
        <v>6273</v>
      </c>
      <c r="E1087" s="2" t="s">
        <v>4170</v>
      </c>
      <c r="F1087" s="2" t="s">
        <v>4172</v>
      </c>
      <c r="G1087" s="2" t="s">
        <v>6221</v>
      </c>
      <c r="H1087" s="2" t="s">
        <v>20</v>
      </c>
      <c r="I1087" s="2" t="s">
        <v>6274</v>
      </c>
      <c r="J1087" s="2" t="s">
        <v>6271</v>
      </c>
      <c r="K1087" s="2" t="s">
        <v>1193</v>
      </c>
      <c r="L1087" s="2" t="n">
        <v>2</v>
      </c>
      <c r="M1087" s="2" t="n">
        <v>72</v>
      </c>
    </row>
    <row r="1088" customFormat="false" ht="61.15" hidden="false" customHeight="false" outlineLevel="0" collapsed="false">
      <c r="A1088" s="2" t="s">
        <v>6275</v>
      </c>
      <c r="B1088" s="2" t="s">
        <v>1185</v>
      </c>
      <c r="C1088" s="2" t="s">
        <v>6213</v>
      </c>
      <c r="D1088" s="2" t="s">
        <v>6276</v>
      </c>
      <c r="E1088" s="2" t="s">
        <v>6277</v>
      </c>
      <c r="F1088" s="2" t="s">
        <v>6278</v>
      </c>
      <c r="G1088" s="2" t="s">
        <v>6279</v>
      </c>
      <c r="H1088" s="2" t="s">
        <v>20</v>
      </c>
      <c r="I1088" s="2" t="s">
        <v>6280</v>
      </c>
      <c r="J1088" s="2" t="s">
        <v>6271</v>
      </c>
      <c r="K1088" s="2" t="s">
        <v>1193</v>
      </c>
      <c r="L1088" s="2" t="n">
        <v>2</v>
      </c>
      <c r="M1088" s="2" t="n">
        <v>72</v>
      </c>
    </row>
    <row r="1089" customFormat="false" ht="61.15" hidden="false" customHeight="false" outlineLevel="0" collapsed="false">
      <c r="A1089" s="2" t="s">
        <v>6281</v>
      </c>
      <c r="B1089" s="2" t="s">
        <v>1185</v>
      </c>
      <c r="C1089" s="2" t="s">
        <v>6213</v>
      </c>
      <c r="D1089" s="2" t="s">
        <v>6282</v>
      </c>
      <c r="E1089" s="2" t="s">
        <v>4156</v>
      </c>
      <c r="F1089" s="2" t="s">
        <v>6283</v>
      </c>
      <c r="G1089" s="2" t="s">
        <v>6222</v>
      </c>
      <c r="H1089" s="2" t="s">
        <v>20</v>
      </c>
      <c r="I1089" s="2" t="s">
        <v>6284</v>
      </c>
      <c r="J1089" s="2" t="s">
        <v>6271</v>
      </c>
      <c r="K1089" s="2" t="s">
        <v>1193</v>
      </c>
      <c r="L1089" s="2" t="n">
        <v>2</v>
      </c>
      <c r="M1089" s="2" t="n">
        <v>72</v>
      </c>
    </row>
    <row r="1090" customFormat="false" ht="61.15" hidden="false" customHeight="false" outlineLevel="0" collapsed="false">
      <c r="A1090" s="2" t="s">
        <v>6285</v>
      </c>
      <c r="B1090" s="2" t="s">
        <v>1185</v>
      </c>
      <c r="C1090" s="2" t="s">
        <v>6213</v>
      </c>
      <c r="D1090" s="2" t="s">
        <v>6286</v>
      </c>
      <c r="E1090" s="2" t="s">
        <v>6287</v>
      </c>
      <c r="F1090" s="2" t="s">
        <v>6288</v>
      </c>
      <c r="G1090" s="2" t="s">
        <v>6222</v>
      </c>
      <c r="H1090" s="2" t="s">
        <v>226</v>
      </c>
      <c r="I1090" s="2" t="s">
        <v>6289</v>
      </c>
      <c r="J1090" s="2" t="s">
        <v>6271</v>
      </c>
      <c r="K1090" s="2" t="s">
        <v>1193</v>
      </c>
      <c r="L1090" s="2" t="n">
        <v>2</v>
      </c>
      <c r="M1090" s="2" t="n">
        <v>72</v>
      </c>
    </row>
    <row r="1091" customFormat="false" ht="46.25" hidden="false" customHeight="false" outlineLevel="0" collapsed="false">
      <c r="A1091" s="2" t="s">
        <v>6290</v>
      </c>
      <c r="B1091" s="2" t="s">
        <v>1185</v>
      </c>
      <c r="C1091" s="2" t="s">
        <v>6213</v>
      </c>
      <c r="D1091" s="2" t="s">
        <v>6291</v>
      </c>
      <c r="E1091" s="2" t="s">
        <v>6292</v>
      </c>
      <c r="F1091" s="2" t="s">
        <v>6293</v>
      </c>
      <c r="G1091" s="2" t="s">
        <v>6294</v>
      </c>
      <c r="H1091" s="2" t="s">
        <v>20</v>
      </c>
      <c r="I1091" s="2" t="s">
        <v>6295</v>
      </c>
      <c r="J1091" s="2" t="s">
        <v>6271</v>
      </c>
      <c r="K1091" s="2" t="s">
        <v>1193</v>
      </c>
      <c r="L1091" s="2" t="n">
        <v>2</v>
      </c>
      <c r="M1091" s="2" t="n">
        <v>72</v>
      </c>
    </row>
    <row r="1092" customFormat="false" ht="61.15" hidden="false" customHeight="false" outlineLevel="0" collapsed="false">
      <c r="A1092" s="2" t="s">
        <v>6296</v>
      </c>
      <c r="B1092" s="2" t="s">
        <v>1185</v>
      </c>
      <c r="C1092" s="2" t="s">
        <v>6213</v>
      </c>
      <c r="D1092" s="2" t="s">
        <v>6297</v>
      </c>
      <c r="E1092" s="2" t="s">
        <v>6298</v>
      </c>
      <c r="F1092" s="2" t="s">
        <v>6299</v>
      </c>
      <c r="G1092" s="2" t="s">
        <v>6300</v>
      </c>
      <c r="H1092" s="2" t="s">
        <v>20</v>
      </c>
      <c r="I1092" s="2" t="s">
        <v>6301</v>
      </c>
      <c r="J1092" s="2" t="s">
        <v>6271</v>
      </c>
      <c r="K1092" s="2" t="s">
        <v>1193</v>
      </c>
      <c r="L1092" s="2" t="n">
        <v>3</v>
      </c>
      <c r="M1092" s="2" t="n">
        <v>72</v>
      </c>
    </row>
    <row r="1093" customFormat="false" ht="46.25" hidden="false" customHeight="false" outlineLevel="0" collapsed="false">
      <c r="A1093" s="2" t="s">
        <v>6302</v>
      </c>
      <c r="B1093" s="2" t="s">
        <v>1185</v>
      </c>
      <c r="C1093" s="2" t="s">
        <v>6213</v>
      </c>
      <c r="D1093" s="2" t="s">
        <v>6303</v>
      </c>
      <c r="E1093" s="2" t="s">
        <v>6304</v>
      </c>
      <c r="F1093" s="2" t="s">
        <v>6283</v>
      </c>
      <c r="G1093" s="2" t="s">
        <v>6305</v>
      </c>
      <c r="H1093" s="2" t="s">
        <v>28</v>
      </c>
      <c r="I1093" s="2" t="s">
        <v>6306</v>
      </c>
      <c r="J1093" s="2" t="s">
        <v>6271</v>
      </c>
      <c r="K1093" s="2" t="s">
        <v>1193</v>
      </c>
      <c r="L1093" s="2" t="n">
        <v>2</v>
      </c>
      <c r="M1093" s="2" t="n">
        <v>72</v>
      </c>
    </row>
    <row r="1094" customFormat="false" ht="46.25" hidden="false" customHeight="false" outlineLevel="0" collapsed="false">
      <c r="A1094" s="2" t="s">
        <v>6307</v>
      </c>
      <c r="B1094" s="2" t="s">
        <v>1185</v>
      </c>
      <c r="C1094" s="2" t="s">
        <v>6213</v>
      </c>
      <c r="D1094" s="2" t="s">
        <v>6308</v>
      </c>
      <c r="E1094" s="2" t="s">
        <v>6309</v>
      </c>
      <c r="F1094" s="2" t="s">
        <v>6310</v>
      </c>
      <c r="G1094" s="2" t="s">
        <v>4170</v>
      </c>
      <c r="H1094" s="2" t="s">
        <v>226</v>
      </c>
      <c r="I1094" s="2" t="s">
        <v>6311</v>
      </c>
      <c r="J1094" s="2" t="s">
        <v>6271</v>
      </c>
      <c r="K1094" s="2" t="s">
        <v>1193</v>
      </c>
      <c r="L1094" s="2" t="n">
        <v>3</v>
      </c>
      <c r="M1094" s="2" t="n">
        <v>72</v>
      </c>
    </row>
    <row r="1095" customFormat="false" ht="46.25" hidden="false" customHeight="false" outlineLevel="0" collapsed="false">
      <c r="A1095" s="2" t="s">
        <v>6312</v>
      </c>
      <c r="B1095" s="2" t="s">
        <v>1185</v>
      </c>
      <c r="C1095" s="2" t="s">
        <v>6213</v>
      </c>
      <c r="D1095" s="2" t="s">
        <v>6313</v>
      </c>
      <c r="E1095" s="2" t="s">
        <v>6314</v>
      </c>
      <c r="F1095" s="2" t="s">
        <v>6315</v>
      </c>
      <c r="G1095" s="2" t="s">
        <v>6316</v>
      </c>
      <c r="H1095" s="2" t="s">
        <v>226</v>
      </c>
      <c r="I1095" s="2" t="s">
        <v>6317</v>
      </c>
      <c r="J1095" s="2" t="s">
        <v>6271</v>
      </c>
      <c r="K1095" s="2" t="s">
        <v>1193</v>
      </c>
      <c r="L1095" s="2" t="n">
        <v>2</v>
      </c>
      <c r="M1095" s="2" t="n">
        <v>72</v>
      </c>
    </row>
    <row r="1096" customFormat="false" ht="46.25" hidden="false" customHeight="false" outlineLevel="0" collapsed="false">
      <c r="A1096" s="2" t="s">
        <v>6318</v>
      </c>
      <c r="B1096" s="2" t="s">
        <v>1185</v>
      </c>
      <c r="C1096" s="2" t="s">
        <v>6213</v>
      </c>
      <c r="D1096" s="2" t="s">
        <v>6319</v>
      </c>
      <c r="E1096" s="2" t="s">
        <v>6320</v>
      </c>
      <c r="F1096" s="2" t="s">
        <v>4170</v>
      </c>
      <c r="G1096" s="2" t="s">
        <v>6321</v>
      </c>
      <c r="H1096" s="2" t="s">
        <v>28</v>
      </c>
      <c r="I1096" s="2" t="s">
        <v>6322</v>
      </c>
      <c r="J1096" s="2" t="s">
        <v>6271</v>
      </c>
      <c r="K1096" s="2" t="s">
        <v>1193</v>
      </c>
      <c r="L1096" s="2" t="n">
        <v>2</v>
      </c>
      <c r="M1096" s="2" t="n">
        <v>72</v>
      </c>
    </row>
    <row r="1097" customFormat="false" ht="46.25" hidden="false" customHeight="false" outlineLevel="0" collapsed="false">
      <c r="A1097" s="2" t="s">
        <v>6323</v>
      </c>
      <c r="B1097" s="2" t="s">
        <v>1185</v>
      </c>
      <c r="C1097" s="2" t="s">
        <v>6213</v>
      </c>
      <c r="D1097" s="2" t="s">
        <v>6324</v>
      </c>
      <c r="E1097" s="2" t="s">
        <v>4170</v>
      </c>
      <c r="F1097" s="2" t="s">
        <v>6222</v>
      </c>
      <c r="G1097" s="2" t="s">
        <v>6325</v>
      </c>
      <c r="H1097" s="2" t="s">
        <v>20</v>
      </c>
      <c r="I1097" s="2" t="s">
        <v>6326</v>
      </c>
      <c r="J1097" s="2" t="s">
        <v>6271</v>
      </c>
      <c r="K1097" s="2" t="s">
        <v>1193</v>
      </c>
      <c r="L1097" s="2" t="n">
        <v>2</v>
      </c>
      <c r="M1097" s="2" t="n">
        <v>72</v>
      </c>
    </row>
    <row r="1098" customFormat="false" ht="76.1" hidden="false" customHeight="false" outlineLevel="0" collapsed="false">
      <c r="A1098" s="2" t="s">
        <v>6327</v>
      </c>
      <c r="B1098" s="2" t="s">
        <v>1185</v>
      </c>
      <c r="C1098" s="2" t="s">
        <v>6213</v>
      </c>
      <c r="D1098" s="2" t="s">
        <v>6328</v>
      </c>
      <c r="E1098" s="2" t="s">
        <v>6329</v>
      </c>
      <c r="F1098" s="2" t="s">
        <v>6330</v>
      </c>
      <c r="G1098" s="2" t="s">
        <v>6331</v>
      </c>
      <c r="H1098" s="2" t="s">
        <v>20</v>
      </c>
      <c r="I1098" s="2" t="s">
        <v>6332</v>
      </c>
      <c r="J1098" s="2" t="s">
        <v>6271</v>
      </c>
      <c r="K1098" s="2" t="s">
        <v>1193</v>
      </c>
      <c r="L1098" s="2" t="n">
        <v>3</v>
      </c>
      <c r="M1098" s="2" t="n">
        <v>72</v>
      </c>
    </row>
    <row r="1099" customFormat="false" ht="61.15" hidden="false" customHeight="false" outlineLevel="0" collapsed="false">
      <c r="A1099" s="2" t="s">
        <v>6333</v>
      </c>
      <c r="B1099" s="2" t="s">
        <v>1185</v>
      </c>
      <c r="C1099" s="2" t="s">
        <v>6213</v>
      </c>
      <c r="D1099" s="2" t="s">
        <v>6334</v>
      </c>
      <c r="E1099" s="2" t="s">
        <v>4170</v>
      </c>
      <c r="F1099" s="2" t="s">
        <v>6320</v>
      </c>
      <c r="G1099" s="2" t="s">
        <v>3993</v>
      </c>
      <c r="H1099" s="2" t="s">
        <v>20</v>
      </c>
      <c r="I1099" s="2" t="s">
        <v>6335</v>
      </c>
      <c r="J1099" s="2" t="s">
        <v>6271</v>
      </c>
      <c r="K1099" s="2" t="s">
        <v>1193</v>
      </c>
      <c r="L1099" s="2" t="n">
        <v>3</v>
      </c>
      <c r="M1099" s="2" t="n">
        <v>72</v>
      </c>
    </row>
    <row r="1100" customFormat="false" ht="61.15" hidden="false" customHeight="false" outlineLevel="0" collapsed="false">
      <c r="A1100" s="2" t="s">
        <v>6336</v>
      </c>
      <c r="B1100" s="2" t="s">
        <v>1185</v>
      </c>
      <c r="C1100" s="2" t="s">
        <v>6213</v>
      </c>
      <c r="D1100" s="2" t="s">
        <v>6337</v>
      </c>
      <c r="E1100" s="2" t="s">
        <v>6338</v>
      </c>
      <c r="F1100" s="2" t="s">
        <v>6339</v>
      </c>
      <c r="G1100" s="2" t="s">
        <v>6340</v>
      </c>
      <c r="H1100" s="2" t="s">
        <v>20</v>
      </c>
      <c r="I1100" s="2" t="s">
        <v>6341</v>
      </c>
      <c r="J1100" s="2" t="s">
        <v>6342</v>
      </c>
      <c r="K1100" s="2" t="s">
        <v>1193</v>
      </c>
      <c r="L1100" s="2" t="n">
        <v>1</v>
      </c>
      <c r="M1100" s="2" t="n">
        <v>71</v>
      </c>
    </row>
    <row r="1101" customFormat="false" ht="46.25" hidden="false" customHeight="false" outlineLevel="0" collapsed="false">
      <c r="A1101" s="2" t="s">
        <v>6343</v>
      </c>
      <c r="B1101" s="2" t="s">
        <v>1185</v>
      </c>
      <c r="C1101" s="2" t="s">
        <v>6213</v>
      </c>
      <c r="D1101" s="2" t="s">
        <v>6344</v>
      </c>
      <c r="E1101" s="2" t="s">
        <v>2356</v>
      </c>
      <c r="F1101" s="2" t="s">
        <v>6222</v>
      </c>
      <c r="G1101" s="2" t="s">
        <v>1833</v>
      </c>
      <c r="H1101" s="2" t="s">
        <v>20</v>
      </c>
      <c r="I1101" s="2" t="s">
        <v>6345</v>
      </c>
      <c r="J1101" s="2" t="s">
        <v>6346</v>
      </c>
      <c r="K1101" s="2" t="s">
        <v>1193</v>
      </c>
      <c r="L1101" s="2" t="n">
        <v>2</v>
      </c>
      <c r="M1101" s="2" t="n">
        <v>72</v>
      </c>
    </row>
    <row r="1102" customFormat="false" ht="76.1" hidden="false" customHeight="false" outlineLevel="0" collapsed="false">
      <c r="A1102" s="2" t="s">
        <v>6347</v>
      </c>
      <c r="B1102" s="2" t="s">
        <v>1185</v>
      </c>
      <c r="C1102" s="2" t="s">
        <v>6213</v>
      </c>
      <c r="D1102" s="2" t="s">
        <v>6348</v>
      </c>
      <c r="E1102" s="2" t="s">
        <v>6349</v>
      </c>
      <c r="F1102" s="2" t="s">
        <v>6350</v>
      </c>
      <c r="G1102" s="2" t="s">
        <v>6351</v>
      </c>
      <c r="H1102" s="2" t="s">
        <v>20</v>
      </c>
      <c r="I1102" s="2" t="s">
        <v>6352</v>
      </c>
      <c r="J1102" s="2" t="s">
        <v>6248</v>
      </c>
      <c r="K1102" s="2" t="s">
        <v>1193</v>
      </c>
      <c r="L1102" s="2" t="n">
        <v>4</v>
      </c>
      <c r="M1102" s="2" t="n">
        <v>72</v>
      </c>
    </row>
    <row r="1103" customFormat="false" ht="76.1" hidden="false" customHeight="false" outlineLevel="0" collapsed="false">
      <c r="A1103" s="2" t="s">
        <v>6353</v>
      </c>
      <c r="B1103" s="2" t="s">
        <v>1185</v>
      </c>
      <c r="C1103" s="2" t="s">
        <v>6213</v>
      </c>
      <c r="D1103" s="2" t="s">
        <v>6354</v>
      </c>
      <c r="E1103" s="2" t="s">
        <v>4170</v>
      </c>
      <c r="F1103" s="2" t="s">
        <v>6222</v>
      </c>
      <c r="G1103" s="2" t="s">
        <v>6221</v>
      </c>
      <c r="H1103" s="2" t="s">
        <v>20</v>
      </c>
      <c r="I1103" s="2" t="s">
        <v>6355</v>
      </c>
      <c r="J1103" s="2" t="s">
        <v>6213</v>
      </c>
      <c r="K1103" s="2" t="s">
        <v>1193</v>
      </c>
      <c r="L1103" s="2" t="n">
        <v>3</v>
      </c>
      <c r="M1103" s="2" t="n">
        <v>72</v>
      </c>
    </row>
    <row r="1104" customFormat="false" ht="61.15" hidden="false" customHeight="false" outlineLevel="0" collapsed="false">
      <c r="A1104" s="2" t="s">
        <v>6356</v>
      </c>
      <c r="B1104" s="2" t="s">
        <v>1185</v>
      </c>
      <c r="C1104" s="2" t="s">
        <v>6213</v>
      </c>
      <c r="D1104" s="2" t="s">
        <v>6357</v>
      </c>
      <c r="E1104" s="2" t="s">
        <v>6358</v>
      </c>
      <c r="F1104" s="2" t="s">
        <v>6359</v>
      </c>
      <c r="G1104" s="2" t="s">
        <v>6360</v>
      </c>
      <c r="H1104" s="2" t="s">
        <v>20</v>
      </c>
      <c r="I1104" s="2" t="s">
        <v>6361</v>
      </c>
      <c r="J1104" s="2" t="s">
        <v>6213</v>
      </c>
      <c r="K1104" s="2" t="s">
        <v>1193</v>
      </c>
      <c r="L1104" s="2" t="n">
        <v>2</v>
      </c>
      <c r="M1104" s="2" t="n">
        <v>72</v>
      </c>
    </row>
    <row r="1105" customFormat="false" ht="61.15" hidden="false" customHeight="false" outlineLevel="0" collapsed="false">
      <c r="A1105" s="2" t="s">
        <v>6362</v>
      </c>
      <c r="B1105" s="2" t="s">
        <v>1185</v>
      </c>
      <c r="C1105" s="2" t="s">
        <v>6213</v>
      </c>
      <c r="D1105" s="2" t="s">
        <v>6363</v>
      </c>
      <c r="E1105" s="2" t="s">
        <v>6364</v>
      </c>
      <c r="F1105" s="2" t="s">
        <v>6365</v>
      </c>
      <c r="G1105" s="2" t="s">
        <v>6366</v>
      </c>
      <c r="H1105" s="2" t="s">
        <v>20</v>
      </c>
      <c r="I1105" s="2" t="s">
        <v>6367</v>
      </c>
      <c r="J1105" s="2" t="s">
        <v>6213</v>
      </c>
      <c r="K1105" s="2" t="s">
        <v>1193</v>
      </c>
      <c r="L1105" s="2" t="n">
        <v>2</v>
      </c>
      <c r="M1105" s="2" t="n">
        <v>72</v>
      </c>
    </row>
    <row r="1106" customFormat="false" ht="76.1" hidden="false" customHeight="false" outlineLevel="0" collapsed="false">
      <c r="A1106" s="2" t="s">
        <v>6368</v>
      </c>
      <c r="B1106" s="2" t="s">
        <v>1185</v>
      </c>
      <c r="C1106" s="2" t="s">
        <v>6213</v>
      </c>
      <c r="D1106" s="2" t="s">
        <v>6369</v>
      </c>
      <c r="E1106" s="2" t="s">
        <v>6370</v>
      </c>
      <c r="F1106" s="2" t="s">
        <v>6371</v>
      </c>
      <c r="G1106" s="2" t="s">
        <v>6372</v>
      </c>
      <c r="H1106" s="2" t="s">
        <v>20</v>
      </c>
      <c r="I1106" s="2" t="s">
        <v>6373</v>
      </c>
      <c r="J1106" s="2" t="s">
        <v>6213</v>
      </c>
      <c r="K1106" s="2" t="s">
        <v>1193</v>
      </c>
      <c r="L1106" s="2" t="n">
        <v>3</v>
      </c>
      <c r="M1106" s="2" t="n">
        <v>72</v>
      </c>
    </row>
    <row r="1107" customFormat="false" ht="61.15" hidden="false" customHeight="false" outlineLevel="0" collapsed="false">
      <c r="A1107" s="2" t="s">
        <v>6374</v>
      </c>
      <c r="B1107" s="2" t="s">
        <v>1185</v>
      </c>
      <c r="C1107" s="2" t="s">
        <v>6213</v>
      </c>
      <c r="D1107" s="2" t="s">
        <v>6375</v>
      </c>
      <c r="E1107" s="2" t="s">
        <v>6376</v>
      </c>
      <c r="F1107" s="2" t="s">
        <v>6377</v>
      </c>
      <c r="G1107" s="2" t="s">
        <v>6378</v>
      </c>
      <c r="H1107" s="2" t="s">
        <v>20</v>
      </c>
      <c r="I1107" s="2" t="s">
        <v>6379</v>
      </c>
      <c r="J1107" s="2" t="s">
        <v>6213</v>
      </c>
      <c r="K1107" s="2" t="s">
        <v>1193</v>
      </c>
      <c r="L1107" s="2" t="n">
        <v>2</v>
      </c>
      <c r="M1107" s="2" t="n">
        <v>72</v>
      </c>
    </row>
    <row r="1108" customFormat="false" ht="61.15" hidden="false" customHeight="false" outlineLevel="0" collapsed="false">
      <c r="A1108" s="2" t="s">
        <v>6380</v>
      </c>
      <c r="B1108" s="2" t="s">
        <v>1185</v>
      </c>
      <c r="C1108" s="2" t="s">
        <v>6213</v>
      </c>
      <c r="D1108" s="2" t="s">
        <v>6381</v>
      </c>
      <c r="E1108" s="2" t="s">
        <v>6382</v>
      </c>
      <c r="F1108" s="2" t="s">
        <v>6383</v>
      </c>
      <c r="G1108" s="2" t="s">
        <v>6384</v>
      </c>
      <c r="H1108" s="2" t="s">
        <v>20</v>
      </c>
      <c r="I1108" s="2" t="s">
        <v>6385</v>
      </c>
      <c r="J1108" s="2" t="s">
        <v>6213</v>
      </c>
      <c r="K1108" s="2" t="s">
        <v>1193</v>
      </c>
      <c r="L1108" s="2" t="n">
        <v>3</v>
      </c>
      <c r="M1108" s="2" t="n">
        <v>72</v>
      </c>
    </row>
    <row r="1109" customFormat="false" ht="76.1" hidden="false" customHeight="false" outlineLevel="0" collapsed="false">
      <c r="A1109" s="2" t="s">
        <v>6386</v>
      </c>
      <c r="B1109" s="2" t="s">
        <v>1185</v>
      </c>
      <c r="C1109" s="2" t="s">
        <v>6213</v>
      </c>
      <c r="D1109" s="2" t="s">
        <v>6387</v>
      </c>
      <c r="E1109" s="2" t="s">
        <v>1392</v>
      </c>
      <c r="F1109" s="2" t="s">
        <v>1366</v>
      </c>
      <c r="G1109" s="2" t="s">
        <v>1338</v>
      </c>
      <c r="H1109" s="2" t="s">
        <v>20</v>
      </c>
      <c r="I1109" s="2" t="s">
        <v>6388</v>
      </c>
      <c r="J1109" s="2" t="s">
        <v>6213</v>
      </c>
      <c r="K1109" s="2" t="s">
        <v>1193</v>
      </c>
      <c r="L1109" s="2" t="n">
        <v>2</v>
      </c>
      <c r="M1109" s="2" t="n">
        <v>72</v>
      </c>
    </row>
    <row r="1110" customFormat="false" ht="46.25" hidden="false" customHeight="false" outlineLevel="0" collapsed="false">
      <c r="A1110" s="2" t="s">
        <v>6389</v>
      </c>
      <c r="B1110" s="2" t="s">
        <v>1185</v>
      </c>
      <c r="C1110" s="2" t="s">
        <v>6213</v>
      </c>
      <c r="D1110" s="2" t="s">
        <v>6390</v>
      </c>
      <c r="E1110" s="2" t="s">
        <v>2356</v>
      </c>
      <c r="F1110" s="2" t="s">
        <v>6222</v>
      </c>
      <c r="G1110" s="2" t="s">
        <v>1833</v>
      </c>
      <c r="H1110" s="2" t="s">
        <v>20</v>
      </c>
      <c r="I1110" s="2" t="s">
        <v>6391</v>
      </c>
      <c r="J1110" s="2" t="s">
        <v>6213</v>
      </c>
      <c r="K1110" s="2" t="s">
        <v>1193</v>
      </c>
      <c r="L1110" s="2" t="n">
        <v>2</v>
      </c>
      <c r="M1110" s="2" t="n">
        <v>72</v>
      </c>
    </row>
    <row r="1111" customFormat="false" ht="46.25" hidden="false" customHeight="false" outlineLevel="0" collapsed="false">
      <c r="A1111" s="2" t="s">
        <v>6392</v>
      </c>
      <c r="B1111" s="2" t="s">
        <v>1185</v>
      </c>
      <c r="C1111" s="2" t="s">
        <v>6213</v>
      </c>
      <c r="D1111" s="2" t="s">
        <v>6393</v>
      </c>
      <c r="E1111" s="2" t="s">
        <v>6394</v>
      </c>
      <c r="F1111" s="2" t="s">
        <v>6395</v>
      </c>
      <c r="G1111" s="2" t="s">
        <v>4144</v>
      </c>
      <c r="H1111" s="2" t="s">
        <v>20</v>
      </c>
      <c r="I1111" s="2" t="s">
        <v>6396</v>
      </c>
      <c r="J1111" s="2" t="s">
        <v>6213</v>
      </c>
      <c r="K1111" s="2" t="s">
        <v>1193</v>
      </c>
      <c r="L1111" s="2" t="n">
        <v>1</v>
      </c>
      <c r="M1111" s="2" t="n">
        <v>72</v>
      </c>
    </row>
    <row r="1112" customFormat="false" ht="61.15" hidden="false" customHeight="false" outlineLevel="0" collapsed="false">
      <c r="A1112" s="2" t="s">
        <v>6397</v>
      </c>
      <c r="B1112" s="2" t="s">
        <v>1185</v>
      </c>
      <c r="C1112" s="2" t="s">
        <v>6213</v>
      </c>
      <c r="D1112" s="2" t="s">
        <v>6398</v>
      </c>
      <c r="E1112" s="2" t="s">
        <v>6399</v>
      </c>
      <c r="F1112" s="2" t="s">
        <v>6400</v>
      </c>
      <c r="G1112" s="2" t="s">
        <v>6401</v>
      </c>
      <c r="H1112" s="2" t="s">
        <v>20</v>
      </c>
      <c r="I1112" s="2" t="s">
        <v>6402</v>
      </c>
      <c r="J1112" s="2" t="s">
        <v>6213</v>
      </c>
      <c r="K1112" s="2" t="s">
        <v>1193</v>
      </c>
      <c r="L1112" s="2" t="n">
        <v>2</v>
      </c>
      <c r="M1112" s="2" t="n">
        <v>72</v>
      </c>
    </row>
    <row r="1113" customFormat="false" ht="61.15" hidden="false" customHeight="false" outlineLevel="0" collapsed="false">
      <c r="A1113" s="2" t="s">
        <v>6403</v>
      </c>
      <c r="B1113" s="2" t="s">
        <v>1185</v>
      </c>
      <c r="C1113" s="2" t="s">
        <v>6213</v>
      </c>
      <c r="D1113" s="2" t="s">
        <v>6404</v>
      </c>
      <c r="E1113" s="2" t="s">
        <v>6405</v>
      </c>
      <c r="F1113" s="2" t="s">
        <v>6406</v>
      </c>
      <c r="G1113" s="2" t="s">
        <v>6407</v>
      </c>
      <c r="H1113" s="2" t="s">
        <v>20</v>
      </c>
      <c r="I1113" s="2" t="s">
        <v>6408</v>
      </c>
      <c r="J1113" s="2" t="s">
        <v>6213</v>
      </c>
      <c r="K1113" s="2" t="s">
        <v>1193</v>
      </c>
      <c r="L1113" s="2" t="n">
        <v>2</v>
      </c>
      <c r="M1113" s="2" t="n">
        <v>72</v>
      </c>
    </row>
    <row r="1114" customFormat="false" ht="46.25" hidden="false" customHeight="false" outlineLevel="0" collapsed="false">
      <c r="A1114" s="2" t="s">
        <v>6409</v>
      </c>
      <c r="B1114" s="2" t="s">
        <v>1185</v>
      </c>
      <c r="C1114" s="2" t="s">
        <v>6213</v>
      </c>
      <c r="D1114" s="2" t="s">
        <v>6410</v>
      </c>
      <c r="E1114" s="2" t="s">
        <v>6411</v>
      </c>
      <c r="F1114" s="2" t="s">
        <v>6412</v>
      </c>
      <c r="G1114" s="2" t="s">
        <v>6413</v>
      </c>
      <c r="H1114" s="2" t="s">
        <v>20</v>
      </c>
      <c r="I1114" s="2" t="s">
        <v>6414</v>
      </c>
      <c r="J1114" s="2" t="s">
        <v>6213</v>
      </c>
      <c r="K1114" s="2" t="s">
        <v>1193</v>
      </c>
      <c r="L1114" s="2" t="n">
        <v>2</v>
      </c>
      <c r="M1114" s="2" t="n">
        <v>72</v>
      </c>
    </row>
    <row r="1115" customFormat="false" ht="61.15" hidden="false" customHeight="false" outlineLevel="0" collapsed="false">
      <c r="A1115" s="2" t="s">
        <v>6415</v>
      </c>
      <c r="B1115" s="2" t="s">
        <v>1185</v>
      </c>
      <c r="C1115" s="2" t="s">
        <v>6213</v>
      </c>
      <c r="D1115" s="2" t="s">
        <v>6416</v>
      </c>
      <c r="E1115" s="2" t="s">
        <v>6417</v>
      </c>
      <c r="F1115" s="2" t="s">
        <v>4596</v>
      </c>
      <c r="G1115" s="2" t="s">
        <v>6418</v>
      </c>
      <c r="H1115" s="2" t="s">
        <v>20</v>
      </c>
      <c r="I1115" s="2" t="s">
        <v>6419</v>
      </c>
      <c r="J1115" s="2" t="s">
        <v>6213</v>
      </c>
      <c r="K1115" s="2" t="s">
        <v>1193</v>
      </c>
      <c r="L1115" s="2" t="n">
        <v>2</v>
      </c>
      <c r="M1115" s="2" t="n">
        <v>72</v>
      </c>
    </row>
    <row r="1116" customFormat="false" ht="46.25" hidden="false" customHeight="false" outlineLevel="0" collapsed="false">
      <c r="A1116" s="2" t="s">
        <v>6420</v>
      </c>
      <c r="B1116" s="2" t="s">
        <v>1185</v>
      </c>
      <c r="C1116" s="2" t="s">
        <v>6213</v>
      </c>
      <c r="D1116" s="2" t="s">
        <v>6421</v>
      </c>
      <c r="E1116" s="2" t="s">
        <v>6422</v>
      </c>
      <c r="F1116" s="2" t="s">
        <v>4170</v>
      </c>
      <c r="G1116" s="2" t="s">
        <v>6423</v>
      </c>
      <c r="H1116" s="2" t="s">
        <v>20</v>
      </c>
      <c r="I1116" s="2" t="s">
        <v>6424</v>
      </c>
      <c r="J1116" s="2" t="s">
        <v>6213</v>
      </c>
      <c r="K1116" s="2" t="s">
        <v>1193</v>
      </c>
      <c r="L1116" s="2" t="n">
        <v>2</v>
      </c>
      <c r="M1116" s="2" t="n">
        <v>72</v>
      </c>
    </row>
    <row r="1117" customFormat="false" ht="76.1" hidden="false" customHeight="false" outlineLevel="0" collapsed="false">
      <c r="A1117" s="2" t="s">
        <v>6425</v>
      </c>
      <c r="B1117" s="2" t="s">
        <v>1185</v>
      </c>
      <c r="C1117" s="2" t="s">
        <v>6213</v>
      </c>
      <c r="D1117" s="2" t="s">
        <v>6426</v>
      </c>
      <c r="E1117" s="2" t="s">
        <v>6427</v>
      </c>
      <c r="F1117" s="2" t="s">
        <v>6428</v>
      </c>
      <c r="G1117" s="2" t="s">
        <v>6429</v>
      </c>
      <c r="H1117" s="2" t="s">
        <v>20</v>
      </c>
      <c r="I1117" s="2" t="s">
        <v>6430</v>
      </c>
      <c r="J1117" s="2" t="s">
        <v>6213</v>
      </c>
      <c r="K1117" s="2" t="s">
        <v>1193</v>
      </c>
      <c r="L1117" s="2" t="n">
        <v>3</v>
      </c>
      <c r="M1117" s="2" t="n">
        <v>72</v>
      </c>
    </row>
    <row r="1118" customFormat="false" ht="76.1" hidden="false" customHeight="false" outlineLevel="0" collapsed="false">
      <c r="A1118" s="2" t="s">
        <v>6431</v>
      </c>
      <c r="B1118" s="2" t="s">
        <v>1185</v>
      </c>
      <c r="C1118" s="2" t="s">
        <v>6213</v>
      </c>
      <c r="D1118" s="2" t="s">
        <v>6432</v>
      </c>
      <c r="E1118" s="2" t="s">
        <v>6433</v>
      </c>
      <c r="F1118" s="2" t="s">
        <v>6434</v>
      </c>
      <c r="G1118" s="2" t="s">
        <v>6435</v>
      </c>
      <c r="H1118" s="2" t="s">
        <v>20</v>
      </c>
      <c r="I1118" s="2" t="s">
        <v>6436</v>
      </c>
      <c r="J1118" s="2" t="s">
        <v>6213</v>
      </c>
      <c r="K1118" s="2" t="s">
        <v>1193</v>
      </c>
      <c r="L1118" s="2" t="n">
        <v>4</v>
      </c>
      <c r="M1118" s="2" t="n">
        <v>72</v>
      </c>
    </row>
    <row r="1119" customFormat="false" ht="76.1" hidden="false" customHeight="false" outlineLevel="0" collapsed="false">
      <c r="A1119" s="2" t="s">
        <v>6437</v>
      </c>
      <c r="B1119" s="2" t="s">
        <v>1185</v>
      </c>
      <c r="C1119" s="2" t="s">
        <v>6213</v>
      </c>
      <c r="D1119" s="2" t="s">
        <v>6438</v>
      </c>
      <c r="E1119" s="2" t="s">
        <v>6439</v>
      </c>
      <c r="F1119" s="2" t="s">
        <v>6440</v>
      </c>
      <c r="G1119" s="2" t="s">
        <v>6441</v>
      </c>
      <c r="H1119" s="2" t="s">
        <v>20</v>
      </c>
      <c r="I1119" s="2" t="s">
        <v>6442</v>
      </c>
      <c r="J1119" s="2" t="s">
        <v>6213</v>
      </c>
      <c r="K1119" s="2" t="s">
        <v>1193</v>
      </c>
      <c r="L1119" s="2" t="n">
        <v>4</v>
      </c>
      <c r="M1119" s="2" t="n">
        <v>72</v>
      </c>
    </row>
    <row r="1120" customFormat="false" ht="105.95" hidden="false" customHeight="false" outlineLevel="0" collapsed="false">
      <c r="A1120" s="2" t="s">
        <v>6443</v>
      </c>
      <c r="B1120" s="2" t="s">
        <v>1185</v>
      </c>
      <c r="C1120" s="2" t="s">
        <v>6213</v>
      </c>
      <c r="D1120" s="2" t="s">
        <v>6444</v>
      </c>
      <c r="E1120" s="2" t="s">
        <v>6445</v>
      </c>
      <c r="F1120" s="2" t="s">
        <v>6446</v>
      </c>
      <c r="G1120" s="2" t="s">
        <v>6447</v>
      </c>
      <c r="H1120" s="2" t="s">
        <v>20</v>
      </c>
      <c r="I1120" s="2" t="s">
        <v>6448</v>
      </c>
      <c r="J1120" s="2" t="s">
        <v>6213</v>
      </c>
      <c r="K1120" s="2" t="s">
        <v>1193</v>
      </c>
      <c r="L1120" s="2" t="n">
        <v>4</v>
      </c>
      <c r="M1120" s="2" t="n">
        <v>72</v>
      </c>
    </row>
    <row r="1121" customFormat="false" ht="76.1" hidden="false" customHeight="false" outlineLevel="0" collapsed="false">
      <c r="A1121" s="2" t="s">
        <v>6449</v>
      </c>
      <c r="B1121" s="2" t="s">
        <v>1185</v>
      </c>
      <c r="C1121" s="2" t="s">
        <v>6213</v>
      </c>
      <c r="D1121" s="2" t="s">
        <v>6450</v>
      </c>
      <c r="E1121" s="2" t="s">
        <v>6451</v>
      </c>
      <c r="F1121" s="2" t="s">
        <v>6452</v>
      </c>
      <c r="G1121" s="2" t="s">
        <v>6453</v>
      </c>
      <c r="H1121" s="2" t="s">
        <v>20</v>
      </c>
      <c r="I1121" s="2" t="s">
        <v>6454</v>
      </c>
      <c r="J1121" s="2" t="s">
        <v>6213</v>
      </c>
      <c r="K1121" s="2" t="s">
        <v>1193</v>
      </c>
      <c r="L1121" s="2" t="n">
        <v>3</v>
      </c>
      <c r="M1121" s="2" t="n">
        <v>72</v>
      </c>
    </row>
    <row r="1122" customFormat="false" ht="61.15" hidden="false" customHeight="false" outlineLevel="0" collapsed="false">
      <c r="A1122" s="2" t="s">
        <v>6455</v>
      </c>
      <c r="B1122" s="2" t="s">
        <v>1185</v>
      </c>
      <c r="C1122" s="2" t="s">
        <v>6456</v>
      </c>
      <c r="D1122" s="2" t="s">
        <v>6457</v>
      </c>
      <c r="E1122" s="2" t="s">
        <v>6458</v>
      </c>
      <c r="F1122" s="2" t="s">
        <v>6459</v>
      </c>
      <c r="G1122" s="2" t="s">
        <v>6460</v>
      </c>
      <c r="H1122" s="2" t="s">
        <v>20</v>
      </c>
      <c r="I1122" s="2" t="s">
        <v>6461</v>
      </c>
      <c r="J1122" s="2" t="s">
        <v>6462</v>
      </c>
      <c r="K1122" s="2" t="s">
        <v>1193</v>
      </c>
      <c r="L1122" s="2" t="n">
        <v>3</v>
      </c>
      <c r="M1122" s="2" t="n">
        <v>75</v>
      </c>
    </row>
    <row r="1123" customFormat="false" ht="91" hidden="false" customHeight="false" outlineLevel="0" collapsed="false">
      <c r="A1123" s="2" t="s">
        <v>6463</v>
      </c>
      <c r="B1123" s="2" t="s">
        <v>1185</v>
      </c>
      <c r="C1123" s="2" t="s">
        <v>6456</v>
      </c>
      <c r="D1123" s="2" t="s">
        <v>6464</v>
      </c>
      <c r="E1123" s="2" t="s">
        <v>6465</v>
      </c>
      <c r="F1123" s="2" t="s">
        <v>6466</v>
      </c>
      <c r="G1123" s="2" t="s">
        <v>6467</v>
      </c>
      <c r="H1123" s="2" t="s">
        <v>20</v>
      </c>
      <c r="I1123" s="2" t="s">
        <v>6468</v>
      </c>
      <c r="J1123" s="2" t="s">
        <v>6469</v>
      </c>
      <c r="K1123" s="2" t="s">
        <v>1193</v>
      </c>
      <c r="L1123" s="2" t="n">
        <v>4</v>
      </c>
      <c r="M1123" s="2" t="n">
        <v>74</v>
      </c>
    </row>
    <row r="1124" customFormat="false" ht="76.1" hidden="false" customHeight="false" outlineLevel="0" collapsed="false">
      <c r="A1124" s="2" t="s">
        <v>6470</v>
      </c>
      <c r="B1124" s="2" t="s">
        <v>1185</v>
      </c>
      <c r="C1124" s="2" t="s">
        <v>6456</v>
      </c>
      <c r="D1124" s="2" t="s">
        <v>6471</v>
      </c>
      <c r="E1124" s="2" t="s">
        <v>2356</v>
      </c>
      <c r="F1124" s="2" t="s">
        <v>6472</v>
      </c>
      <c r="G1124" s="2" t="s">
        <v>6473</v>
      </c>
      <c r="H1124" s="2" t="s">
        <v>28</v>
      </c>
      <c r="I1124" s="2" t="s">
        <v>6474</v>
      </c>
      <c r="J1124" s="2" t="s">
        <v>6475</v>
      </c>
      <c r="K1124" s="2" t="s">
        <v>1193</v>
      </c>
      <c r="L1124" s="2" t="n">
        <v>3</v>
      </c>
      <c r="M1124" s="2" t="n">
        <v>75</v>
      </c>
    </row>
    <row r="1125" customFormat="false" ht="76.1" hidden="false" customHeight="false" outlineLevel="0" collapsed="false">
      <c r="A1125" s="2" t="s">
        <v>6476</v>
      </c>
      <c r="B1125" s="2" t="s">
        <v>1185</v>
      </c>
      <c r="C1125" s="2" t="s">
        <v>6456</v>
      </c>
      <c r="D1125" s="2" t="s">
        <v>6477</v>
      </c>
      <c r="E1125" s="2" t="s">
        <v>6478</v>
      </c>
      <c r="F1125" s="2" t="s">
        <v>6479</v>
      </c>
      <c r="G1125" s="2" t="s">
        <v>6480</v>
      </c>
      <c r="H1125" s="2" t="s">
        <v>20</v>
      </c>
      <c r="I1125" s="2" t="s">
        <v>6481</v>
      </c>
      <c r="J1125" s="2" t="s">
        <v>6456</v>
      </c>
      <c r="K1125" s="2" t="s">
        <v>1193</v>
      </c>
      <c r="L1125" s="2" t="n">
        <v>4</v>
      </c>
      <c r="M1125" s="2" t="n">
        <v>74</v>
      </c>
    </row>
    <row r="1126" customFormat="false" ht="76.1" hidden="false" customHeight="false" outlineLevel="0" collapsed="false">
      <c r="A1126" s="2" t="s">
        <v>6482</v>
      </c>
      <c r="B1126" s="2" t="s">
        <v>1185</v>
      </c>
      <c r="C1126" s="2" t="s">
        <v>6456</v>
      </c>
      <c r="D1126" s="2" t="s">
        <v>6483</v>
      </c>
      <c r="E1126" s="2" t="s">
        <v>6484</v>
      </c>
      <c r="F1126" s="2" t="s">
        <v>2356</v>
      </c>
      <c r="G1126" s="2" t="s">
        <v>6310</v>
      </c>
      <c r="H1126" s="2" t="s">
        <v>20</v>
      </c>
      <c r="I1126" s="2" t="s">
        <v>6485</v>
      </c>
      <c r="J1126" s="2" t="s">
        <v>6456</v>
      </c>
      <c r="K1126" s="2" t="s">
        <v>1193</v>
      </c>
      <c r="L1126" s="2" t="n">
        <v>3</v>
      </c>
      <c r="M1126" s="2" t="n">
        <v>74</v>
      </c>
    </row>
    <row r="1127" customFormat="false" ht="61.15" hidden="false" customHeight="false" outlineLevel="0" collapsed="false">
      <c r="A1127" s="2" t="s">
        <v>6486</v>
      </c>
      <c r="B1127" s="2" t="s">
        <v>1185</v>
      </c>
      <c r="C1127" s="2" t="s">
        <v>6456</v>
      </c>
      <c r="D1127" s="2" t="s">
        <v>6487</v>
      </c>
      <c r="E1127" s="2" t="s">
        <v>6488</v>
      </c>
      <c r="F1127" s="2" t="s">
        <v>6489</v>
      </c>
      <c r="G1127" s="2" t="s">
        <v>6490</v>
      </c>
      <c r="H1127" s="2" t="s">
        <v>20</v>
      </c>
      <c r="I1127" s="2" t="s">
        <v>6491</v>
      </c>
      <c r="J1127" s="2" t="s">
        <v>6456</v>
      </c>
      <c r="K1127" s="2" t="s">
        <v>1193</v>
      </c>
      <c r="L1127" s="2" t="n">
        <v>1</v>
      </c>
      <c r="M1127" s="2" t="n">
        <v>77</v>
      </c>
    </row>
    <row r="1128" customFormat="false" ht="61.15" hidden="false" customHeight="false" outlineLevel="0" collapsed="false">
      <c r="A1128" s="2" t="s">
        <v>6492</v>
      </c>
      <c r="B1128" s="2" t="s">
        <v>1185</v>
      </c>
      <c r="C1128" s="2" t="s">
        <v>6456</v>
      </c>
      <c r="D1128" s="2" t="s">
        <v>6493</v>
      </c>
      <c r="E1128" s="2" t="s">
        <v>6494</v>
      </c>
      <c r="F1128" s="2" t="s">
        <v>6495</v>
      </c>
      <c r="G1128" s="2" t="s">
        <v>6496</v>
      </c>
      <c r="H1128" s="2" t="s">
        <v>20</v>
      </c>
      <c r="I1128" s="2" t="s">
        <v>6497</v>
      </c>
      <c r="J1128" s="2" t="s">
        <v>6456</v>
      </c>
      <c r="K1128" s="2" t="s">
        <v>1193</v>
      </c>
      <c r="L1128" s="2" t="n">
        <v>2</v>
      </c>
      <c r="M1128" s="2" t="n">
        <v>73</v>
      </c>
    </row>
    <row r="1129" customFormat="false" ht="61.15" hidden="false" customHeight="false" outlineLevel="0" collapsed="false">
      <c r="A1129" s="2" t="s">
        <v>6498</v>
      </c>
      <c r="B1129" s="2" t="s">
        <v>1185</v>
      </c>
      <c r="C1129" s="2" t="s">
        <v>6456</v>
      </c>
      <c r="D1129" s="2" t="s">
        <v>6499</v>
      </c>
      <c r="E1129" s="2" t="s">
        <v>6500</v>
      </c>
      <c r="F1129" s="2" t="s">
        <v>6501</v>
      </c>
      <c r="G1129" s="2" t="s">
        <v>6502</v>
      </c>
      <c r="H1129" s="2" t="s">
        <v>20</v>
      </c>
      <c r="I1129" s="2" t="s">
        <v>6503</v>
      </c>
      <c r="J1129" s="2" t="s">
        <v>6504</v>
      </c>
      <c r="K1129" s="2" t="s">
        <v>1193</v>
      </c>
      <c r="L1129" s="2" t="n">
        <v>1</v>
      </c>
      <c r="M1129" s="2" t="n">
        <v>73</v>
      </c>
    </row>
    <row r="1130" customFormat="false" ht="46.25" hidden="false" customHeight="false" outlineLevel="0" collapsed="false">
      <c r="A1130" s="2" t="s">
        <v>6505</v>
      </c>
      <c r="B1130" s="2" t="s">
        <v>1185</v>
      </c>
      <c r="C1130" s="2" t="s">
        <v>6456</v>
      </c>
      <c r="D1130" s="2" t="s">
        <v>6506</v>
      </c>
      <c r="E1130" s="2" t="s">
        <v>6507</v>
      </c>
      <c r="F1130" s="2" t="s">
        <v>6508</v>
      </c>
      <c r="G1130" s="2" t="s">
        <v>6509</v>
      </c>
      <c r="H1130" s="2" t="s">
        <v>226</v>
      </c>
      <c r="I1130" s="2" t="s">
        <v>6510</v>
      </c>
      <c r="J1130" s="2" t="s">
        <v>6511</v>
      </c>
      <c r="K1130" s="2" t="s">
        <v>1193</v>
      </c>
      <c r="L1130" s="2" t="n">
        <v>1</v>
      </c>
      <c r="M1130" s="2" t="n">
        <v>73</v>
      </c>
    </row>
    <row r="1131" customFormat="false" ht="46.25" hidden="false" customHeight="false" outlineLevel="0" collapsed="false">
      <c r="A1131" s="2" t="s">
        <v>6512</v>
      </c>
      <c r="B1131" s="2" t="s">
        <v>1185</v>
      </c>
      <c r="C1131" s="2" t="s">
        <v>6456</v>
      </c>
      <c r="D1131" s="2" t="s">
        <v>6513</v>
      </c>
      <c r="E1131" s="2" t="s">
        <v>2356</v>
      </c>
      <c r="F1131" s="2" t="s">
        <v>6484</v>
      </c>
      <c r="G1131" s="2" t="s">
        <v>4172</v>
      </c>
      <c r="H1131" s="2" t="s">
        <v>20</v>
      </c>
      <c r="I1131" s="2" t="s">
        <v>6514</v>
      </c>
      <c r="J1131" s="2" t="s">
        <v>6515</v>
      </c>
      <c r="K1131" s="2" t="s">
        <v>1193</v>
      </c>
      <c r="L1131" s="2" t="n">
        <v>2</v>
      </c>
      <c r="M1131" s="2" t="n">
        <v>74</v>
      </c>
    </row>
    <row r="1132" customFormat="false" ht="76.1" hidden="false" customHeight="false" outlineLevel="0" collapsed="false">
      <c r="A1132" s="2" t="s">
        <v>6516</v>
      </c>
      <c r="B1132" s="2" t="s">
        <v>1185</v>
      </c>
      <c r="C1132" s="2" t="s">
        <v>6456</v>
      </c>
      <c r="D1132" s="2" t="s">
        <v>6517</v>
      </c>
      <c r="E1132" s="2" t="s">
        <v>6518</v>
      </c>
      <c r="F1132" s="2" t="s">
        <v>6519</v>
      </c>
      <c r="G1132" s="2" t="s">
        <v>6287</v>
      </c>
      <c r="H1132" s="2" t="s">
        <v>20</v>
      </c>
      <c r="I1132" s="2" t="s">
        <v>6520</v>
      </c>
      <c r="J1132" s="2" t="s">
        <v>6515</v>
      </c>
      <c r="K1132" s="2" t="s">
        <v>1193</v>
      </c>
      <c r="L1132" s="2" t="n">
        <v>2</v>
      </c>
      <c r="M1132" s="2" t="n">
        <v>75</v>
      </c>
    </row>
    <row r="1133" customFormat="false" ht="61.15" hidden="false" customHeight="false" outlineLevel="0" collapsed="false">
      <c r="A1133" s="2" t="s">
        <v>6521</v>
      </c>
      <c r="B1133" s="2" t="s">
        <v>1185</v>
      </c>
      <c r="C1133" s="2" t="s">
        <v>6456</v>
      </c>
      <c r="D1133" s="2" t="s">
        <v>6522</v>
      </c>
      <c r="E1133" s="2" t="s">
        <v>6523</v>
      </c>
      <c r="F1133" s="2" t="s">
        <v>6519</v>
      </c>
      <c r="G1133" s="2" t="s">
        <v>6524</v>
      </c>
      <c r="H1133" s="2" t="s">
        <v>28</v>
      </c>
      <c r="I1133" s="2" t="s">
        <v>6525</v>
      </c>
      <c r="J1133" s="2" t="s">
        <v>6515</v>
      </c>
      <c r="K1133" s="2" t="s">
        <v>1193</v>
      </c>
      <c r="L1133" s="2" t="n">
        <v>3</v>
      </c>
      <c r="M1133" s="2" t="n">
        <v>75</v>
      </c>
    </row>
    <row r="1134" customFormat="false" ht="46.25" hidden="false" customHeight="false" outlineLevel="0" collapsed="false">
      <c r="A1134" s="2" t="s">
        <v>6526</v>
      </c>
      <c r="B1134" s="2" t="s">
        <v>1185</v>
      </c>
      <c r="C1134" s="2" t="s">
        <v>6456</v>
      </c>
      <c r="D1134" s="2" t="s">
        <v>6527</v>
      </c>
      <c r="E1134" s="2" t="s">
        <v>6528</v>
      </c>
      <c r="F1134" s="2" t="s">
        <v>6529</v>
      </c>
      <c r="G1134" s="2" t="s">
        <v>6530</v>
      </c>
      <c r="H1134" s="2" t="s">
        <v>226</v>
      </c>
      <c r="I1134" s="2" t="s">
        <v>6531</v>
      </c>
      <c r="J1134" s="2" t="s">
        <v>6515</v>
      </c>
      <c r="K1134" s="2" t="s">
        <v>1193</v>
      </c>
      <c r="L1134" s="2" t="n">
        <v>3</v>
      </c>
      <c r="M1134" s="2" t="n">
        <v>74</v>
      </c>
    </row>
    <row r="1135" customFormat="false" ht="135.8" hidden="false" customHeight="false" outlineLevel="0" collapsed="false">
      <c r="A1135" s="2" t="s">
        <v>6532</v>
      </c>
      <c r="B1135" s="2" t="s">
        <v>1185</v>
      </c>
      <c r="C1135" s="2" t="s">
        <v>6456</v>
      </c>
      <c r="D1135" s="2" t="s">
        <v>6533</v>
      </c>
      <c r="E1135" s="2" t="s">
        <v>6534</v>
      </c>
      <c r="F1135" s="2" t="s">
        <v>6535</v>
      </c>
      <c r="G1135" s="2" t="s">
        <v>6536</v>
      </c>
      <c r="H1135" s="2" t="s">
        <v>20</v>
      </c>
      <c r="I1135" s="2" t="s">
        <v>6537</v>
      </c>
      <c r="J1135" s="2" t="s">
        <v>6515</v>
      </c>
      <c r="K1135" s="2" t="s">
        <v>1193</v>
      </c>
      <c r="L1135" s="2" t="n">
        <v>3</v>
      </c>
      <c r="M1135" s="2" t="n">
        <v>74</v>
      </c>
    </row>
    <row r="1136" customFormat="false" ht="46.25" hidden="false" customHeight="false" outlineLevel="0" collapsed="false">
      <c r="A1136" s="2" t="s">
        <v>6538</v>
      </c>
      <c r="B1136" s="2" t="s">
        <v>1185</v>
      </c>
      <c r="C1136" s="2" t="s">
        <v>6456</v>
      </c>
      <c r="D1136" s="2" t="s">
        <v>6539</v>
      </c>
      <c r="E1136" s="2" t="s">
        <v>6484</v>
      </c>
      <c r="F1136" s="2" t="s">
        <v>4172</v>
      </c>
      <c r="G1136" s="2" t="s">
        <v>1833</v>
      </c>
      <c r="H1136" s="2" t="s">
        <v>20</v>
      </c>
      <c r="I1136" s="2" t="s">
        <v>6540</v>
      </c>
      <c r="J1136" s="2" t="s">
        <v>6515</v>
      </c>
      <c r="K1136" s="2" t="s">
        <v>1193</v>
      </c>
      <c r="L1136" s="2" t="n">
        <v>2</v>
      </c>
      <c r="M1136" s="2" t="n">
        <v>74</v>
      </c>
    </row>
    <row r="1137" customFormat="false" ht="61.15" hidden="false" customHeight="false" outlineLevel="0" collapsed="false">
      <c r="A1137" s="2" t="s">
        <v>6541</v>
      </c>
      <c r="B1137" s="2" t="s">
        <v>1185</v>
      </c>
      <c r="C1137" s="2" t="s">
        <v>6456</v>
      </c>
      <c r="D1137" s="2" t="s">
        <v>6542</v>
      </c>
      <c r="E1137" s="2" t="s">
        <v>6543</v>
      </c>
      <c r="F1137" s="2" t="s">
        <v>6544</v>
      </c>
      <c r="G1137" s="2" t="s">
        <v>6283</v>
      </c>
      <c r="H1137" s="2" t="s">
        <v>20</v>
      </c>
      <c r="I1137" s="2" t="s">
        <v>6545</v>
      </c>
      <c r="J1137" s="2" t="s">
        <v>6515</v>
      </c>
      <c r="K1137" s="2" t="s">
        <v>1193</v>
      </c>
      <c r="L1137" s="2" t="n">
        <v>3</v>
      </c>
      <c r="M1137" s="2" t="n">
        <v>74</v>
      </c>
    </row>
    <row r="1138" customFormat="false" ht="61.15" hidden="false" customHeight="false" outlineLevel="0" collapsed="false">
      <c r="A1138" s="2" t="s">
        <v>6546</v>
      </c>
      <c r="B1138" s="2" t="s">
        <v>1185</v>
      </c>
      <c r="C1138" s="2" t="s">
        <v>6456</v>
      </c>
      <c r="D1138" s="2" t="s">
        <v>6547</v>
      </c>
      <c r="E1138" s="2" t="s">
        <v>6548</v>
      </c>
      <c r="F1138" s="2" t="s">
        <v>6549</v>
      </c>
      <c r="G1138" s="2" t="s">
        <v>6550</v>
      </c>
      <c r="H1138" s="2" t="s">
        <v>226</v>
      </c>
      <c r="I1138" s="2" t="s">
        <v>6551</v>
      </c>
      <c r="J1138" s="2" t="s">
        <v>6515</v>
      </c>
      <c r="K1138" s="2" t="s">
        <v>1193</v>
      </c>
      <c r="L1138" s="2" t="n">
        <v>3</v>
      </c>
      <c r="M1138" s="2" t="n">
        <v>74</v>
      </c>
    </row>
    <row r="1139" customFormat="false" ht="46.25" hidden="false" customHeight="false" outlineLevel="0" collapsed="false">
      <c r="A1139" s="2" t="s">
        <v>6552</v>
      </c>
      <c r="B1139" s="2" t="s">
        <v>1185</v>
      </c>
      <c r="C1139" s="2" t="s">
        <v>6456</v>
      </c>
      <c r="D1139" s="2" t="s">
        <v>6553</v>
      </c>
      <c r="E1139" s="2" t="s">
        <v>6554</v>
      </c>
      <c r="F1139" s="2" t="s">
        <v>6555</v>
      </c>
      <c r="G1139" s="2" t="s">
        <v>6556</v>
      </c>
      <c r="H1139" s="2" t="s">
        <v>20</v>
      </c>
      <c r="I1139" s="2" t="s">
        <v>6557</v>
      </c>
      <c r="J1139" s="2" t="s">
        <v>6511</v>
      </c>
      <c r="K1139" s="2" t="s">
        <v>1193</v>
      </c>
      <c r="L1139" s="2" t="n">
        <v>2</v>
      </c>
      <c r="M1139" s="2" t="n">
        <v>73</v>
      </c>
    </row>
    <row r="1140" customFormat="false" ht="46.25" hidden="false" customHeight="false" outlineLevel="0" collapsed="false">
      <c r="A1140" s="2" t="s">
        <v>6558</v>
      </c>
      <c r="B1140" s="2" t="s">
        <v>1185</v>
      </c>
      <c r="C1140" s="2" t="s">
        <v>6456</v>
      </c>
      <c r="D1140" s="2" t="s">
        <v>6559</v>
      </c>
      <c r="E1140" s="2" t="s">
        <v>6560</v>
      </c>
      <c r="F1140" s="2" t="s">
        <v>6561</v>
      </c>
      <c r="G1140" s="2" t="s">
        <v>6562</v>
      </c>
      <c r="H1140" s="2" t="s">
        <v>20</v>
      </c>
      <c r="I1140" s="2" t="s">
        <v>6563</v>
      </c>
      <c r="J1140" s="2" t="s">
        <v>6511</v>
      </c>
      <c r="K1140" s="2" t="s">
        <v>1193</v>
      </c>
      <c r="L1140" s="2" t="n">
        <v>2</v>
      </c>
      <c r="M1140" s="2" t="n">
        <v>73</v>
      </c>
    </row>
    <row r="1141" customFormat="false" ht="61.15" hidden="false" customHeight="false" outlineLevel="0" collapsed="false">
      <c r="A1141" s="2" t="s">
        <v>6564</v>
      </c>
      <c r="B1141" s="2" t="s">
        <v>1185</v>
      </c>
      <c r="C1141" s="2" t="s">
        <v>6456</v>
      </c>
      <c r="D1141" s="2" t="s">
        <v>6565</v>
      </c>
      <c r="E1141" s="2" t="s">
        <v>6566</v>
      </c>
      <c r="F1141" s="2" t="s">
        <v>6567</v>
      </c>
      <c r="G1141" s="2" t="s">
        <v>6568</v>
      </c>
      <c r="H1141" s="2" t="s">
        <v>20</v>
      </c>
      <c r="I1141" s="2" t="s">
        <v>6569</v>
      </c>
      <c r="J1141" s="2" t="s">
        <v>6515</v>
      </c>
      <c r="K1141" s="2" t="s">
        <v>1193</v>
      </c>
      <c r="L1141" s="2" t="n">
        <v>3</v>
      </c>
      <c r="M1141" s="2" t="n">
        <v>74</v>
      </c>
    </row>
    <row r="1142" customFormat="false" ht="46.25" hidden="false" customHeight="false" outlineLevel="0" collapsed="false">
      <c r="A1142" s="2" t="s">
        <v>6570</v>
      </c>
      <c r="B1142" s="2" t="s">
        <v>1185</v>
      </c>
      <c r="C1142" s="2" t="s">
        <v>6456</v>
      </c>
      <c r="D1142" s="2" t="s">
        <v>6571</v>
      </c>
      <c r="E1142" s="2" t="s">
        <v>6529</v>
      </c>
      <c r="F1142" s="2" t="s">
        <v>6528</v>
      </c>
      <c r="G1142" s="2" t="s">
        <v>4170</v>
      </c>
      <c r="H1142" s="2" t="s">
        <v>226</v>
      </c>
      <c r="I1142" s="2" t="s">
        <v>6572</v>
      </c>
      <c r="J1142" s="2" t="s">
        <v>6511</v>
      </c>
      <c r="K1142" s="2" t="s">
        <v>1193</v>
      </c>
      <c r="L1142" s="2" t="n">
        <v>3</v>
      </c>
      <c r="M1142" s="2" t="n">
        <v>74</v>
      </c>
    </row>
    <row r="1143" customFormat="false" ht="120.85" hidden="false" customHeight="false" outlineLevel="0" collapsed="false">
      <c r="A1143" s="2" t="s">
        <v>6573</v>
      </c>
      <c r="B1143" s="2" t="s">
        <v>1185</v>
      </c>
      <c r="C1143" s="2" t="s">
        <v>6456</v>
      </c>
      <c r="D1143" s="2" t="s">
        <v>6574</v>
      </c>
      <c r="E1143" s="2" t="s">
        <v>6283</v>
      </c>
      <c r="F1143" s="2" t="s">
        <v>6575</v>
      </c>
      <c r="G1143" s="2" t="s">
        <v>6576</v>
      </c>
      <c r="H1143" s="2" t="s">
        <v>20</v>
      </c>
      <c r="I1143" s="2" t="s">
        <v>6577</v>
      </c>
      <c r="J1143" s="2" t="s">
        <v>6515</v>
      </c>
      <c r="K1143" s="2" t="s">
        <v>1193</v>
      </c>
      <c r="L1143" s="2" t="n">
        <v>3</v>
      </c>
      <c r="M1143" s="2" t="n">
        <v>75</v>
      </c>
    </row>
    <row r="1144" customFormat="false" ht="46.25" hidden="false" customHeight="false" outlineLevel="0" collapsed="false">
      <c r="A1144" s="2" t="s">
        <v>6578</v>
      </c>
      <c r="B1144" s="2" t="s">
        <v>1185</v>
      </c>
      <c r="C1144" s="2" t="s">
        <v>6456</v>
      </c>
      <c r="D1144" s="2" t="s">
        <v>6579</v>
      </c>
      <c r="E1144" s="2" t="s">
        <v>6580</v>
      </c>
      <c r="F1144" s="2" t="s">
        <v>6581</v>
      </c>
      <c r="G1144" s="2" t="s">
        <v>6582</v>
      </c>
      <c r="H1144" s="2" t="s">
        <v>28</v>
      </c>
      <c r="I1144" s="2" t="s">
        <v>6583</v>
      </c>
      <c r="J1144" s="2" t="s">
        <v>6515</v>
      </c>
      <c r="K1144" s="2" t="s">
        <v>1193</v>
      </c>
      <c r="L1144" s="2" t="n">
        <v>3</v>
      </c>
      <c r="M1144" s="2" t="n">
        <v>74</v>
      </c>
    </row>
    <row r="1145" customFormat="false" ht="46.25" hidden="false" customHeight="false" outlineLevel="0" collapsed="false">
      <c r="A1145" s="2" t="s">
        <v>6584</v>
      </c>
      <c r="B1145" s="2" t="s">
        <v>1185</v>
      </c>
      <c r="C1145" s="2" t="s">
        <v>6456</v>
      </c>
      <c r="D1145" s="2" t="s">
        <v>6585</v>
      </c>
      <c r="E1145" s="2" t="s">
        <v>4170</v>
      </c>
      <c r="F1145" s="2" t="s">
        <v>6586</v>
      </c>
      <c r="G1145" s="2" t="s">
        <v>6325</v>
      </c>
      <c r="H1145" s="2" t="s">
        <v>20</v>
      </c>
      <c r="I1145" s="2" t="s">
        <v>6587</v>
      </c>
      <c r="J1145" s="2" t="s">
        <v>6515</v>
      </c>
      <c r="K1145" s="2" t="s">
        <v>1193</v>
      </c>
      <c r="L1145" s="2" t="n">
        <v>3</v>
      </c>
      <c r="M1145" s="2" t="n">
        <v>74</v>
      </c>
    </row>
    <row r="1146" customFormat="false" ht="61.15" hidden="false" customHeight="false" outlineLevel="0" collapsed="false">
      <c r="A1146" s="2" t="s">
        <v>6588</v>
      </c>
      <c r="B1146" s="2" t="s">
        <v>1185</v>
      </c>
      <c r="C1146" s="2" t="s">
        <v>6456</v>
      </c>
      <c r="D1146" s="2" t="s">
        <v>6589</v>
      </c>
      <c r="E1146" s="2" t="s">
        <v>6590</v>
      </c>
      <c r="F1146" s="2" t="s">
        <v>6591</v>
      </c>
      <c r="G1146" s="2" t="s">
        <v>6592</v>
      </c>
      <c r="H1146" s="2" t="s">
        <v>226</v>
      </c>
      <c r="I1146" s="2" t="s">
        <v>6593</v>
      </c>
      <c r="J1146" s="2" t="s">
        <v>6515</v>
      </c>
      <c r="K1146" s="2" t="s">
        <v>1193</v>
      </c>
      <c r="L1146" s="2" t="n">
        <v>3</v>
      </c>
      <c r="M1146" s="2" t="n">
        <v>74</v>
      </c>
    </row>
    <row r="1147" customFormat="false" ht="46.25" hidden="false" customHeight="false" outlineLevel="0" collapsed="false">
      <c r="A1147" s="2" t="s">
        <v>6594</v>
      </c>
      <c r="B1147" s="2" t="s">
        <v>1185</v>
      </c>
      <c r="C1147" s="2" t="s">
        <v>6456</v>
      </c>
      <c r="D1147" s="2" t="s">
        <v>6595</v>
      </c>
      <c r="E1147" s="2" t="s">
        <v>6596</v>
      </c>
      <c r="F1147" s="2" t="s">
        <v>6597</v>
      </c>
      <c r="G1147" s="2" t="s">
        <v>6598</v>
      </c>
      <c r="H1147" s="2" t="s">
        <v>20</v>
      </c>
      <c r="I1147" s="2" t="s">
        <v>6599</v>
      </c>
      <c r="J1147" s="2" t="s">
        <v>6515</v>
      </c>
      <c r="K1147" s="2" t="s">
        <v>1193</v>
      </c>
      <c r="L1147" s="2" t="n">
        <v>2</v>
      </c>
      <c r="M1147" s="2" t="n">
        <v>74</v>
      </c>
    </row>
    <row r="1148" customFormat="false" ht="76.1" hidden="false" customHeight="false" outlineLevel="0" collapsed="false">
      <c r="A1148" s="2" t="s">
        <v>6600</v>
      </c>
      <c r="B1148" s="2" t="s">
        <v>1185</v>
      </c>
      <c r="C1148" s="2" t="s">
        <v>6456</v>
      </c>
      <c r="D1148" s="2" t="s">
        <v>6601</v>
      </c>
      <c r="E1148" s="2" t="s">
        <v>6484</v>
      </c>
      <c r="F1148" s="2" t="s">
        <v>6602</v>
      </c>
      <c r="G1148" s="2" t="s">
        <v>6310</v>
      </c>
      <c r="H1148" s="2" t="s">
        <v>20</v>
      </c>
      <c r="I1148" s="2" t="s">
        <v>6603</v>
      </c>
      <c r="J1148" s="2" t="s">
        <v>6515</v>
      </c>
      <c r="K1148" s="2" t="s">
        <v>1193</v>
      </c>
      <c r="L1148" s="2" t="n">
        <v>3</v>
      </c>
      <c r="M1148" s="2" t="n">
        <v>75</v>
      </c>
    </row>
    <row r="1149" customFormat="false" ht="46.25" hidden="false" customHeight="false" outlineLevel="0" collapsed="false">
      <c r="A1149" s="2" t="s">
        <v>6604</v>
      </c>
      <c r="B1149" s="2" t="s">
        <v>1185</v>
      </c>
      <c r="C1149" s="2" t="s">
        <v>6456</v>
      </c>
      <c r="D1149" s="2" t="s">
        <v>6605</v>
      </c>
      <c r="E1149" s="2" t="s">
        <v>6484</v>
      </c>
      <c r="F1149" s="2" t="s">
        <v>6606</v>
      </c>
      <c r="G1149" s="2" t="s">
        <v>6607</v>
      </c>
      <c r="H1149" s="2" t="s">
        <v>20</v>
      </c>
      <c r="I1149" s="2" t="s">
        <v>6608</v>
      </c>
      <c r="J1149" s="2" t="s">
        <v>6515</v>
      </c>
      <c r="K1149" s="2" t="s">
        <v>1193</v>
      </c>
      <c r="L1149" s="2" t="n">
        <v>3</v>
      </c>
      <c r="M1149" s="2" t="n">
        <v>75</v>
      </c>
    </row>
    <row r="1150" customFormat="false" ht="61.15" hidden="false" customHeight="false" outlineLevel="0" collapsed="false">
      <c r="A1150" s="2" t="s">
        <v>6609</v>
      </c>
      <c r="B1150" s="2" t="s">
        <v>1185</v>
      </c>
      <c r="C1150" s="2" t="s">
        <v>6456</v>
      </c>
      <c r="D1150" s="2" t="s">
        <v>6610</v>
      </c>
      <c r="E1150" s="2" t="s">
        <v>6611</v>
      </c>
      <c r="F1150" s="2" t="s">
        <v>6612</v>
      </c>
      <c r="G1150" s="2" t="s">
        <v>6613</v>
      </c>
      <c r="H1150" s="2" t="s">
        <v>20</v>
      </c>
      <c r="I1150" s="2" t="s">
        <v>6614</v>
      </c>
      <c r="J1150" s="2" t="s">
        <v>6515</v>
      </c>
      <c r="K1150" s="2" t="s">
        <v>1193</v>
      </c>
      <c r="L1150" s="2" t="n">
        <v>4</v>
      </c>
      <c r="M1150" s="2" t="n">
        <v>75</v>
      </c>
    </row>
    <row r="1151" customFormat="false" ht="61.15" hidden="false" customHeight="false" outlineLevel="0" collapsed="false">
      <c r="A1151" s="2" t="s">
        <v>6615</v>
      </c>
      <c r="B1151" s="2" t="s">
        <v>1185</v>
      </c>
      <c r="C1151" s="2" t="s">
        <v>6456</v>
      </c>
      <c r="D1151" s="2" t="s">
        <v>6616</v>
      </c>
      <c r="E1151" s="2" t="s">
        <v>6617</v>
      </c>
      <c r="F1151" s="2" t="s">
        <v>6618</v>
      </c>
      <c r="G1151" s="2" t="s">
        <v>6619</v>
      </c>
      <c r="H1151" s="2" t="s">
        <v>28</v>
      </c>
      <c r="I1151" s="2" t="s">
        <v>6620</v>
      </c>
      <c r="J1151" s="2" t="s">
        <v>6515</v>
      </c>
      <c r="K1151" s="2" t="s">
        <v>1193</v>
      </c>
      <c r="L1151" s="2" t="n">
        <v>3</v>
      </c>
      <c r="M1151" s="2" t="n">
        <v>75</v>
      </c>
    </row>
    <row r="1152" customFormat="false" ht="61.15" hidden="false" customHeight="false" outlineLevel="0" collapsed="false">
      <c r="A1152" s="2" t="s">
        <v>6621</v>
      </c>
      <c r="B1152" s="2" t="s">
        <v>1185</v>
      </c>
      <c r="C1152" s="2" t="s">
        <v>6456</v>
      </c>
      <c r="D1152" s="2" t="s">
        <v>6622</v>
      </c>
      <c r="E1152" s="2" t="s">
        <v>6623</v>
      </c>
      <c r="F1152" s="2" t="s">
        <v>6624</v>
      </c>
      <c r="G1152" s="2" t="s">
        <v>6625</v>
      </c>
      <c r="H1152" s="2" t="s">
        <v>20</v>
      </c>
      <c r="I1152" s="2" t="s">
        <v>6626</v>
      </c>
      <c r="J1152" s="2" t="s">
        <v>6511</v>
      </c>
      <c r="K1152" s="2" t="s">
        <v>1193</v>
      </c>
      <c r="L1152" s="2" t="n">
        <v>2</v>
      </c>
      <c r="M1152" s="2" t="n">
        <v>74</v>
      </c>
    </row>
    <row r="1153" customFormat="false" ht="61.15" hidden="false" customHeight="false" outlineLevel="0" collapsed="false">
      <c r="A1153" s="2" t="s">
        <v>6627</v>
      </c>
      <c r="B1153" s="2" t="s">
        <v>1185</v>
      </c>
      <c r="C1153" s="2" t="s">
        <v>6456</v>
      </c>
      <c r="D1153" s="2" t="s">
        <v>6628</v>
      </c>
      <c r="E1153" s="2" t="s">
        <v>6484</v>
      </c>
      <c r="F1153" s="2" t="s">
        <v>4172</v>
      </c>
      <c r="G1153" s="2" t="s">
        <v>6629</v>
      </c>
      <c r="H1153" s="2" t="s">
        <v>20</v>
      </c>
      <c r="I1153" s="2" t="s">
        <v>6630</v>
      </c>
      <c r="J1153" s="2" t="s">
        <v>6511</v>
      </c>
      <c r="K1153" s="2" t="s">
        <v>1193</v>
      </c>
      <c r="L1153" s="2" t="n">
        <v>4</v>
      </c>
      <c r="M1153" s="2" t="n">
        <v>74</v>
      </c>
    </row>
    <row r="1154" customFormat="false" ht="61.15" hidden="false" customHeight="false" outlineLevel="0" collapsed="false">
      <c r="A1154" s="2" t="s">
        <v>6631</v>
      </c>
      <c r="B1154" s="2" t="s">
        <v>1185</v>
      </c>
      <c r="C1154" s="2" t="s">
        <v>6456</v>
      </c>
      <c r="D1154" s="2" t="s">
        <v>6632</v>
      </c>
      <c r="E1154" s="2" t="s">
        <v>6633</v>
      </c>
      <c r="F1154" s="2" t="s">
        <v>6634</v>
      </c>
      <c r="G1154" s="2" t="s">
        <v>6635</v>
      </c>
      <c r="H1154" s="2" t="s">
        <v>20</v>
      </c>
      <c r="I1154" s="2" t="s">
        <v>6636</v>
      </c>
      <c r="J1154" s="2" t="s">
        <v>6511</v>
      </c>
      <c r="K1154" s="2" t="s">
        <v>1193</v>
      </c>
      <c r="L1154" s="2" t="n">
        <v>4</v>
      </c>
      <c r="M1154" s="2" t="n">
        <v>74</v>
      </c>
    </row>
    <row r="1155" customFormat="false" ht="61.15" hidden="false" customHeight="false" outlineLevel="0" collapsed="false">
      <c r="A1155" s="2" t="s">
        <v>6637</v>
      </c>
      <c r="B1155" s="2" t="s">
        <v>1185</v>
      </c>
      <c r="C1155" s="2" t="s">
        <v>6456</v>
      </c>
      <c r="D1155" s="2" t="s">
        <v>6638</v>
      </c>
      <c r="E1155" s="2" t="s">
        <v>6639</v>
      </c>
      <c r="F1155" s="2" t="s">
        <v>6640</v>
      </c>
      <c r="G1155" s="2" t="s">
        <v>6641</v>
      </c>
      <c r="H1155" s="2" t="s">
        <v>20</v>
      </c>
      <c r="I1155" s="2" t="s">
        <v>6642</v>
      </c>
      <c r="J1155" s="2" t="s">
        <v>6515</v>
      </c>
      <c r="K1155" s="2" t="s">
        <v>1193</v>
      </c>
      <c r="L1155" s="2" t="n">
        <v>4</v>
      </c>
      <c r="M1155" s="2" t="n">
        <v>75</v>
      </c>
    </row>
    <row r="1156" customFormat="false" ht="46.25" hidden="false" customHeight="false" outlineLevel="0" collapsed="false">
      <c r="A1156" s="2" t="s">
        <v>6643</v>
      </c>
      <c r="B1156" s="2" t="s">
        <v>1185</v>
      </c>
      <c r="C1156" s="2" t="s">
        <v>6456</v>
      </c>
      <c r="D1156" s="2" t="s">
        <v>6644</v>
      </c>
      <c r="E1156" s="2" t="s">
        <v>6645</v>
      </c>
      <c r="F1156" s="2" t="s">
        <v>6646</v>
      </c>
      <c r="G1156" s="2" t="s">
        <v>6647</v>
      </c>
      <c r="H1156" s="2" t="s">
        <v>20</v>
      </c>
      <c r="I1156" s="2" t="s">
        <v>6648</v>
      </c>
      <c r="J1156" s="2" t="s">
        <v>6456</v>
      </c>
      <c r="K1156" s="2" t="s">
        <v>1193</v>
      </c>
      <c r="L1156" s="2" t="n">
        <v>1</v>
      </c>
      <c r="M1156" s="2" t="n">
        <v>74</v>
      </c>
    </row>
    <row r="1157" customFormat="false" ht="61.15" hidden="false" customHeight="false" outlineLevel="0" collapsed="false">
      <c r="A1157" s="2" t="s">
        <v>6649</v>
      </c>
      <c r="B1157" s="2" t="s">
        <v>1185</v>
      </c>
      <c r="C1157" s="2" t="s">
        <v>6456</v>
      </c>
      <c r="D1157" s="2" t="s">
        <v>6650</v>
      </c>
      <c r="E1157" s="2" t="s">
        <v>2356</v>
      </c>
      <c r="F1157" s="2" t="s">
        <v>6484</v>
      </c>
      <c r="G1157" s="2" t="s">
        <v>6651</v>
      </c>
      <c r="H1157" s="2" t="s">
        <v>20</v>
      </c>
      <c r="I1157" s="2" t="s">
        <v>6652</v>
      </c>
      <c r="J1157" s="2" t="s">
        <v>6456</v>
      </c>
      <c r="K1157" s="2" t="s">
        <v>1193</v>
      </c>
      <c r="L1157" s="2" t="n">
        <v>2</v>
      </c>
      <c r="M1157" s="2" t="n">
        <v>75</v>
      </c>
    </row>
    <row r="1158" customFormat="false" ht="61.15" hidden="false" customHeight="false" outlineLevel="0" collapsed="false">
      <c r="A1158" s="2" t="s">
        <v>6653</v>
      </c>
      <c r="B1158" s="2" t="s">
        <v>1185</v>
      </c>
      <c r="C1158" s="2" t="s">
        <v>6456</v>
      </c>
      <c r="D1158" s="2" t="s">
        <v>6654</v>
      </c>
      <c r="E1158" s="2" t="s">
        <v>6484</v>
      </c>
      <c r="F1158" s="2" t="s">
        <v>2356</v>
      </c>
      <c r="G1158" s="2" t="s">
        <v>1833</v>
      </c>
      <c r="H1158" s="2" t="s">
        <v>20</v>
      </c>
      <c r="I1158" s="2" t="s">
        <v>6655</v>
      </c>
      <c r="J1158" s="2" t="s">
        <v>6456</v>
      </c>
      <c r="K1158" s="2" t="s">
        <v>1193</v>
      </c>
      <c r="L1158" s="2" t="n">
        <v>2</v>
      </c>
      <c r="M1158" s="2" t="n">
        <v>74</v>
      </c>
    </row>
    <row r="1159" customFormat="false" ht="61.15" hidden="false" customHeight="false" outlineLevel="0" collapsed="false">
      <c r="A1159" s="2" t="s">
        <v>6656</v>
      </c>
      <c r="B1159" s="2" t="s">
        <v>1185</v>
      </c>
      <c r="C1159" s="2" t="s">
        <v>6456</v>
      </c>
      <c r="D1159" s="2" t="s">
        <v>6657</v>
      </c>
      <c r="E1159" s="2" t="s">
        <v>6658</v>
      </c>
      <c r="F1159" s="2" t="s">
        <v>6659</v>
      </c>
      <c r="G1159" s="2" t="s">
        <v>4602</v>
      </c>
      <c r="H1159" s="2" t="s">
        <v>20</v>
      </c>
      <c r="I1159" s="2" t="s">
        <v>6660</v>
      </c>
      <c r="J1159" s="2" t="s">
        <v>6456</v>
      </c>
      <c r="K1159" s="2" t="s">
        <v>1193</v>
      </c>
      <c r="L1159" s="2" t="n">
        <v>2</v>
      </c>
      <c r="M1159" s="2" t="n">
        <v>74</v>
      </c>
    </row>
    <row r="1160" customFormat="false" ht="61.15" hidden="false" customHeight="false" outlineLevel="0" collapsed="false">
      <c r="A1160" s="2" t="s">
        <v>6661</v>
      </c>
      <c r="B1160" s="2" t="s">
        <v>1185</v>
      </c>
      <c r="C1160" s="2" t="s">
        <v>6456</v>
      </c>
      <c r="D1160" s="2" t="s">
        <v>6662</v>
      </c>
      <c r="E1160" s="2" t="s">
        <v>6663</v>
      </c>
      <c r="F1160" s="2" t="s">
        <v>6664</v>
      </c>
      <c r="G1160" s="2" t="s">
        <v>6665</v>
      </c>
      <c r="H1160" s="2" t="s">
        <v>20</v>
      </c>
      <c r="I1160" s="2" t="s">
        <v>6666</v>
      </c>
      <c r="J1160" s="2" t="s">
        <v>6456</v>
      </c>
      <c r="K1160" s="2" t="s">
        <v>1193</v>
      </c>
      <c r="L1160" s="2" t="n">
        <v>2</v>
      </c>
      <c r="M1160" s="2" t="n">
        <v>75</v>
      </c>
    </row>
    <row r="1161" customFormat="false" ht="61.15" hidden="false" customHeight="false" outlineLevel="0" collapsed="false">
      <c r="A1161" s="2" t="s">
        <v>6667</v>
      </c>
      <c r="B1161" s="2" t="s">
        <v>1185</v>
      </c>
      <c r="C1161" s="2" t="s">
        <v>6456</v>
      </c>
      <c r="D1161" s="2" t="s">
        <v>6668</v>
      </c>
      <c r="E1161" s="2" t="s">
        <v>6669</v>
      </c>
      <c r="F1161" s="2" t="s">
        <v>6670</v>
      </c>
      <c r="G1161" s="2" t="s">
        <v>6671</v>
      </c>
      <c r="H1161" s="2" t="s">
        <v>20</v>
      </c>
      <c r="I1161" s="2" t="s">
        <v>6672</v>
      </c>
      <c r="J1161" s="2" t="s">
        <v>6456</v>
      </c>
      <c r="K1161" s="2" t="s">
        <v>1193</v>
      </c>
      <c r="L1161" s="2" t="n">
        <v>2</v>
      </c>
      <c r="M1161" s="2" t="n">
        <v>74</v>
      </c>
    </row>
    <row r="1162" customFormat="false" ht="61.15" hidden="false" customHeight="false" outlineLevel="0" collapsed="false">
      <c r="A1162" s="2" t="s">
        <v>6673</v>
      </c>
      <c r="B1162" s="2" t="s">
        <v>1185</v>
      </c>
      <c r="C1162" s="2" t="s">
        <v>6456</v>
      </c>
      <c r="D1162" s="2" t="s">
        <v>6674</v>
      </c>
      <c r="E1162" s="2" t="s">
        <v>6325</v>
      </c>
      <c r="F1162" s="2" t="s">
        <v>4170</v>
      </c>
      <c r="G1162" s="2" t="s">
        <v>6675</v>
      </c>
      <c r="H1162" s="2" t="s">
        <v>28</v>
      </c>
      <c r="I1162" s="2" t="s">
        <v>6676</v>
      </c>
      <c r="J1162" s="2" t="s">
        <v>6456</v>
      </c>
      <c r="K1162" s="2" t="s">
        <v>1193</v>
      </c>
      <c r="L1162" s="2" t="n">
        <v>2</v>
      </c>
      <c r="M1162" s="2" t="n">
        <v>74</v>
      </c>
    </row>
    <row r="1163" customFormat="false" ht="46.25" hidden="false" customHeight="false" outlineLevel="0" collapsed="false">
      <c r="A1163" s="2" t="s">
        <v>6677</v>
      </c>
      <c r="B1163" s="2" t="s">
        <v>1185</v>
      </c>
      <c r="C1163" s="2" t="s">
        <v>6456</v>
      </c>
      <c r="D1163" s="2" t="s">
        <v>6678</v>
      </c>
      <c r="E1163" s="2" t="s">
        <v>6679</v>
      </c>
      <c r="F1163" s="2" t="s">
        <v>6680</v>
      </c>
      <c r="G1163" s="2" t="s">
        <v>6681</v>
      </c>
      <c r="H1163" s="2" t="s">
        <v>20</v>
      </c>
      <c r="I1163" s="2" t="s">
        <v>6682</v>
      </c>
      <c r="J1163" s="2" t="s">
        <v>6456</v>
      </c>
      <c r="K1163" s="2" t="s">
        <v>1193</v>
      </c>
      <c r="L1163" s="2" t="n">
        <v>2</v>
      </c>
      <c r="M1163" s="2" t="n">
        <v>74</v>
      </c>
    </row>
    <row r="1164" customFormat="false" ht="61.15" hidden="false" customHeight="false" outlineLevel="0" collapsed="false">
      <c r="A1164" s="2" t="s">
        <v>6683</v>
      </c>
      <c r="B1164" s="2" t="s">
        <v>1185</v>
      </c>
      <c r="C1164" s="2" t="s">
        <v>6456</v>
      </c>
      <c r="D1164" s="2" t="s">
        <v>6684</v>
      </c>
      <c r="E1164" s="2" t="s">
        <v>2727</v>
      </c>
      <c r="F1164" s="2" t="s">
        <v>6685</v>
      </c>
      <c r="G1164" s="2" t="s">
        <v>6686</v>
      </c>
      <c r="H1164" s="2" t="s">
        <v>20</v>
      </c>
      <c r="I1164" s="2" t="s">
        <v>6687</v>
      </c>
      <c r="J1164" s="2" t="s">
        <v>6456</v>
      </c>
      <c r="K1164" s="2" t="s">
        <v>1193</v>
      </c>
      <c r="L1164" s="2" t="n">
        <v>3</v>
      </c>
      <c r="M1164" s="2" t="n">
        <v>74</v>
      </c>
    </row>
    <row r="1165" customFormat="false" ht="61.15" hidden="false" customHeight="false" outlineLevel="0" collapsed="false">
      <c r="A1165" s="2" t="s">
        <v>6688</v>
      </c>
      <c r="B1165" s="2" t="s">
        <v>1185</v>
      </c>
      <c r="C1165" s="2" t="s">
        <v>6456</v>
      </c>
      <c r="D1165" s="2" t="s">
        <v>6689</v>
      </c>
      <c r="E1165" s="2" t="s">
        <v>6310</v>
      </c>
      <c r="F1165" s="2" t="s">
        <v>6690</v>
      </c>
      <c r="G1165" s="2" t="s">
        <v>6691</v>
      </c>
      <c r="H1165" s="2" t="s">
        <v>20</v>
      </c>
      <c r="I1165" s="2" t="s">
        <v>6692</v>
      </c>
      <c r="J1165" s="2" t="s">
        <v>6456</v>
      </c>
      <c r="K1165" s="2" t="s">
        <v>1193</v>
      </c>
      <c r="L1165" s="2" t="n">
        <v>3</v>
      </c>
      <c r="M1165" s="2" t="n">
        <v>74</v>
      </c>
    </row>
    <row r="1166" customFormat="false" ht="46.25" hidden="false" customHeight="false" outlineLevel="0" collapsed="false">
      <c r="A1166" s="2" t="s">
        <v>6693</v>
      </c>
      <c r="B1166" s="2" t="s">
        <v>1185</v>
      </c>
      <c r="C1166" s="2" t="s">
        <v>6456</v>
      </c>
      <c r="D1166" s="2" t="s">
        <v>6694</v>
      </c>
      <c r="E1166" s="2" t="s">
        <v>6695</v>
      </c>
      <c r="F1166" s="2" t="s">
        <v>6696</v>
      </c>
      <c r="G1166" s="2" t="s">
        <v>6697</v>
      </c>
      <c r="H1166" s="2" t="s">
        <v>20</v>
      </c>
      <c r="I1166" s="2" t="s">
        <v>6698</v>
      </c>
      <c r="J1166" s="2" t="s">
        <v>6456</v>
      </c>
      <c r="K1166" s="2" t="s">
        <v>1193</v>
      </c>
      <c r="L1166" s="2" t="n">
        <v>2</v>
      </c>
      <c r="M1166" s="2" t="n">
        <v>74</v>
      </c>
    </row>
    <row r="1167" customFormat="false" ht="76.1" hidden="false" customHeight="false" outlineLevel="0" collapsed="false">
      <c r="A1167" s="2" t="s">
        <v>6699</v>
      </c>
      <c r="B1167" s="2" t="s">
        <v>1185</v>
      </c>
      <c r="C1167" s="2" t="s">
        <v>6456</v>
      </c>
      <c r="D1167" s="2" t="s">
        <v>6700</v>
      </c>
      <c r="E1167" s="2" t="s">
        <v>6592</v>
      </c>
      <c r="F1167" s="2" t="s">
        <v>6590</v>
      </c>
      <c r="G1167" s="2" t="s">
        <v>6701</v>
      </c>
      <c r="H1167" s="2" t="s">
        <v>20</v>
      </c>
      <c r="I1167" s="2" t="s">
        <v>6702</v>
      </c>
      <c r="J1167" s="2" t="s">
        <v>6456</v>
      </c>
      <c r="K1167" s="2" t="s">
        <v>1193</v>
      </c>
      <c r="L1167" s="2" t="n">
        <v>2</v>
      </c>
      <c r="M1167" s="2" t="n">
        <v>74</v>
      </c>
    </row>
    <row r="1168" customFormat="false" ht="76.1" hidden="false" customHeight="false" outlineLevel="0" collapsed="false">
      <c r="A1168" s="2" t="s">
        <v>6703</v>
      </c>
      <c r="B1168" s="2" t="s">
        <v>1185</v>
      </c>
      <c r="C1168" s="2" t="s">
        <v>6456</v>
      </c>
      <c r="D1168" s="2" t="s">
        <v>6704</v>
      </c>
      <c r="E1168" s="2" t="s">
        <v>6310</v>
      </c>
      <c r="F1168" s="2" t="s">
        <v>6691</v>
      </c>
      <c r="G1168" s="2" t="s">
        <v>6705</v>
      </c>
      <c r="H1168" s="2" t="s">
        <v>20</v>
      </c>
      <c r="I1168" s="2" t="s">
        <v>6706</v>
      </c>
      <c r="J1168" s="2" t="s">
        <v>6456</v>
      </c>
      <c r="K1168" s="2" t="s">
        <v>1193</v>
      </c>
      <c r="L1168" s="2" t="n">
        <v>3</v>
      </c>
      <c r="M1168" s="2" t="n">
        <v>74</v>
      </c>
    </row>
    <row r="1169" customFormat="false" ht="61.15" hidden="false" customHeight="false" outlineLevel="0" collapsed="false">
      <c r="A1169" s="2" t="s">
        <v>6707</v>
      </c>
      <c r="B1169" s="2" t="s">
        <v>1185</v>
      </c>
      <c r="C1169" s="2" t="s">
        <v>6456</v>
      </c>
      <c r="D1169" s="2" t="s">
        <v>6708</v>
      </c>
      <c r="E1169" s="2" t="s">
        <v>2727</v>
      </c>
      <c r="F1169" s="2" t="s">
        <v>6709</v>
      </c>
      <c r="G1169" s="2" t="s">
        <v>5469</v>
      </c>
      <c r="H1169" s="2" t="s">
        <v>20</v>
      </c>
      <c r="I1169" s="2" t="s">
        <v>6710</v>
      </c>
      <c r="J1169" s="2" t="s">
        <v>6456</v>
      </c>
      <c r="K1169" s="2" t="s">
        <v>1193</v>
      </c>
      <c r="L1169" s="2" t="n">
        <v>2</v>
      </c>
      <c r="M1169" s="2" t="n">
        <v>73</v>
      </c>
    </row>
    <row r="1170" customFormat="false" ht="61.15" hidden="false" customHeight="false" outlineLevel="0" collapsed="false">
      <c r="A1170" s="2" t="s">
        <v>6711</v>
      </c>
      <c r="B1170" s="2" t="s">
        <v>1185</v>
      </c>
      <c r="C1170" s="2" t="s">
        <v>6456</v>
      </c>
      <c r="D1170" s="2" t="s">
        <v>6712</v>
      </c>
      <c r="E1170" s="2" t="s">
        <v>6310</v>
      </c>
      <c r="F1170" s="2" t="s">
        <v>6713</v>
      </c>
      <c r="G1170" s="2" t="s">
        <v>6714</v>
      </c>
      <c r="H1170" s="2" t="s">
        <v>20</v>
      </c>
      <c r="I1170" s="2" t="s">
        <v>6715</v>
      </c>
      <c r="J1170" s="2" t="s">
        <v>6456</v>
      </c>
      <c r="K1170" s="2" t="s">
        <v>1193</v>
      </c>
      <c r="L1170" s="2" t="n">
        <v>2</v>
      </c>
      <c r="M1170" s="2" t="n">
        <v>74</v>
      </c>
    </row>
    <row r="1171" customFormat="false" ht="76.1" hidden="false" customHeight="false" outlineLevel="0" collapsed="false">
      <c r="A1171" s="2" t="s">
        <v>6716</v>
      </c>
      <c r="B1171" s="2" t="s">
        <v>1185</v>
      </c>
      <c r="C1171" s="2" t="s">
        <v>6456</v>
      </c>
      <c r="D1171" s="2" t="s">
        <v>6717</v>
      </c>
      <c r="E1171" s="2" t="s">
        <v>5971</v>
      </c>
      <c r="F1171" s="2" t="s">
        <v>5972</v>
      </c>
      <c r="G1171" s="2" t="s">
        <v>5973</v>
      </c>
      <c r="H1171" s="2" t="s">
        <v>20</v>
      </c>
      <c r="I1171" s="2" t="s">
        <v>6718</v>
      </c>
      <c r="J1171" s="2" t="s">
        <v>6456</v>
      </c>
      <c r="K1171" s="2" t="s">
        <v>1193</v>
      </c>
      <c r="L1171" s="2" t="n">
        <v>3</v>
      </c>
      <c r="M1171" s="2" t="n">
        <v>73</v>
      </c>
    </row>
    <row r="1172" customFormat="false" ht="91" hidden="false" customHeight="false" outlineLevel="0" collapsed="false">
      <c r="A1172" s="2" t="s">
        <v>6719</v>
      </c>
      <c r="B1172" s="2" t="s">
        <v>1185</v>
      </c>
      <c r="C1172" s="2" t="s">
        <v>6456</v>
      </c>
      <c r="D1172" s="2" t="s">
        <v>6720</v>
      </c>
      <c r="E1172" s="2" t="s">
        <v>6721</v>
      </c>
      <c r="F1172" s="2" t="s">
        <v>6722</v>
      </c>
      <c r="G1172" s="2" t="s">
        <v>6723</v>
      </c>
      <c r="H1172" s="2" t="s">
        <v>20</v>
      </c>
      <c r="I1172" s="2" t="s">
        <v>6724</v>
      </c>
      <c r="J1172" s="2" t="s">
        <v>6456</v>
      </c>
      <c r="K1172" s="2" t="s">
        <v>1193</v>
      </c>
      <c r="L1172" s="2" t="n">
        <v>2</v>
      </c>
      <c r="M1172" s="2" t="n">
        <v>74</v>
      </c>
    </row>
    <row r="1173" customFormat="false" ht="46.25" hidden="false" customHeight="false" outlineLevel="0" collapsed="false">
      <c r="A1173" s="2" t="s">
        <v>6725</v>
      </c>
      <c r="B1173" s="2" t="s">
        <v>1185</v>
      </c>
      <c r="C1173" s="2" t="s">
        <v>6456</v>
      </c>
      <c r="D1173" s="2" t="s">
        <v>6726</v>
      </c>
      <c r="E1173" s="2" t="s">
        <v>6727</v>
      </c>
      <c r="F1173" s="2" t="s">
        <v>6728</v>
      </c>
      <c r="G1173" s="2" t="s">
        <v>6729</v>
      </c>
      <c r="H1173" s="2" t="s">
        <v>20</v>
      </c>
      <c r="I1173" s="2" t="s">
        <v>6730</v>
      </c>
      <c r="J1173" s="2" t="s">
        <v>6456</v>
      </c>
      <c r="K1173" s="2" t="s">
        <v>1193</v>
      </c>
      <c r="L1173" s="2" t="n">
        <v>2</v>
      </c>
      <c r="M1173" s="2" t="n">
        <v>74</v>
      </c>
    </row>
    <row r="1174" customFormat="false" ht="76.1" hidden="false" customHeight="false" outlineLevel="0" collapsed="false">
      <c r="A1174" s="2" t="s">
        <v>6731</v>
      </c>
      <c r="B1174" s="2" t="s">
        <v>1185</v>
      </c>
      <c r="C1174" s="2" t="s">
        <v>6456</v>
      </c>
      <c r="D1174" s="2" t="s">
        <v>6732</v>
      </c>
      <c r="E1174" s="2" t="s">
        <v>6733</v>
      </c>
      <c r="F1174" s="2" t="s">
        <v>6734</v>
      </c>
      <c r="G1174" s="2" t="s">
        <v>6735</v>
      </c>
      <c r="H1174" s="2" t="s">
        <v>28</v>
      </c>
      <c r="I1174" s="2" t="s">
        <v>6736</v>
      </c>
      <c r="J1174" s="2" t="s">
        <v>6456</v>
      </c>
      <c r="K1174" s="2" t="s">
        <v>1193</v>
      </c>
      <c r="L1174" s="2" t="n">
        <v>2</v>
      </c>
      <c r="M1174" s="2" t="n">
        <v>74</v>
      </c>
    </row>
    <row r="1175" customFormat="false" ht="76.1" hidden="false" customHeight="false" outlineLevel="0" collapsed="false">
      <c r="A1175" s="2" t="s">
        <v>6737</v>
      </c>
      <c r="B1175" s="2" t="s">
        <v>1185</v>
      </c>
      <c r="C1175" s="2" t="s">
        <v>6456</v>
      </c>
      <c r="D1175" s="2" t="s">
        <v>6738</v>
      </c>
      <c r="E1175" s="2" t="s">
        <v>6739</v>
      </c>
      <c r="F1175" s="2" t="s">
        <v>6740</v>
      </c>
      <c r="G1175" s="2" t="s">
        <v>6741</v>
      </c>
      <c r="H1175" s="2" t="s">
        <v>20</v>
      </c>
      <c r="I1175" s="2" t="s">
        <v>6742</v>
      </c>
      <c r="J1175" s="2" t="s">
        <v>6456</v>
      </c>
      <c r="K1175" s="2" t="s">
        <v>1193</v>
      </c>
      <c r="L1175" s="2" t="n">
        <v>3</v>
      </c>
      <c r="M1175" s="2" t="n">
        <v>74</v>
      </c>
    </row>
    <row r="1176" customFormat="false" ht="61.15" hidden="false" customHeight="false" outlineLevel="0" collapsed="false">
      <c r="A1176" s="2" t="s">
        <v>6743</v>
      </c>
      <c r="B1176" s="2" t="s">
        <v>1185</v>
      </c>
      <c r="C1176" s="2" t="s">
        <v>6456</v>
      </c>
      <c r="D1176" s="2" t="s">
        <v>6744</v>
      </c>
      <c r="E1176" s="2" t="s">
        <v>6745</v>
      </c>
      <c r="F1176" s="2" t="s">
        <v>4596</v>
      </c>
      <c r="G1176" s="2" t="s">
        <v>5085</v>
      </c>
      <c r="H1176" s="2" t="s">
        <v>20</v>
      </c>
      <c r="I1176" s="2" t="s">
        <v>6746</v>
      </c>
      <c r="J1176" s="2" t="s">
        <v>6456</v>
      </c>
      <c r="K1176" s="2" t="s">
        <v>1193</v>
      </c>
      <c r="L1176" s="2" t="n">
        <v>2</v>
      </c>
      <c r="M1176" s="2" t="n">
        <v>74</v>
      </c>
    </row>
    <row r="1177" customFormat="false" ht="105.95" hidden="false" customHeight="false" outlineLevel="0" collapsed="false">
      <c r="A1177" s="2" t="s">
        <v>6747</v>
      </c>
      <c r="B1177" s="2" t="s">
        <v>1185</v>
      </c>
      <c r="C1177" s="2" t="s">
        <v>6456</v>
      </c>
      <c r="D1177" s="2" t="s">
        <v>6748</v>
      </c>
      <c r="E1177" s="2" t="s">
        <v>6283</v>
      </c>
      <c r="F1177" s="2" t="s">
        <v>6749</v>
      </c>
      <c r="G1177" s="2" t="s">
        <v>6750</v>
      </c>
      <c r="H1177" s="2" t="s">
        <v>20</v>
      </c>
      <c r="I1177" s="2" t="s">
        <v>6751</v>
      </c>
      <c r="J1177" s="2" t="s">
        <v>6456</v>
      </c>
      <c r="K1177" s="2" t="s">
        <v>1193</v>
      </c>
      <c r="L1177" s="2" t="n">
        <v>3</v>
      </c>
      <c r="M1177" s="2" t="n">
        <v>74</v>
      </c>
    </row>
    <row r="1178" customFormat="false" ht="61.15" hidden="false" customHeight="false" outlineLevel="0" collapsed="false">
      <c r="A1178" s="2" t="s">
        <v>6752</v>
      </c>
      <c r="B1178" s="2" t="s">
        <v>1185</v>
      </c>
      <c r="C1178" s="2" t="s">
        <v>6753</v>
      </c>
      <c r="D1178" s="2" t="s">
        <v>6754</v>
      </c>
      <c r="E1178" s="2" t="s">
        <v>6755</v>
      </c>
      <c r="F1178" s="2" t="s">
        <v>6756</v>
      </c>
      <c r="G1178" s="2" t="s">
        <v>6757</v>
      </c>
      <c r="H1178" s="2" t="s">
        <v>20</v>
      </c>
      <c r="I1178" s="2" t="s">
        <v>6758</v>
      </c>
      <c r="J1178" s="2" t="s">
        <v>6759</v>
      </c>
      <c r="K1178" s="2" t="s">
        <v>1193</v>
      </c>
      <c r="L1178" s="2" t="n">
        <v>3</v>
      </c>
      <c r="M1178" s="2" t="n">
        <v>78</v>
      </c>
    </row>
    <row r="1179" customFormat="false" ht="46.25" hidden="false" customHeight="false" outlineLevel="0" collapsed="false">
      <c r="A1179" s="2" t="s">
        <v>6760</v>
      </c>
      <c r="B1179" s="2" t="s">
        <v>1185</v>
      </c>
      <c r="C1179" s="2" t="s">
        <v>6753</v>
      </c>
      <c r="D1179" s="2" t="s">
        <v>6761</v>
      </c>
      <c r="E1179" s="2" t="s">
        <v>6762</v>
      </c>
      <c r="F1179" s="2" t="s">
        <v>6763</v>
      </c>
      <c r="G1179" s="2" t="s">
        <v>6764</v>
      </c>
      <c r="H1179" s="2" t="s">
        <v>226</v>
      </c>
      <c r="I1179" s="2" t="s">
        <v>6765</v>
      </c>
      <c r="J1179" s="2" t="s">
        <v>6753</v>
      </c>
      <c r="K1179" s="2" t="s">
        <v>1193</v>
      </c>
      <c r="L1179" s="2" t="n">
        <v>1</v>
      </c>
      <c r="M1179" s="2" t="n">
        <v>78</v>
      </c>
    </row>
    <row r="1180" customFormat="false" ht="76.1" hidden="false" customHeight="false" outlineLevel="0" collapsed="false">
      <c r="A1180" s="2" t="s">
        <v>6766</v>
      </c>
      <c r="B1180" s="2" t="s">
        <v>1185</v>
      </c>
      <c r="C1180" s="2" t="s">
        <v>6753</v>
      </c>
      <c r="D1180" s="2" t="s">
        <v>6767</v>
      </c>
      <c r="E1180" s="2" t="s">
        <v>6768</v>
      </c>
      <c r="F1180" s="2" t="s">
        <v>6769</v>
      </c>
      <c r="G1180" s="2" t="s">
        <v>6770</v>
      </c>
      <c r="H1180" s="2" t="s">
        <v>20</v>
      </c>
      <c r="I1180" s="2" t="s">
        <v>6771</v>
      </c>
      <c r="J1180" s="2" t="s">
        <v>6772</v>
      </c>
      <c r="K1180" s="2" t="s">
        <v>1193</v>
      </c>
      <c r="L1180" s="2" t="n">
        <v>3</v>
      </c>
      <c r="M1180" s="2" t="n">
        <v>15</v>
      </c>
    </row>
    <row r="1181" customFormat="false" ht="46.25" hidden="false" customHeight="false" outlineLevel="0" collapsed="false">
      <c r="A1181" s="2" t="s">
        <v>6773</v>
      </c>
      <c r="B1181" s="2" t="s">
        <v>1185</v>
      </c>
      <c r="C1181" s="2" t="s">
        <v>6753</v>
      </c>
      <c r="D1181" s="2" t="s">
        <v>6774</v>
      </c>
      <c r="E1181" s="2" t="s">
        <v>6775</v>
      </c>
      <c r="F1181" s="2" t="s">
        <v>6776</v>
      </c>
      <c r="G1181" s="2" t="s">
        <v>6777</v>
      </c>
      <c r="H1181" s="2" t="s">
        <v>226</v>
      </c>
      <c r="I1181" s="2" t="s">
        <v>6778</v>
      </c>
      <c r="J1181" s="2" t="s">
        <v>6779</v>
      </c>
      <c r="K1181" s="2" t="s">
        <v>1193</v>
      </c>
      <c r="L1181" s="2" t="n">
        <v>1</v>
      </c>
      <c r="M1181" s="2" t="n">
        <v>77</v>
      </c>
    </row>
    <row r="1182" customFormat="false" ht="46.25" hidden="false" customHeight="false" outlineLevel="0" collapsed="false">
      <c r="A1182" s="2" t="s">
        <v>6780</v>
      </c>
      <c r="B1182" s="2" t="s">
        <v>1185</v>
      </c>
      <c r="C1182" s="2" t="s">
        <v>6753</v>
      </c>
      <c r="D1182" s="2" t="s">
        <v>6781</v>
      </c>
      <c r="E1182" s="2" t="s">
        <v>6782</v>
      </c>
      <c r="F1182" s="2" t="s">
        <v>6783</v>
      </c>
      <c r="G1182" s="2" t="s">
        <v>6784</v>
      </c>
      <c r="H1182" s="2" t="s">
        <v>20</v>
      </c>
      <c r="I1182" s="2" t="s">
        <v>6785</v>
      </c>
      <c r="J1182" s="2" t="s">
        <v>6779</v>
      </c>
      <c r="K1182" s="2" t="s">
        <v>1193</v>
      </c>
      <c r="L1182" s="2" t="n">
        <v>2</v>
      </c>
      <c r="M1182" s="2" t="n">
        <v>77</v>
      </c>
    </row>
    <row r="1183" customFormat="false" ht="91" hidden="false" customHeight="false" outlineLevel="0" collapsed="false">
      <c r="A1183" s="2" t="s">
        <v>6786</v>
      </c>
      <c r="B1183" s="2" t="s">
        <v>1185</v>
      </c>
      <c r="C1183" s="2" t="s">
        <v>6753</v>
      </c>
      <c r="D1183" s="2" t="s">
        <v>6787</v>
      </c>
      <c r="E1183" s="2" t="s">
        <v>6788</v>
      </c>
      <c r="F1183" s="2" t="s">
        <v>6789</v>
      </c>
      <c r="G1183" s="2" t="s">
        <v>6790</v>
      </c>
      <c r="H1183" s="2" t="s">
        <v>20</v>
      </c>
      <c r="I1183" s="2" t="s">
        <v>6791</v>
      </c>
      <c r="J1183" s="2" t="s">
        <v>6779</v>
      </c>
      <c r="K1183" s="2" t="s">
        <v>1193</v>
      </c>
      <c r="L1183" s="2" t="n">
        <v>3</v>
      </c>
      <c r="M1183" s="2" t="n">
        <v>78</v>
      </c>
    </row>
    <row r="1184" customFormat="false" ht="91" hidden="false" customHeight="false" outlineLevel="0" collapsed="false">
      <c r="A1184" s="2" t="s">
        <v>6792</v>
      </c>
      <c r="B1184" s="2" t="s">
        <v>1185</v>
      </c>
      <c r="C1184" s="2" t="s">
        <v>6753</v>
      </c>
      <c r="D1184" s="2" t="s">
        <v>6793</v>
      </c>
      <c r="E1184" s="2" t="s">
        <v>6794</v>
      </c>
      <c r="F1184" s="2" t="s">
        <v>6795</v>
      </c>
      <c r="G1184" s="2" t="s">
        <v>6796</v>
      </c>
      <c r="H1184" s="2" t="s">
        <v>20</v>
      </c>
      <c r="I1184" s="2" t="s">
        <v>6797</v>
      </c>
      <c r="J1184" s="2" t="s">
        <v>6779</v>
      </c>
      <c r="K1184" s="2" t="s">
        <v>1193</v>
      </c>
      <c r="L1184" s="2" t="n">
        <v>3</v>
      </c>
      <c r="M1184" s="2" t="n">
        <v>77</v>
      </c>
    </row>
    <row r="1185" customFormat="false" ht="46.25" hidden="false" customHeight="false" outlineLevel="0" collapsed="false">
      <c r="A1185" s="2" t="s">
        <v>6798</v>
      </c>
      <c r="B1185" s="2" t="s">
        <v>1185</v>
      </c>
      <c r="C1185" s="2" t="s">
        <v>6753</v>
      </c>
      <c r="D1185" s="2" t="s">
        <v>6799</v>
      </c>
      <c r="E1185" s="2" t="s">
        <v>6800</v>
      </c>
      <c r="F1185" s="2" t="s">
        <v>6801</v>
      </c>
      <c r="G1185" s="2" t="s">
        <v>6802</v>
      </c>
      <c r="H1185" s="2" t="s">
        <v>20</v>
      </c>
      <c r="I1185" s="2" t="s">
        <v>6803</v>
      </c>
      <c r="J1185" s="2" t="s">
        <v>6804</v>
      </c>
      <c r="K1185" s="2" t="s">
        <v>1193</v>
      </c>
      <c r="L1185" s="2" t="n">
        <v>1</v>
      </c>
      <c r="M1185" s="2" t="n">
        <v>77</v>
      </c>
    </row>
    <row r="1186" customFormat="false" ht="61.15" hidden="false" customHeight="false" outlineLevel="0" collapsed="false">
      <c r="A1186" s="2" t="s">
        <v>6805</v>
      </c>
      <c r="B1186" s="2" t="s">
        <v>1185</v>
      </c>
      <c r="C1186" s="2" t="s">
        <v>6753</v>
      </c>
      <c r="D1186" s="2" t="s">
        <v>6806</v>
      </c>
      <c r="E1186" s="2" t="s">
        <v>6807</v>
      </c>
      <c r="F1186" s="2" t="s">
        <v>6808</v>
      </c>
      <c r="G1186" s="2" t="s">
        <v>6809</v>
      </c>
      <c r="H1186" s="2" t="s">
        <v>20</v>
      </c>
      <c r="I1186" s="2" t="s">
        <v>6810</v>
      </c>
      <c r="J1186" s="2" t="s">
        <v>6772</v>
      </c>
      <c r="K1186" s="2" t="s">
        <v>1193</v>
      </c>
      <c r="L1186" s="2" t="n">
        <v>3</v>
      </c>
      <c r="M1186" s="2" t="n">
        <v>15</v>
      </c>
    </row>
    <row r="1187" customFormat="false" ht="46.25" hidden="false" customHeight="false" outlineLevel="0" collapsed="false">
      <c r="A1187" s="2" t="s">
        <v>6811</v>
      </c>
      <c r="B1187" s="2" t="s">
        <v>1185</v>
      </c>
      <c r="C1187" s="2" t="s">
        <v>6753</v>
      </c>
      <c r="D1187" s="2" t="s">
        <v>6812</v>
      </c>
      <c r="E1187" s="2" t="s">
        <v>4170</v>
      </c>
      <c r="F1187" s="2" t="s">
        <v>6813</v>
      </c>
      <c r="G1187" s="2" t="s">
        <v>6814</v>
      </c>
      <c r="H1187" s="2" t="s">
        <v>20</v>
      </c>
      <c r="I1187" s="2" t="s">
        <v>6815</v>
      </c>
      <c r="J1187" s="2" t="s">
        <v>6804</v>
      </c>
      <c r="K1187" s="2" t="s">
        <v>1193</v>
      </c>
      <c r="L1187" s="2" t="n">
        <v>2</v>
      </c>
      <c r="M1187" s="2" t="n">
        <v>77</v>
      </c>
    </row>
    <row r="1188" customFormat="false" ht="46.25" hidden="false" customHeight="false" outlineLevel="0" collapsed="false">
      <c r="A1188" s="2" t="s">
        <v>6816</v>
      </c>
      <c r="B1188" s="2" t="s">
        <v>1185</v>
      </c>
      <c r="C1188" s="2" t="s">
        <v>6753</v>
      </c>
      <c r="D1188" s="2" t="s">
        <v>6817</v>
      </c>
      <c r="E1188" s="2" t="s">
        <v>6226</v>
      </c>
      <c r="F1188" s="2" t="s">
        <v>6314</v>
      </c>
      <c r="G1188" s="2" t="s">
        <v>6315</v>
      </c>
      <c r="H1188" s="2" t="s">
        <v>226</v>
      </c>
      <c r="I1188" s="2" t="s">
        <v>6818</v>
      </c>
      <c r="J1188" s="2" t="s">
        <v>6804</v>
      </c>
      <c r="K1188" s="2" t="s">
        <v>1193</v>
      </c>
      <c r="L1188" s="2" t="n">
        <v>1</v>
      </c>
      <c r="M1188" s="2" t="n">
        <v>77</v>
      </c>
    </row>
    <row r="1189" customFormat="false" ht="46.25" hidden="false" customHeight="false" outlineLevel="0" collapsed="false">
      <c r="A1189" s="2" t="s">
        <v>6819</v>
      </c>
      <c r="B1189" s="2" t="s">
        <v>1185</v>
      </c>
      <c r="C1189" s="2" t="s">
        <v>6753</v>
      </c>
      <c r="D1189" s="2" t="s">
        <v>6820</v>
      </c>
      <c r="E1189" s="2" t="s">
        <v>6821</v>
      </c>
      <c r="F1189" s="2" t="s">
        <v>6822</v>
      </c>
      <c r="G1189" s="2" t="s">
        <v>6329</v>
      </c>
      <c r="H1189" s="2" t="s">
        <v>20</v>
      </c>
      <c r="I1189" s="2" t="s">
        <v>6823</v>
      </c>
      <c r="J1189" s="2" t="s">
        <v>6804</v>
      </c>
      <c r="K1189" s="2" t="s">
        <v>1193</v>
      </c>
      <c r="L1189" s="2" t="n">
        <v>2</v>
      </c>
      <c r="M1189" s="2" t="n">
        <v>77</v>
      </c>
    </row>
    <row r="1190" customFormat="false" ht="31.3" hidden="false" customHeight="false" outlineLevel="0" collapsed="false">
      <c r="A1190" s="2" t="s">
        <v>6824</v>
      </c>
      <c r="B1190" s="2" t="s">
        <v>1185</v>
      </c>
      <c r="C1190" s="2" t="s">
        <v>6753</v>
      </c>
      <c r="D1190" s="2" t="s">
        <v>6825</v>
      </c>
      <c r="E1190" s="2" t="s">
        <v>6826</v>
      </c>
      <c r="F1190" s="2" t="s">
        <v>6827</v>
      </c>
      <c r="G1190" s="2" t="s">
        <v>6828</v>
      </c>
      <c r="H1190" s="2" t="s">
        <v>226</v>
      </c>
      <c r="I1190" s="2" t="s">
        <v>6829</v>
      </c>
      <c r="J1190" s="2" t="s">
        <v>6804</v>
      </c>
      <c r="K1190" s="2" t="s">
        <v>1193</v>
      </c>
      <c r="L1190" s="2" t="n">
        <v>1</v>
      </c>
      <c r="M1190" s="2" t="n">
        <v>77</v>
      </c>
    </row>
    <row r="1191" customFormat="false" ht="76.1" hidden="false" customHeight="false" outlineLevel="0" collapsed="false">
      <c r="A1191" s="2" t="s">
        <v>6830</v>
      </c>
      <c r="B1191" s="2" t="s">
        <v>1185</v>
      </c>
      <c r="C1191" s="2" t="s">
        <v>6753</v>
      </c>
      <c r="D1191" s="2" t="s">
        <v>6831</v>
      </c>
      <c r="E1191" s="2" t="s">
        <v>4156</v>
      </c>
      <c r="F1191" s="2" t="s">
        <v>6832</v>
      </c>
      <c r="G1191" s="2" t="s">
        <v>6833</v>
      </c>
      <c r="H1191" s="2" t="s">
        <v>20</v>
      </c>
      <c r="I1191" s="2" t="s">
        <v>6834</v>
      </c>
      <c r="J1191" s="2" t="s">
        <v>6804</v>
      </c>
      <c r="K1191" s="2" t="s">
        <v>1193</v>
      </c>
      <c r="L1191" s="2" t="n">
        <v>3</v>
      </c>
      <c r="M1191" s="2" t="n">
        <v>78</v>
      </c>
    </row>
    <row r="1192" customFormat="false" ht="91" hidden="false" customHeight="false" outlineLevel="0" collapsed="false">
      <c r="A1192" s="2" t="s">
        <v>6835</v>
      </c>
      <c r="B1192" s="2" t="s">
        <v>1185</v>
      </c>
      <c r="C1192" s="2" t="s">
        <v>6753</v>
      </c>
      <c r="D1192" s="2" t="s">
        <v>6836</v>
      </c>
      <c r="E1192" s="2" t="s">
        <v>6837</v>
      </c>
      <c r="F1192" s="2" t="s">
        <v>6838</v>
      </c>
      <c r="G1192" s="2" t="s">
        <v>6839</v>
      </c>
      <c r="H1192" s="2" t="s">
        <v>20</v>
      </c>
      <c r="I1192" s="2" t="s">
        <v>6840</v>
      </c>
      <c r="J1192" s="2" t="s">
        <v>6841</v>
      </c>
      <c r="K1192" s="2" t="s">
        <v>1193</v>
      </c>
      <c r="L1192" s="2" t="n">
        <v>2</v>
      </c>
      <c r="M1192" s="2" t="n">
        <v>78</v>
      </c>
    </row>
    <row r="1193" customFormat="false" ht="91" hidden="false" customHeight="false" outlineLevel="0" collapsed="false">
      <c r="A1193" s="2" t="s">
        <v>6842</v>
      </c>
      <c r="B1193" s="2" t="s">
        <v>1185</v>
      </c>
      <c r="C1193" s="2" t="s">
        <v>6753</v>
      </c>
      <c r="D1193" s="2" t="s">
        <v>6843</v>
      </c>
      <c r="E1193" s="2" t="s">
        <v>6844</v>
      </c>
      <c r="F1193" s="2" t="s">
        <v>6845</v>
      </c>
      <c r="G1193" s="2" t="s">
        <v>6846</v>
      </c>
      <c r="H1193" s="2" t="s">
        <v>20</v>
      </c>
      <c r="I1193" s="2" t="s">
        <v>6847</v>
      </c>
      <c r="J1193" s="2" t="s">
        <v>6841</v>
      </c>
      <c r="K1193" s="2" t="s">
        <v>1193</v>
      </c>
      <c r="L1193" s="2" t="n">
        <v>3</v>
      </c>
      <c r="M1193" s="2" t="n">
        <v>78</v>
      </c>
    </row>
    <row r="1194" customFormat="false" ht="91" hidden="false" customHeight="false" outlineLevel="0" collapsed="false">
      <c r="A1194" s="2" t="s">
        <v>6848</v>
      </c>
      <c r="B1194" s="2" t="s">
        <v>1185</v>
      </c>
      <c r="C1194" s="2" t="s">
        <v>6753</v>
      </c>
      <c r="D1194" s="2" t="s">
        <v>6849</v>
      </c>
      <c r="E1194" s="2" t="s">
        <v>6850</v>
      </c>
      <c r="F1194" s="2" t="s">
        <v>6832</v>
      </c>
      <c r="G1194" s="2" t="s">
        <v>6851</v>
      </c>
      <c r="H1194" s="2" t="s">
        <v>20</v>
      </c>
      <c r="I1194" s="2" t="s">
        <v>6852</v>
      </c>
      <c r="J1194" s="2" t="s">
        <v>6841</v>
      </c>
      <c r="K1194" s="2" t="s">
        <v>1193</v>
      </c>
      <c r="L1194" s="2" t="n">
        <v>3</v>
      </c>
      <c r="M1194" s="2" t="n">
        <v>78</v>
      </c>
    </row>
    <row r="1195" customFormat="false" ht="61.15" hidden="false" customHeight="false" outlineLevel="0" collapsed="false">
      <c r="A1195" s="2" t="s">
        <v>6853</v>
      </c>
      <c r="B1195" s="2" t="s">
        <v>1185</v>
      </c>
      <c r="C1195" s="2" t="s">
        <v>6753</v>
      </c>
      <c r="D1195" s="2" t="s">
        <v>6854</v>
      </c>
      <c r="E1195" s="2" t="s">
        <v>6855</v>
      </c>
      <c r="F1195" s="2" t="s">
        <v>6856</v>
      </c>
      <c r="G1195" s="2" t="s">
        <v>6857</v>
      </c>
      <c r="H1195" s="2" t="s">
        <v>20</v>
      </c>
      <c r="I1195" s="2" t="s">
        <v>6858</v>
      </c>
      <c r="J1195" s="2" t="s">
        <v>6841</v>
      </c>
      <c r="K1195" s="2" t="s">
        <v>1193</v>
      </c>
      <c r="L1195" s="2" t="n">
        <v>2</v>
      </c>
      <c r="M1195" s="2" t="n">
        <v>78</v>
      </c>
    </row>
    <row r="1196" customFormat="false" ht="61.15" hidden="false" customHeight="false" outlineLevel="0" collapsed="false">
      <c r="A1196" s="2" t="s">
        <v>6859</v>
      </c>
      <c r="B1196" s="2" t="s">
        <v>1185</v>
      </c>
      <c r="C1196" s="2" t="s">
        <v>6753</v>
      </c>
      <c r="D1196" s="2" t="s">
        <v>6860</v>
      </c>
      <c r="E1196" s="2" t="s">
        <v>6861</v>
      </c>
      <c r="F1196" s="2" t="s">
        <v>6862</v>
      </c>
      <c r="G1196" s="2" t="s">
        <v>6863</v>
      </c>
      <c r="H1196" s="2" t="s">
        <v>226</v>
      </c>
      <c r="I1196" s="2" t="s">
        <v>6864</v>
      </c>
      <c r="J1196" s="2" t="s">
        <v>6841</v>
      </c>
      <c r="K1196" s="2" t="s">
        <v>1193</v>
      </c>
      <c r="L1196" s="2" t="n">
        <v>3</v>
      </c>
      <c r="M1196" s="2" t="n">
        <v>78</v>
      </c>
    </row>
    <row r="1197" customFormat="false" ht="61.15" hidden="false" customHeight="false" outlineLevel="0" collapsed="false">
      <c r="A1197" s="2" t="s">
        <v>6865</v>
      </c>
      <c r="B1197" s="2" t="s">
        <v>1185</v>
      </c>
      <c r="C1197" s="2" t="s">
        <v>6753</v>
      </c>
      <c r="D1197" s="2" t="s">
        <v>6866</v>
      </c>
      <c r="E1197" s="2" t="s">
        <v>6867</v>
      </c>
      <c r="F1197" s="2" t="s">
        <v>6868</v>
      </c>
      <c r="G1197" s="2" t="s">
        <v>6869</v>
      </c>
      <c r="H1197" s="2" t="s">
        <v>28</v>
      </c>
      <c r="I1197" s="2" t="s">
        <v>6870</v>
      </c>
      <c r="J1197" s="2" t="s">
        <v>6841</v>
      </c>
      <c r="K1197" s="2" t="s">
        <v>1193</v>
      </c>
      <c r="L1197" s="2" t="n">
        <v>2</v>
      </c>
      <c r="M1197" s="2" t="n">
        <v>78</v>
      </c>
    </row>
    <row r="1198" customFormat="false" ht="46.25" hidden="false" customHeight="false" outlineLevel="0" collapsed="false">
      <c r="A1198" s="2" t="s">
        <v>6871</v>
      </c>
      <c r="B1198" s="2" t="s">
        <v>1185</v>
      </c>
      <c r="C1198" s="2" t="s">
        <v>6753</v>
      </c>
      <c r="D1198" s="2" t="s">
        <v>6872</v>
      </c>
      <c r="E1198" s="2" t="s">
        <v>4170</v>
      </c>
      <c r="F1198" s="2" t="s">
        <v>6814</v>
      </c>
      <c r="G1198" s="2" t="s">
        <v>4172</v>
      </c>
      <c r="H1198" s="2" t="s">
        <v>226</v>
      </c>
      <c r="I1198" s="2" t="s">
        <v>6873</v>
      </c>
      <c r="J1198" s="2" t="s">
        <v>6841</v>
      </c>
      <c r="K1198" s="2" t="s">
        <v>1193</v>
      </c>
      <c r="L1198" s="2" t="n">
        <v>3</v>
      </c>
      <c r="M1198" s="2" t="n">
        <v>78</v>
      </c>
    </row>
    <row r="1199" customFormat="false" ht="76.1" hidden="false" customHeight="false" outlineLevel="0" collapsed="false">
      <c r="A1199" s="2" t="s">
        <v>6874</v>
      </c>
      <c r="B1199" s="2" t="s">
        <v>1185</v>
      </c>
      <c r="C1199" s="2" t="s">
        <v>6753</v>
      </c>
      <c r="D1199" s="2" t="s">
        <v>6875</v>
      </c>
      <c r="E1199" s="2" t="s">
        <v>6876</v>
      </c>
      <c r="F1199" s="2" t="s">
        <v>6868</v>
      </c>
      <c r="G1199" s="2" t="s">
        <v>6193</v>
      </c>
      <c r="H1199" s="2" t="s">
        <v>28</v>
      </c>
      <c r="I1199" s="2" t="s">
        <v>6877</v>
      </c>
      <c r="J1199" s="2" t="s">
        <v>6878</v>
      </c>
      <c r="K1199" s="2" t="s">
        <v>1193</v>
      </c>
      <c r="L1199" s="2" t="n">
        <v>3</v>
      </c>
      <c r="M1199" s="2" t="n">
        <v>78</v>
      </c>
    </row>
    <row r="1200" customFormat="false" ht="46.25" hidden="false" customHeight="false" outlineLevel="0" collapsed="false">
      <c r="A1200" s="2" t="s">
        <v>6879</v>
      </c>
      <c r="B1200" s="2" t="s">
        <v>1185</v>
      </c>
      <c r="C1200" s="2" t="s">
        <v>6753</v>
      </c>
      <c r="D1200" s="2" t="s">
        <v>6880</v>
      </c>
      <c r="E1200" s="2" t="s">
        <v>6881</v>
      </c>
      <c r="F1200" s="2" t="s">
        <v>6882</v>
      </c>
      <c r="G1200" s="2" t="s">
        <v>6883</v>
      </c>
      <c r="H1200" s="2" t="s">
        <v>20</v>
      </c>
      <c r="I1200" s="2" t="s">
        <v>6884</v>
      </c>
      <c r="J1200" s="2" t="s">
        <v>6753</v>
      </c>
      <c r="K1200" s="2" t="s">
        <v>1193</v>
      </c>
      <c r="L1200" s="2" t="n">
        <v>1</v>
      </c>
      <c r="M1200" s="2" t="n">
        <v>77</v>
      </c>
    </row>
    <row r="1201" customFormat="false" ht="76.1" hidden="false" customHeight="false" outlineLevel="0" collapsed="false">
      <c r="A1201" s="2" t="s">
        <v>6885</v>
      </c>
      <c r="B1201" s="2" t="s">
        <v>1185</v>
      </c>
      <c r="C1201" s="2" t="s">
        <v>6753</v>
      </c>
      <c r="D1201" s="2" t="s">
        <v>6886</v>
      </c>
      <c r="E1201" s="2" t="s">
        <v>6822</v>
      </c>
      <c r="F1201" s="2" t="s">
        <v>4156</v>
      </c>
      <c r="G1201" s="2" t="s">
        <v>6887</v>
      </c>
      <c r="H1201" s="2" t="s">
        <v>20</v>
      </c>
      <c r="I1201" s="2" t="s">
        <v>6888</v>
      </c>
      <c r="J1201" s="2" t="s">
        <v>6889</v>
      </c>
      <c r="K1201" s="2" t="s">
        <v>1193</v>
      </c>
      <c r="L1201" s="2" t="n">
        <v>2</v>
      </c>
      <c r="M1201" s="2" t="n">
        <v>77</v>
      </c>
    </row>
    <row r="1202" customFormat="false" ht="61.15" hidden="false" customHeight="false" outlineLevel="0" collapsed="false">
      <c r="A1202" s="2" t="s">
        <v>6890</v>
      </c>
      <c r="B1202" s="2" t="s">
        <v>1185</v>
      </c>
      <c r="C1202" s="2" t="s">
        <v>6753</v>
      </c>
      <c r="D1202" s="2" t="s">
        <v>6891</v>
      </c>
      <c r="E1202" s="2" t="s">
        <v>6892</v>
      </c>
      <c r="F1202" s="2" t="s">
        <v>6893</v>
      </c>
      <c r="G1202" s="2" t="s">
        <v>6894</v>
      </c>
      <c r="H1202" s="2" t="s">
        <v>20</v>
      </c>
      <c r="I1202" s="2" t="s">
        <v>6895</v>
      </c>
      <c r="J1202" s="2" t="s">
        <v>6753</v>
      </c>
      <c r="K1202" s="2" t="s">
        <v>1193</v>
      </c>
      <c r="L1202" s="2" t="n">
        <v>2</v>
      </c>
      <c r="M1202" s="2" t="n">
        <v>78</v>
      </c>
    </row>
    <row r="1203" customFormat="false" ht="61.15" hidden="false" customHeight="false" outlineLevel="0" collapsed="false">
      <c r="A1203" s="2" t="s">
        <v>6896</v>
      </c>
      <c r="B1203" s="2" t="s">
        <v>1185</v>
      </c>
      <c r="C1203" s="2" t="s">
        <v>6753</v>
      </c>
      <c r="D1203" s="2" t="s">
        <v>6897</v>
      </c>
      <c r="E1203" s="2" t="s">
        <v>6898</v>
      </c>
      <c r="F1203" s="2" t="s">
        <v>6899</v>
      </c>
      <c r="G1203" s="2" t="s">
        <v>6900</v>
      </c>
      <c r="H1203" s="2" t="s">
        <v>20</v>
      </c>
      <c r="I1203" s="2" t="s">
        <v>6901</v>
      </c>
      <c r="J1203" s="2" t="s">
        <v>6753</v>
      </c>
      <c r="K1203" s="2" t="s">
        <v>1193</v>
      </c>
      <c r="L1203" s="2" t="n">
        <v>2</v>
      </c>
      <c r="M1203" s="2" t="n">
        <v>77</v>
      </c>
    </row>
    <row r="1204" customFormat="false" ht="46.25" hidden="false" customHeight="false" outlineLevel="0" collapsed="false">
      <c r="A1204" s="2" t="s">
        <v>6902</v>
      </c>
      <c r="B1204" s="2" t="s">
        <v>1185</v>
      </c>
      <c r="C1204" s="2" t="s">
        <v>6753</v>
      </c>
      <c r="D1204" s="2" t="s">
        <v>6903</v>
      </c>
      <c r="E1204" s="2" t="s">
        <v>6904</v>
      </c>
      <c r="F1204" s="2" t="s">
        <v>6905</v>
      </c>
      <c r="G1204" s="2" t="s">
        <v>6906</v>
      </c>
      <c r="H1204" s="2" t="s">
        <v>20</v>
      </c>
      <c r="I1204" s="2" t="s">
        <v>6907</v>
      </c>
      <c r="J1204" s="2" t="s">
        <v>6753</v>
      </c>
      <c r="K1204" s="2" t="s">
        <v>1193</v>
      </c>
      <c r="L1204" s="2" t="n">
        <v>1</v>
      </c>
      <c r="M1204" s="2" t="n">
        <v>78</v>
      </c>
    </row>
    <row r="1205" customFormat="false" ht="61.15" hidden="false" customHeight="false" outlineLevel="0" collapsed="false">
      <c r="A1205" s="2" t="s">
        <v>6908</v>
      </c>
      <c r="B1205" s="2" t="s">
        <v>1185</v>
      </c>
      <c r="C1205" s="2" t="s">
        <v>6753</v>
      </c>
      <c r="D1205" s="2" t="s">
        <v>6909</v>
      </c>
      <c r="E1205" s="2" t="s">
        <v>4170</v>
      </c>
      <c r="F1205" s="2" t="s">
        <v>3995</v>
      </c>
      <c r="G1205" s="2" t="s">
        <v>3993</v>
      </c>
      <c r="H1205" s="2" t="s">
        <v>28</v>
      </c>
      <c r="I1205" s="2" t="s">
        <v>6910</v>
      </c>
      <c r="J1205" s="2" t="s">
        <v>6753</v>
      </c>
      <c r="K1205" s="2" t="s">
        <v>1193</v>
      </c>
      <c r="L1205" s="2" t="n">
        <v>2</v>
      </c>
      <c r="M1205" s="2" t="n">
        <v>78</v>
      </c>
    </row>
    <row r="1206" customFormat="false" ht="46.25" hidden="false" customHeight="false" outlineLevel="0" collapsed="false">
      <c r="A1206" s="2" t="s">
        <v>6911</v>
      </c>
      <c r="B1206" s="2" t="s">
        <v>1185</v>
      </c>
      <c r="C1206" s="2" t="s">
        <v>6753</v>
      </c>
      <c r="D1206" s="2" t="s">
        <v>6912</v>
      </c>
      <c r="E1206" s="2" t="s">
        <v>6913</v>
      </c>
      <c r="F1206" s="2" t="s">
        <v>6914</v>
      </c>
      <c r="G1206" s="2" t="s">
        <v>6915</v>
      </c>
      <c r="H1206" s="2" t="s">
        <v>20</v>
      </c>
      <c r="I1206" s="2" t="s">
        <v>6916</v>
      </c>
      <c r="J1206" s="2" t="s">
        <v>6753</v>
      </c>
      <c r="K1206" s="2" t="s">
        <v>1193</v>
      </c>
      <c r="L1206" s="2" t="n">
        <v>1</v>
      </c>
      <c r="M1206" s="2" t="n">
        <v>77</v>
      </c>
    </row>
    <row r="1207" customFormat="false" ht="61.15" hidden="false" customHeight="false" outlineLevel="0" collapsed="false">
      <c r="A1207" s="2" t="s">
        <v>6917</v>
      </c>
      <c r="B1207" s="2" t="s">
        <v>1185</v>
      </c>
      <c r="C1207" s="2" t="s">
        <v>6753</v>
      </c>
      <c r="D1207" s="2" t="s">
        <v>6918</v>
      </c>
      <c r="E1207" s="2" t="s">
        <v>6919</v>
      </c>
      <c r="F1207" s="2" t="s">
        <v>6920</v>
      </c>
      <c r="G1207" s="2" t="s">
        <v>6921</v>
      </c>
      <c r="H1207" s="2" t="s">
        <v>20</v>
      </c>
      <c r="I1207" s="2" t="s">
        <v>6922</v>
      </c>
      <c r="J1207" s="2" t="s">
        <v>6753</v>
      </c>
      <c r="K1207" s="2" t="s">
        <v>1193</v>
      </c>
      <c r="L1207" s="2" t="n">
        <v>2</v>
      </c>
      <c r="M1207" s="2" t="n">
        <v>78</v>
      </c>
    </row>
    <row r="1208" customFormat="false" ht="105.95" hidden="false" customHeight="false" outlineLevel="0" collapsed="false">
      <c r="A1208" s="2" t="s">
        <v>6923</v>
      </c>
      <c r="B1208" s="2" t="s">
        <v>1185</v>
      </c>
      <c r="C1208" s="2" t="s">
        <v>6753</v>
      </c>
      <c r="D1208" s="2" t="s">
        <v>6924</v>
      </c>
      <c r="E1208" s="2" t="s">
        <v>6925</v>
      </c>
      <c r="F1208" s="2" t="s">
        <v>6926</v>
      </c>
      <c r="G1208" s="2" t="s">
        <v>6927</v>
      </c>
      <c r="H1208" s="2" t="s">
        <v>20</v>
      </c>
      <c r="I1208" s="2" t="s">
        <v>6928</v>
      </c>
      <c r="J1208" s="2" t="s">
        <v>6753</v>
      </c>
      <c r="K1208" s="2" t="s">
        <v>1193</v>
      </c>
      <c r="L1208" s="2" t="n">
        <v>2</v>
      </c>
      <c r="M1208" s="2" t="n">
        <v>77</v>
      </c>
    </row>
    <row r="1209" customFormat="false" ht="31.3" hidden="false" customHeight="false" outlineLevel="0" collapsed="false">
      <c r="A1209" s="2" t="s">
        <v>6929</v>
      </c>
      <c r="B1209" s="2" t="s">
        <v>1185</v>
      </c>
      <c r="C1209" s="2" t="s">
        <v>6753</v>
      </c>
      <c r="D1209" s="2" t="s">
        <v>6930</v>
      </c>
      <c r="E1209" s="2" t="s">
        <v>6931</v>
      </c>
      <c r="F1209" s="2" t="s">
        <v>6932</v>
      </c>
      <c r="G1209" s="2" t="s">
        <v>6933</v>
      </c>
      <c r="H1209" s="2" t="s">
        <v>20</v>
      </c>
      <c r="I1209" s="2" t="s">
        <v>6934</v>
      </c>
      <c r="J1209" s="2" t="s">
        <v>6753</v>
      </c>
      <c r="K1209" s="2" t="s">
        <v>1193</v>
      </c>
      <c r="L1209" s="2" t="n">
        <v>2</v>
      </c>
      <c r="M1209" s="2" t="n">
        <v>77</v>
      </c>
    </row>
    <row r="1210" customFormat="false" ht="76.1" hidden="false" customHeight="false" outlineLevel="0" collapsed="false">
      <c r="A1210" s="2" t="s">
        <v>6935</v>
      </c>
      <c r="B1210" s="2" t="s">
        <v>1185</v>
      </c>
      <c r="C1210" s="2" t="s">
        <v>6753</v>
      </c>
      <c r="D1210" s="2" t="s">
        <v>6936</v>
      </c>
      <c r="E1210" s="2" t="s">
        <v>6937</v>
      </c>
      <c r="F1210" s="2" t="s">
        <v>6938</v>
      </c>
      <c r="G1210" s="2" t="s">
        <v>4305</v>
      </c>
      <c r="H1210" s="2" t="s">
        <v>20</v>
      </c>
      <c r="I1210" s="2" t="s">
        <v>6939</v>
      </c>
      <c r="J1210" s="2" t="s">
        <v>3014</v>
      </c>
      <c r="K1210" s="2" t="s">
        <v>1193</v>
      </c>
      <c r="L1210" s="2" t="n">
        <v>3</v>
      </c>
      <c r="M1210" s="2" t="n">
        <v>41</v>
      </c>
    </row>
    <row r="1211" customFormat="false" ht="61.15" hidden="false" customHeight="false" outlineLevel="0" collapsed="false">
      <c r="A1211" s="2" t="s">
        <v>6940</v>
      </c>
      <c r="B1211" s="2" t="s">
        <v>1185</v>
      </c>
      <c r="C1211" s="2" t="s">
        <v>6753</v>
      </c>
      <c r="D1211" s="2" t="s">
        <v>6941</v>
      </c>
      <c r="E1211" s="2" t="s">
        <v>2940</v>
      </c>
      <c r="F1211" s="2" t="s">
        <v>6942</v>
      </c>
      <c r="G1211" s="2" t="s">
        <v>6943</v>
      </c>
      <c r="H1211" s="2" t="s">
        <v>20</v>
      </c>
      <c r="I1211" s="2" t="s">
        <v>6944</v>
      </c>
      <c r="J1211" s="2" t="s">
        <v>6753</v>
      </c>
      <c r="K1211" s="2" t="s">
        <v>1193</v>
      </c>
      <c r="L1211" s="2" t="n">
        <v>2</v>
      </c>
      <c r="M1211" s="2" t="n">
        <v>77</v>
      </c>
    </row>
    <row r="1212" customFormat="false" ht="61.15" hidden="false" customHeight="false" outlineLevel="0" collapsed="false">
      <c r="A1212" s="2" t="s">
        <v>6945</v>
      </c>
      <c r="B1212" s="2" t="s">
        <v>1185</v>
      </c>
      <c r="C1212" s="2" t="s">
        <v>6753</v>
      </c>
      <c r="D1212" s="2" t="s">
        <v>6946</v>
      </c>
      <c r="E1212" s="2" t="s">
        <v>6947</v>
      </c>
      <c r="F1212" s="2" t="s">
        <v>6948</v>
      </c>
      <c r="G1212" s="2" t="s">
        <v>6949</v>
      </c>
      <c r="H1212" s="2" t="s">
        <v>20</v>
      </c>
      <c r="I1212" s="2" t="s">
        <v>6950</v>
      </c>
      <c r="J1212" s="2" t="s">
        <v>6753</v>
      </c>
      <c r="K1212" s="2" t="s">
        <v>1193</v>
      </c>
      <c r="L1212" s="2" t="n">
        <v>2</v>
      </c>
      <c r="M1212" s="2" t="n">
        <v>77</v>
      </c>
    </row>
    <row r="1213" customFormat="false" ht="46.25" hidden="false" customHeight="false" outlineLevel="0" collapsed="false">
      <c r="A1213" s="2" t="s">
        <v>6951</v>
      </c>
      <c r="B1213" s="2" t="s">
        <v>1185</v>
      </c>
      <c r="C1213" s="2" t="s">
        <v>6753</v>
      </c>
      <c r="D1213" s="2" t="s">
        <v>6952</v>
      </c>
      <c r="E1213" s="2" t="s">
        <v>6814</v>
      </c>
      <c r="F1213" s="2" t="s">
        <v>6953</v>
      </c>
      <c r="G1213" s="2" t="s">
        <v>4170</v>
      </c>
      <c r="H1213" s="2" t="s">
        <v>20</v>
      </c>
      <c r="I1213" s="2" t="s">
        <v>6954</v>
      </c>
      <c r="J1213" s="2" t="s">
        <v>6753</v>
      </c>
      <c r="K1213" s="2" t="s">
        <v>1193</v>
      </c>
      <c r="L1213" s="2" t="n">
        <v>2</v>
      </c>
      <c r="M1213" s="2" t="n">
        <v>77</v>
      </c>
    </row>
    <row r="1214" customFormat="false" ht="46.25" hidden="false" customHeight="false" outlineLevel="0" collapsed="false">
      <c r="A1214" s="2" t="s">
        <v>6955</v>
      </c>
      <c r="B1214" s="2" t="s">
        <v>1185</v>
      </c>
      <c r="C1214" s="2" t="s">
        <v>6753</v>
      </c>
      <c r="D1214" s="2" t="s">
        <v>6956</v>
      </c>
      <c r="E1214" s="2" t="s">
        <v>6957</v>
      </c>
      <c r="F1214" s="2" t="s">
        <v>6958</v>
      </c>
      <c r="G1214" s="2" t="s">
        <v>6959</v>
      </c>
      <c r="H1214" s="2" t="s">
        <v>20</v>
      </c>
      <c r="I1214" s="2" t="s">
        <v>6960</v>
      </c>
      <c r="J1214" s="2" t="s">
        <v>6753</v>
      </c>
      <c r="K1214" s="2" t="s">
        <v>1193</v>
      </c>
      <c r="L1214" s="2" t="n">
        <v>2</v>
      </c>
      <c r="M1214" s="2" t="n">
        <v>77</v>
      </c>
    </row>
    <row r="1215" customFormat="false" ht="105.95" hidden="false" customHeight="false" outlineLevel="0" collapsed="false">
      <c r="A1215" s="2" t="s">
        <v>6961</v>
      </c>
      <c r="B1215" s="2" t="s">
        <v>1185</v>
      </c>
      <c r="C1215" s="2" t="s">
        <v>6753</v>
      </c>
      <c r="D1215" s="2" t="s">
        <v>6962</v>
      </c>
      <c r="E1215" s="2" t="s">
        <v>6963</v>
      </c>
      <c r="F1215" s="2" t="s">
        <v>6964</v>
      </c>
      <c r="G1215" s="2" t="s">
        <v>6965</v>
      </c>
      <c r="H1215" s="2" t="s">
        <v>20</v>
      </c>
      <c r="I1215" s="2" t="s">
        <v>6966</v>
      </c>
      <c r="J1215" s="2" t="s">
        <v>6753</v>
      </c>
      <c r="K1215" s="2" t="s">
        <v>1193</v>
      </c>
      <c r="L1215" s="2" t="n">
        <v>3</v>
      </c>
      <c r="M1215" s="2" t="n">
        <v>78</v>
      </c>
    </row>
    <row r="1216" customFormat="false" ht="46.25" hidden="false" customHeight="false" outlineLevel="0" collapsed="false">
      <c r="A1216" s="2" t="s">
        <v>6967</v>
      </c>
      <c r="B1216" s="2" t="s">
        <v>1185</v>
      </c>
      <c r="C1216" s="2" t="s">
        <v>6753</v>
      </c>
      <c r="D1216" s="2" t="s">
        <v>6968</v>
      </c>
      <c r="E1216" s="2" t="s">
        <v>4170</v>
      </c>
      <c r="F1216" s="2" t="s">
        <v>4868</v>
      </c>
      <c r="G1216" s="2" t="s">
        <v>6969</v>
      </c>
      <c r="H1216" s="2" t="s">
        <v>20</v>
      </c>
      <c r="I1216" s="2" t="s">
        <v>6970</v>
      </c>
      <c r="J1216" s="2" t="s">
        <v>6753</v>
      </c>
      <c r="K1216" s="2" t="s">
        <v>1193</v>
      </c>
      <c r="L1216" s="2" t="n">
        <v>3</v>
      </c>
      <c r="M1216" s="2" t="n">
        <v>77</v>
      </c>
    </row>
    <row r="1217" customFormat="false" ht="76.1" hidden="false" customHeight="false" outlineLevel="0" collapsed="false">
      <c r="A1217" s="2" t="s">
        <v>6971</v>
      </c>
      <c r="B1217" s="2" t="s">
        <v>1185</v>
      </c>
      <c r="C1217" s="2" t="s">
        <v>6753</v>
      </c>
      <c r="D1217" s="2" t="s">
        <v>6972</v>
      </c>
      <c r="E1217" s="2" t="s">
        <v>2940</v>
      </c>
      <c r="F1217" s="2" t="s">
        <v>6973</v>
      </c>
      <c r="G1217" s="2" t="s">
        <v>6974</v>
      </c>
      <c r="H1217" s="2" t="s">
        <v>20</v>
      </c>
      <c r="I1217" s="2" t="s">
        <v>6975</v>
      </c>
      <c r="J1217" s="2" t="s">
        <v>6753</v>
      </c>
      <c r="K1217" s="2" t="s">
        <v>1193</v>
      </c>
      <c r="L1217" s="2" t="n">
        <v>3</v>
      </c>
      <c r="M1217" s="2" t="n">
        <v>77</v>
      </c>
    </row>
    <row r="1218" customFormat="false" ht="76.1" hidden="false" customHeight="false" outlineLevel="0" collapsed="false">
      <c r="A1218" s="2" t="s">
        <v>6976</v>
      </c>
      <c r="B1218" s="2" t="s">
        <v>1185</v>
      </c>
      <c r="C1218" s="2" t="s">
        <v>6753</v>
      </c>
      <c r="D1218" s="2" t="s">
        <v>6977</v>
      </c>
      <c r="E1218" s="2" t="s">
        <v>6193</v>
      </c>
      <c r="F1218" s="2" t="s">
        <v>6978</v>
      </c>
      <c r="G1218" s="2" t="s">
        <v>6979</v>
      </c>
      <c r="H1218" s="2" t="s">
        <v>20</v>
      </c>
      <c r="I1218" s="2" t="s">
        <v>6980</v>
      </c>
      <c r="J1218" s="2" t="s">
        <v>6753</v>
      </c>
      <c r="K1218" s="2" t="s">
        <v>1193</v>
      </c>
      <c r="L1218" s="2" t="n">
        <v>3</v>
      </c>
      <c r="M1218" s="2" t="n">
        <v>78</v>
      </c>
    </row>
    <row r="1219" customFormat="false" ht="91" hidden="false" customHeight="false" outlineLevel="0" collapsed="false">
      <c r="A1219" s="2" t="s">
        <v>6981</v>
      </c>
      <c r="B1219" s="2" t="s">
        <v>1185</v>
      </c>
      <c r="C1219" s="2" t="s">
        <v>6753</v>
      </c>
      <c r="D1219" s="2" t="s">
        <v>6982</v>
      </c>
      <c r="E1219" s="2" t="s">
        <v>6983</v>
      </c>
      <c r="F1219" s="2" t="s">
        <v>6984</v>
      </c>
      <c r="G1219" s="2" t="s">
        <v>6985</v>
      </c>
      <c r="H1219" s="2" t="s">
        <v>20</v>
      </c>
      <c r="I1219" s="2" t="s">
        <v>6986</v>
      </c>
      <c r="J1219" s="2" t="s">
        <v>6753</v>
      </c>
      <c r="K1219" s="2" t="s">
        <v>1193</v>
      </c>
      <c r="L1219" s="2" t="n">
        <v>2</v>
      </c>
      <c r="M1219" s="2" t="n">
        <v>78</v>
      </c>
    </row>
    <row r="1220" customFormat="false" ht="76.1" hidden="false" customHeight="false" outlineLevel="0" collapsed="false">
      <c r="A1220" s="2" t="s">
        <v>6987</v>
      </c>
      <c r="B1220" s="2" t="s">
        <v>1185</v>
      </c>
      <c r="C1220" s="2" t="s">
        <v>6988</v>
      </c>
      <c r="D1220" s="2" t="s">
        <v>6989</v>
      </c>
      <c r="E1220" s="2" t="s">
        <v>6990</v>
      </c>
      <c r="F1220" s="2" t="s">
        <v>4170</v>
      </c>
      <c r="G1220" s="2" t="s">
        <v>6991</v>
      </c>
      <c r="H1220" s="2" t="s">
        <v>20</v>
      </c>
      <c r="I1220" s="2" t="s">
        <v>6992</v>
      </c>
      <c r="J1220" s="2" t="s">
        <v>6993</v>
      </c>
      <c r="K1220" s="2" t="s">
        <v>1193</v>
      </c>
      <c r="L1220" s="2" t="n">
        <v>3</v>
      </c>
      <c r="M1220" s="2" t="n">
        <v>80</v>
      </c>
    </row>
    <row r="1221" customFormat="false" ht="76.1" hidden="false" customHeight="false" outlineLevel="0" collapsed="false">
      <c r="A1221" s="2" t="s">
        <v>6994</v>
      </c>
      <c r="B1221" s="2" t="s">
        <v>1185</v>
      </c>
      <c r="C1221" s="2" t="s">
        <v>6988</v>
      </c>
      <c r="D1221" s="2" t="s">
        <v>6995</v>
      </c>
      <c r="E1221" s="2" t="s">
        <v>6996</v>
      </c>
      <c r="F1221" s="2" t="s">
        <v>6997</v>
      </c>
      <c r="G1221" s="2" t="s">
        <v>6998</v>
      </c>
      <c r="H1221" s="2" t="s">
        <v>20</v>
      </c>
      <c r="I1221" s="2" t="s">
        <v>6999</v>
      </c>
      <c r="J1221" s="2" t="s">
        <v>6993</v>
      </c>
      <c r="K1221" s="2" t="s">
        <v>1193</v>
      </c>
      <c r="L1221" s="2" t="n">
        <v>4</v>
      </c>
      <c r="M1221" s="2" t="n">
        <v>80</v>
      </c>
    </row>
    <row r="1222" customFormat="false" ht="61.15" hidden="false" customHeight="false" outlineLevel="0" collapsed="false">
      <c r="A1222" s="2" t="s">
        <v>7000</v>
      </c>
      <c r="B1222" s="2" t="s">
        <v>1185</v>
      </c>
      <c r="C1222" s="2" t="s">
        <v>6988</v>
      </c>
      <c r="D1222" s="2" t="s">
        <v>7001</v>
      </c>
      <c r="E1222" s="2" t="s">
        <v>7002</v>
      </c>
      <c r="F1222" s="2" t="s">
        <v>7003</v>
      </c>
      <c r="G1222" s="2" t="s">
        <v>7004</v>
      </c>
      <c r="H1222" s="2" t="s">
        <v>20</v>
      </c>
      <c r="I1222" s="2" t="s">
        <v>7005</v>
      </c>
      <c r="J1222" s="2" t="s">
        <v>7006</v>
      </c>
      <c r="K1222" s="2" t="s">
        <v>1193</v>
      </c>
      <c r="L1222" s="2" t="n">
        <v>3</v>
      </c>
      <c r="M1222" s="2" t="n">
        <v>80</v>
      </c>
    </row>
    <row r="1223" customFormat="false" ht="61.15" hidden="false" customHeight="false" outlineLevel="0" collapsed="false">
      <c r="A1223" s="2" t="s">
        <v>7007</v>
      </c>
      <c r="B1223" s="2" t="s">
        <v>1185</v>
      </c>
      <c r="C1223" s="2" t="s">
        <v>6988</v>
      </c>
      <c r="D1223" s="2" t="s">
        <v>7008</v>
      </c>
      <c r="E1223" s="2" t="s">
        <v>7009</v>
      </c>
      <c r="F1223" s="2" t="s">
        <v>7010</v>
      </c>
      <c r="G1223" s="2" t="s">
        <v>7011</v>
      </c>
      <c r="H1223" s="2" t="s">
        <v>20</v>
      </c>
      <c r="I1223" s="2" t="s">
        <v>7012</v>
      </c>
      <c r="J1223" s="2" t="s">
        <v>6988</v>
      </c>
      <c r="K1223" s="2" t="s">
        <v>1193</v>
      </c>
      <c r="L1223" s="2" t="n">
        <v>2</v>
      </c>
      <c r="M1223" s="2" t="n">
        <v>79</v>
      </c>
    </row>
    <row r="1224" customFormat="false" ht="46.25" hidden="false" customHeight="false" outlineLevel="0" collapsed="false">
      <c r="A1224" s="2" t="s">
        <v>7013</v>
      </c>
      <c r="B1224" s="2" t="s">
        <v>1185</v>
      </c>
      <c r="C1224" s="2" t="s">
        <v>6988</v>
      </c>
      <c r="D1224" s="2" t="s">
        <v>7014</v>
      </c>
      <c r="E1224" s="2" t="s">
        <v>4170</v>
      </c>
      <c r="F1224" s="2" t="s">
        <v>4370</v>
      </c>
      <c r="G1224" s="2" t="s">
        <v>7015</v>
      </c>
      <c r="H1224" s="2" t="s">
        <v>20</v>
      </c>
      <c r="I1224" s="2" t="s">
        <v>7016</v>
      </c>
      <c r="J1224" s="2" t="s">
        <v>7017</v>
      </c>
      <c r="K1224" s="2" t="s">
        <v>1193</v>
      </c>
      <c r="L1224" s="2" t="n">
        <v>3</v>
      </c>
      <c r="M1224" s="2" t="n">
        <v>15</v>
      </c>
    </row>
    <row r="1225" customFormat="false" ht="61.15" hidden="false" customHeight="false" outlineLevel="0" collapsed="false">
      <c r="A1225" s="2" t="s">
        <v>7018</v>
      </c>
      <c r="B1225" s="2" t="s">
        <v>1185</v>
      </c>
      <c r="C1225" s="2" t="s">
        <v>6988</v>
      </c>
      <c r="D1225" s="2" t="s">
        <v>7019</v>
      </c>
      <c r="E1225" s="2" t="s">
        <v>7020</v>
      </c>
      <c r="F1225" s="2" t="s">
        <v>7021</v>
      </c>
      <c r="G1225" s="2" t="s">
        <v>7022</v>
      </c>
      <c r="H1225" s="2" t="s">
        <v>20</v>
      </c>
      <c r="I1225" s="2" t="s">
        <v>7023</v>
      </c>
      <c r="J1225" s="2" t="s">
        <v>7024</v>
      </c>
      <c r="K1225" s="2" t="s">
        <v>1193</v>
      </c>
      <c r="L1225" s="2" t="n">
        <v>2</v>
      </c>
      <c r="M1225" s="2" t="n">
        <v>79</v>
      </c>
    </row>
    <row r="1226" customFormat="false" ht="61.15" hidden="false" customHeight="false" outlineLevel="0" collapsed="false">
      <c r="A1226" s="2" t="s">
        <v>7025</v>
      </c>
      <c r="B1226" s="2" t="s">
        <v>1185</v>
      </c>
      <c r="C1226" s="2" t="s">
        <v>6988</v>
      </c>
      <c r="D1226" s="2" t="s">
        <v>7026</v>
      </c>
      <c r="E1226" s="2" t="s">
        <v>7027</v>
      </c>
      <c r="F1226" s="2" t="s">
        <v>7028</v>
      </c>
      <c r="G1226" s="2" t="s">
        <v>7029</v>
      </c>
      <c r="H1226" s="2" t="s">
        <v>20</v>
      </c>
      <c r="I1226" s="2" t="s">
        <v>7030</v>
      </c>
      <c r="J1226" s="2" t="s">
        <v>7017</v>
      </c>
      <c r="K1226" s="2" t="s">
        <v>1193</v>
      </c>
      <c r="L1226" s="2" t="n">
        <v>3</v>
      </c>
      <c r="M1226" s="2" t="n">
        <v>15</v>
      </c>
    </row>
    <row r="1227" customFormat="false" ht="61.15" hidden="false" customHeight="false" outlineLevel="0" collapsed="false">
      <c r="A1227" s="2" t="s">
        <v>7031</v>
      </c>
      <c r="B1227" s="2" t="s">
        <v>1185</v>
      </c>
      <c r="C1227" s="2" t="s">
        <v>6988</v>
      </c>
      <c r="D1227" s="2" t="s">
        <v>7032</v>
      </c>
      <c r="E1227" s="2" t="s">
        <v>7033</v>
      </c>
      <c r="F1227" s="2" t="s">
        <v>7034</v>
      </c>
      <c r="G1227" s="2" t="s">
        <v>7035</v>
      </c>
      <c r="H1227" s="2" t="s">
        <v>20</v>
      </c>
      <c r="I1227" s="2" t="s">
        <v>7036</v>
      </c>
      <c r="J1227" s="2" t="s">
        <v>7037</v>
      </c>
      <c r="K1227" s="2" t="s">
        <v>1193</v>
      </c>
      <c r="L1227" s="2" t="n">
        <v>2</v>
      </c>
      <c r="M1227" s="2" t="n">
        <v>79</v>
      </c>
    </row>
    <row r="1228" customFormat="false" ht="31.3" hidden="false" customHeight="false" outlineLevel="0" collapsed="false">
      <c r="A1228" s="2" t="s">
        <v>7038</v>
      </c>
      <c r="B1228" s="2" t="s">
        <v>1185</v>
      </c>
      <c r="C1228" s="2" t="s">
        <v>6988</v>
      </c>
      <c r="D1228" s="2" t="s">
        <v>7039</v>
      </c>
      <c r="E1228" s="2" t="s">
        <v>7040</v>
      </c>
      <c r="F1228" s="2" t="s">
        <v>7041</v>
      </c>
      <c r="G1228" s="2" t="s">
        <v>7042</v>
      </c>
      <c r="H1228" s="2" t="s">
        <v>20</v>
      </c>
      <c r="I1228" s="2" t="s">
        <v>7043</v>
      </c>
      <c r="J1228" s="2" t="s">
        <v>7037</v>
      </c>
      <c r="K1228" s="2" t="s">
        <v>1193</v>
      </c>
      <c r="L1228" s="2" t="n">
        <v>1</v>
      </c>
      <c r="M1228" s="2" t="n">
        <v>79</v>
      </c>
    </row>
    <row r="1229" customFormat="false" ht="61.15" hidden="false" customHeight="false" outlineLevel="0" collapsed="false">
      <c r="A1229" s="2" t="s">
        <v>7044</v>
      </c>
      <c r="B1229" s="2" t="s">
        <v>1185</v>
      </c>
      <c r="C1229" s="2" t="s">
        <v>6988</v>
      </c>
      <c r="D1229" s="2" t="s">
        <v>7045</v>
      </c>
      <c r="E1229" s="2" t="s">
        <v>7046</v>
      </c>
      <c r="F1229" s="2" t="s">
        <v>7015</v>
      </c>
      <c r="G1229" s="2" t="s">
        <v>6283</v>
      </c>
      <c r="H1229" s="2" t="s">
        <v>20</v>
      </c>
      <c r="I1229" s="2" t="s">
        <v>7047</v>
      </c>
      <c r="J1229" s="2" t="s">
        <v>7048</v>
      </c>
      <c r="K1229" s="2" t="s">
        <v>1193</v>
      </c>
      <c r="L1229" s="2" t="n">
        <v>2</v>
      </c>
      <c r="M1229" s="2" t="n">
        <v>80</v>
      </c>
    </row>
    <row r="1230" customFormat="false" ht="46.25" hidden="false" customHeight="false" outlineLevel="0" collapsed="false">
      <c r="A1230" s="2" t="s">
        <v>7049</v>
      </c>
      <c r="B1230" s="2" t="s">
        <v>1185</v>
      </c>
      <c r="C1230" s="2" t="s">
        <v>6988</v>
      </c>
      <c r="D1230" s="2" t="s">
        <v>7050</v>
      </c>
      <c r="E1230" s="2" t="s">
        <v>6283</v>
      </c>
      <c r="F1230" s="2" t="s">
        <v>7015</v>
      </c>
      <c r="G1230" s="2" t="s">
        <v>7051</v>
      </c>
      <c r="H1230" s="2" t="s">
        <v>28</v>
      </c>
      <c r="I1230" s="2" t="s">
        <v>7052</v>
      </c>
      <c r="J1230" s="2" t="s">
        <v>7048</v>
      </c>
      <c r="K1230" s="2" t="s">
        <v>1193</v>
      </c>
      <c r="L1230" s="2" t="n">
        <v>2</v>
      </c>
      <c r="M1230" s="2" t="n">
        <v>79</v>
      </c>
    </row>
    <row r="1231" customFormat="false" ht="61.15" hidden="false" customHeight="false" outlineLevel="0" collapsed="false">
      <c r="A1231" s="2" t="s">
        <v>7053</v>
      </c>
      <c r="B1231" s="2" t="s">
        <v>1185</v>
      </c>
      <c r="C1231" s="2" t="s">
        <v>6988</v>
      </c>
      <c r="D1231" s="2" t="s">
        <v>7054</v>
      </c>
      <c r="E1231" s="2" t="s">
        <v>7055</v>
      </c>
      <c r="F1231" s="2" t="s">
        <v>7056</v>
      </c>
      <c r="G1231" s="2" t="s">
        <v>7057</v>
      </c>
      <c r="H1231" s="2" t="s">
        <v>226</v>
      </c>
      <c r="I1231" s="2" t="s">
        <v>7058</v>
      </c>
      <c r="J1231" s="2" t="s">
        <v>7048</v>
      </c>
      <c r="K1231" s="2" t="s">
        <v>1193</v>
      </c>
      <c r="L1231" s="2" t="n">
        <v>3</v>
      </c>
      <c r="M1231" s="2" t="n">
        <v>80</v>
      </c>
    </row>
    <row r="1232" customFormat="false" ht="46.25" hidden="false" customHeight="false" outlineLevel="0" collapsed="false">
      <c r="A1232" s="2" t="s">
        <v>7059</v>
      </c>
      <c r="B1232" s="2" t="s">
        <v>1185</v>
      </c>
      <c r="C1232" s="2" t="s">
        <v>6988</v>
      </c>
      <c r="D1232" s="2" t="s">
        <v>7060</v>
      </c>
      <c r="E1232" s="2" t="s">
        <v>6329</v>
      </c>
      <c r="F1232" s="2" t="s">
        <v>7061</v>
      </c>
      <c r="G1232" s="2" t="s">
        <v>7062</v>
      </c>
      <c r="H1232" s="2" t="s">
        <v>226</v>
      </c>
      <c r="I1232" s="2" t="s">
        <v>7063</v>
      </c>
      <c r="J1232" s="2" t="s">
        <v>7048</v>
      </c>
      <c r="K1232" s="2" t="s">
        <v>1193</v>
      </c>
      <c r="L1232" s="2" t="n">
        <v>2</v>
      </c>
      <c r="M1232" s="2" t="n">
        <v>79</v>
      </c>
    </row>
    <row r="1233" customFormat="false" ht="61.15" hidden="false" customHeight="false" outlineLevel="0" collapsed="false">
      <c r="A1233" s="2" t="s">
        <v>7064</v>
      </c>
      <c r="B1233" s="2" t="s">
        <v>1185</v>
      </c>
      <c r="C1233" s="2" t="s">
        <v>6988</v>
      </c>
      <c r="D1233" s="2" t="s">
        <v>7065</v>
      </c>
      <c r="E1233" s="2" t="s">
        <v>7066</v>
      </c>
      <c r="F1233" s="2" t="s">
        <v>7067</v>
      </c>
      <c r="G1233" s="2" t="s">
        <v>7068</v>
      </c>
      <c r="H1233" s="2" t="s">
        <v>20</v>
      </c>
      <c r="I1233" s="2" t="s">
        <v>7069</v>
      </c>
      <c r="J1233" s="2" t="s">
        <v>7048</v>
      </c>
      <c r="K1233" s="2" t="s">
        <v>1193</v>
      </c>
      <c r="L1233" s="2" t="n">
        <v>3</v>
      </c>
      <c r="M1233" s="2" t="n">
        <v>79</v>
      </c>
    </row>
    <row r="1234" customFormat="false" ht="46.25" hidden="false" customHeight="false" outlineLevel="0" collapsed="false">
      <c r="A1234" s="2" t="s">
        <v>7070</v>
      </c>
      <c r="B1234" s="2" t="s">
        <v>1185</v>
      </c>
      <c r="C1234" s="2" t="s">
        <v>6988</v>
      </c>
      <c r="D1234" s="2" t="s">
        <v>7071</v>
      </c>
      <c r="E1234" s="2" t="s">
        <v>7072</v>
      </c>
      <c r="F1234" s="2" t="s">
        <v>6329</v>
      </c>
      <c r="G1234" s="2" t="s">
        <v>7062</v>
      </c>
      <c r="H1234" s="2" t="s">
        <v>20</v>
      </c>
      <c r="I1234" s="2" t="s">
        <v>7073</v>
      </c>
      <c r="J1234" s="2" t="s">
        <v>7048</v>
      </c>
      <c r="K1234" s="2" t="s">
        <v>1193</v>
      </c>
      <c r="L1234" s="2" t="n">
        <v>2</v>
      </c>
      <c r="M1234" s="2" t="n">
        <v>79</v>
      </c>
    </row>
    <row r="1235" customFormat="false" ht="91" hidden="false" customHeight="false" outlineLevel="0" collapsed="false">
      <c r="A1235" s="2" t="s">
        <v>7074</v>
      </c>
      <c r="B1235" s="2" t="s">
        <v>1185</v>
      </c>
      <c r="C1235" s="2" t="s">
        <v>6988</v>
      </c>
      <c r="D1235" s="2" t="s">
        <v>7075</v>
      </c>
      <c r="E1235" s="2" t="s">
        <v>7076</v>
      </c>
      <c r="F1235" s="2" t="s">
        <v>7015</v>
      </c>
      <c r="G1235" s="2" t="s">
        <v>4170</v>
      </c>
      <c r="H1235" s="2" t="s">
        <v>226</v>
      </c>
      <c r="I1235" s="2" t="s">
        <v>7077</v>
      </c>
      <c r="J1235" s="2" t="s">
        <v>7078</v>
      </c>
      <c r="K1235" s="2" t="s">
        <v>1193</v>
      </c>
      <c r="L1235" s="2" t="n">
        <v>2</v>
      </c>
      <c r="M1235" s="2" t="n">
        <v>79</v>
      </c>
    </row>
    <row r="1236" customFormat="false" ht="76.1" hidden="false" customHeight="false" outlineLevel="0" collapsed="false">
      <c r="A1236" s="2" t="s">
        <v>7079</v>
      </c>
      <c r="B1236" s="2" t="s">
        <v>1185</v>
      </c>
      <c r="C1236" s="2" t="s">
        <v>6988</v>
      </c>
      <c r="D1236" s="2" t="s">
        <v>7080</v>
      </c>
      <c r="E1236" s="2" t="s">
        <v>7081</v>
      </c>
      <c r="F1236" s="2" t="s">
        <v>7082</v>
      </c>
      <c r="G1236" s="2" t="s">
        <v>7083</v>
      </c>
      <c r="H1236" s="2" t="s">
        <v>20</v>
      </c>
      <c r="I1236" s="2" t="s">
        <v>7084</v>
      </c>
      <c r="J1236" s="2" t="s">
        <v>7085</v>
      </c>
      <c r="K1236" s="2" t="s">
        <v>1193</v>
      </c>
      <c r="L1236" s="2" t="n">
        <v>4</v>
      </c>
      <c r="M1236" s="2" t="n">
        <v>80</v>
      </c>
    </row>
    <row r="1237" customFormat="false" ht="91" hidden="false" customHeight="false" outlineLevel="0" collapsed="false">
      <c r="A1237" s="2" t="s">
        <v>7086</v>
      </c>
      <c r="B1237" s="2" t="s">
        <v>1185</v>
      </c>
      <c r="C1237" s="2" t="s">
        <v>6988</v>
      </c>
      <c r="D1237" s="2" t="s">
        <v>7087</v>
      </c>
      <c r="E1237" s="2" t="s">
        <v>7015</v>
      </c>
      <c r="F1237" s="2" t="s">
        <v>4170</v>
      </c>
      <c r="G1237" s="2" t="s">
        <v>4172</v>
      </c>
      <c r="H1237" s="2" t="s">
        <v>20</v>
      </c>
      <c r="I1237" s="2" t="s">
        <v>7088</v>
      </c>
      <c r="J1237" s="2" t="s">
        <v>6988</v>
      </c>
      <c r="K1237" s="2" t="s">
        <v>1193</v>
      </c>
      <c r="L1237" s="2" t="n">
        <v>2</v>
      </c>
      <c r="M1237" s="2" t="n">
        <v>80</v>
      </c>
    </row>
    <row r="1238" customFormat="false" ht="61.15" hidden="false" customHeight="false" outlineLevel="0" collapsed="false">
      <c r="A1238" s="2" t="s">
        <v>7089</v>
      </c>
      <c r="B1238" s="2" t="s">
        <v>1185</v>
      </c>
      <c r="C1238" s="2" t="s">
        <v>6988</v>
      </c>
      <c r="D1238" s="2" t="s">
        <v>7090</v>
      </c>
      <c r="E1238" s="2" t="s">
        <v>7091</v>
      </c>
      <c r="F1238" s="2" t="s">
        <v>7092</v>
      </c>
      <c r="G1238" s="2" t="s">
        <v>7093</v>
      </c>
      <c r="H1238" s="2" t="s">
        <v>20</v>
      </c>
      <c r="I1238" s="2" t="s">
        <v>7094</v>
      </c>
      <c r="J1238" s="2" t="s">
        <v>6988</v>
      </c>
      <c r="K1238" s="2" t="s">
        <v>1193</v>
      </c>
      <c r="L1238" s="2" t="n">
        <v>2</v>
      </c>
      <c r="M1238" s="2" t="n">
        <v>80</v>
      </c>
    </row>
    <row r="1239" customFormat="false" ht="46.25" hidden="false" customHeight="false" outlineLevel="0" collapsed="false">
      <c r="A1239" s="2" t="s">
        <v>7095</v>
      </c>
      <c r="B1239" s="2" t="s">
        <v>1185</v>
      </c>
      <c r="C1239" s="2" t="s">
        <v>6988</v>
      </c>
      <c r="D1239" s="2" t="s">
        <v>7096</v>
      </c>
      <c r="E1239" s="2" t="s">
        <v>4889</v>
      </c>
      <c r="F1239" s="2" t="s">
        <v>7097</v>
      </c>
      <c r="G1239" s="2" t="s">
        <v>7098</v>
      </c>
      <c r="H1239" s="2" t="s">
        <v>20</v>
      </c>
      <c r="I1239" s="2" t="s">
        <v>7099</v>
      </c>
      <c r="J1239" s="2" t="s">
        <v>6988</v>
      </c>
      <c r="K1239" s="2" t="s">
        <v>1193</v>
      </c>
      <c r="L1239" s="2" t="n">
        <v>2</v>
      </c>
      <c r="M1239" s="2" t="n">
        <v>79</v>
      </c>
    </row>
    <row r="1240" customFormat="false" ht="61.15" hidden="false" customHeight="false" outlineLevel="0" collapsed="false">
      <c r="A1240" s="2" t="s">
        <v>7100</v>
      </c>
      <c r="B1240" s="2" t="s">
        <v>1185</v>
      </c>
      <c r="C1240" s="2" t="s">
        <v>6988</v>
      </c>
      <c r="D1240" s="2" t="s">
        <v>7101</v>
      </c>
      <c r="E1240" s="2" t="s">
        <v>7102</v>
      </c>
      <c r="F1240" s="2" t="s">
        <v>7103</v>
      </c>
      <c r="G1240" s="2" t="s">
        <v>7104</v>
      </c>
      <c r="H1240" s="2" t="s">
        <v>20</v>
      </c>
      <c r="I1240" s="2" t="s">
        <v>7105</v>
      </c>
      <c r="J1240" s="2" t="s">
        <v>6988</v>
      </c>
      <c r="K1240" s="2" t="s">
        <v>1193</v>
      </c>
      <c r="L1240" s="2" t="n">
        <v>2</v>
      </c>
      <c r="M1240" s="2" t="n">
        <v>80</v>
      </c>
    </row>
    <row r="1241" customFormat="false" ht="61.15" hidden="false" customHeight="false" outlineLevel="0" collapsed="false">
      <c r="A1241" s="2" t="s">
        <v>7106</v>
      </c>
      <c r="B1241" s="2" t="s">
        <v>1185</v>
      </c>
      <c r="C1241" s="2" t="s">
        <v>6988</v>
      </c>
      <c r="D1241" s="2" t="s">
        <v>7107</v>
      </c>
      <c r="E1241" s="2" t="s">
        <v>7108</v>
      </c>
      <c r="F1241" s="2" t="s">
        <v>7109</v>
      </c>
      <c r="G1241" s="2" t="s">
        <v>7110</v>
      </c>
      <c r="H1241" s="2" t="s">
        <v>20</v>
      </c>
      <c r="I1241" s="2" t="s">
        <v>7111</v>
      </c>
      <c r="J1241" s="2" t="s">
        <v>6988</v>
      </c>
      <c r="K1241" s="2" t="s">
        <v>1193</v>
      </c>
      <c r="L1241" s="2" t="n">
        <v>2</v>
      </c>
      <c r="M1241" s="2" t="n">
        <v>80</v>
      </c>
    </row>
    <row r="1242" customFormat="false" ht="76.1" hidden="false" customHeight="false" outlineLevel="0" collapsed="false">
      <c r="A1242" s="2" t="s">
        <v>7112</v>
      </c>
      <c r="B1242" s="2" t="s">
        <v>1185</v>
      </c>
      <c r="C1242" s="2" t="s">
        <v>6988</v>
      </c>
      <c r="D1242" s="2" t="s">
        <v>7113</v>
      </c>
      <c r="E1242" s="2" t="s">
        <v>7114</v>
      </c>
      <c r="F1242" s="2" t="s">
        <v>7115</v>
      </c>
      <c r="G1242" s="2" t="s">
        <v>7116</v>
      </c>
      <c r="H1242" s="2" t="s">
        <v>20</v>
      </c>
      <c r="I1242" s="2" t="s">
        <v>7117</v>
      </c>
      <c r="J1242" s="2" t="s">
        <v>6988</v>
      </c>
      <c r="K1242" s="2" t="s">
        <v>1193</v>
      </c>
      <c r="L1242" s="2" t="n">
        <v>2</v>
      </c>
      <c r="M1242" s="2" t="n">
        <v>79</v>
      </c>
    </row>
    <row r="1243" customFormat="false" ht="91" hidden="false" customHeight="false" outlineLevel="0" collapsed="false">
      <c r="A1243" s="2" t="s">
        <v>7118</v>
      </c>
      <c r="B1243" s="2" t="s">
        <v>1185</v>
      </c>
      <c r="C1243" s="2" t="s">
        <v>6988</v>
      </c>
      <c r="D1243" s="2" t="s">
        <v>7119</v>
      </c>
      <c r="E1243" s="2" t="s">
        <v>7015</v>
      </c>
      <c r="F1243" s="2" t="s">
        <v>4156</v>
      </c>
      <c r="G1243" s="2" t="s">
        <v>7120</v>
      </c>
      <c r="H1243" s="2" t="s">
        <v>20</v>
      </c>
      <c r="I1243" s="2" t="s">
        <v>7121</v>
      </c>
      <c r="J1243" s="2" t="s">
        <v>7122</v>
      </c>
      <c r="K1243" s="2" t="s">
        <v>1193</v>
      </c>
      <c r="L1243" s="2" t="n">
        <v>2</v>
      </c>
      <c r="M1243" s="2" t="n">
        <v>79</v>
      </c>
    </row>
    <row r="1244" customFormat="false" ht="61.15" hidden="false" customHeight="false" outlineLevel="0" collapsed="false">
      <c r="A1244" s="2" t="s">
        <v>7123</v>
      </c>
      <c r="B1244" s="2" t="s">
        <v>1185</v>
      </c>
      <c r="C1244" s="2" t="s">
        <v>6988</v>
      </c>
      <c r="D1244" s="2" t="s">
        <v>7124</v>
      </c>
      <c r="E1244" s="2" t="s">
        <v>7125</v>
      </c>
      <c r="F1244" s="2" t="s">
        <v>7126</v>
      </c>
      <c r="G1244" s="2" t="s">
        <v>7127</v>
      </c>
      <c r="H1244" s="2" t="s">
        <v>20</v>
      </c>
      <c r="I1244" s="2" t="s">
        <v>7128</v>
      </c>
      <c r="J1244" s="2" t="s">
        <v>6988</v>
      </c>
      <c r="K1244" s="2" t="s">
        <v>1193</v>
      </c>
      <c r="L1244" s="2" t="n">
        <v>1</v>
      </c>
      <c r="M1244" s="2" t="n">
        <v>80</v>
      </c>
    </row>
    <row r="1245" customFormat="false" ht="61.15" hidden="false" customHeight="false" outlineLevel="0" collapsed="false">
      <c r="A1245" s="2" t="s">
        <v>7129</v>
      </c>
      <c r="B1245" s="2" t="s">
        <v>1185</v>
      </c>
      <c r="C1245" s="2" t="s">
        <v>6988</v>
      </c>
      <c r="D1245" s="2" t="s">
        <v>7130</v>
      </c>
      <c r="E1245" s="2" t="s">
        <v>7131</v>
      </c>
      <c r="F1245" s="2" t="s">
        <v>7132</v>
      </c>
      <c r="G1245" s="2" t="s">
        <v>7133</v>
      </c>
      <c r="H1245" s="2" t="s">
        <v>20</v>
      </c>
      <c r="I1245" s="2" t="s">
        <v>7134</v>
      </c>
      <c r="J1245" s="2" t="s">
        <v>6988</v>
      </c>
      <c r="K1245" s="2" t="s">
        <v>1193</v>
      </c>
      <c r="L1245" s="2" t="n">
        <v>2</v>
      </c>
      <c r="M1245" s="2" t="n">
        <v>79</v>
      </c>
    </row>
    <row r="1246" customFormat="false" ht="76.1" hidden="false" customHeight="false" outlineLevel="0" collapsed="false">
      <c r="A1246" s="2" t="s">
        <v>7135</v>
      </c>
      <c r="B1246" s="2" t="s">
        <v>1185</v>
      </c>
      <c r="C1246" s="2" t="s">
        <v>6988</v>
      </c>
      <c r="D1246" s="2" t="s">
        <v>7136</v>
      </c>
      <c r="E1246" s="2" t="s">
        <v>7137</v>
      </c>
      <c r="F1246" s="2" t="s">
        <v>7138</v>
      </c>
      <c r="G1246" s="2" t="s">
        <v>7139</v>
      </c>
      <c r="H1246" s="2" t="s">
        <v>20</v>
      </c>
      <c r="I1246" s="2" t="s">
        <v>7140</v>
      </c>
      <c r="J1246" s="2" t="s">
        <v>6988</v>
      </c>
      <c r="K1246" s="2" t="s">
        <v>1193</v>
      </c>
      <c r="L1246" s="2" t="n">
        <v>3</v>
      </c>
      <c r="M1246" s="2" t="n">
        <v>80</v>
      </c>
    </row>
    <row r="1247" customFormat="false" ht="61.15" hidden="false" customHeight="false" outlineLevel="0" collapsed="false">
      <c r="A1247" s="2" t="s">
        <v>7141</v>
      </c>
      <c r="B1247" s="2" t="s">
        <v>1185</v>
      </c>
      <c r="C1247" s="2" t="s">
        <v>6988</v>
      </c>
      <c r="D1247" s="2" t="s">
        <v>7142</v>
      </c>
      <c r="E1247" s="2" t="s">
        <v>7143</v>
      </c>
      <c r="F1247" s="2" t="s">
        <v>7144</v>
      </c>
      <c r="G1247" s="2" t="s">
        <v>7145</v>
      </c>
      <c r="H1247" s="2" t="s">
        <v>20</v>
      </c>
      <c r="I1247" s="2" t="s">
        <v>7146</v>
      </c>
      <c r="J1247" s="2" t="s">
        <v>6988</v>
      </c>
      <c r="K1247" s="2" t="s">
        <v>1193</v>
      </c>
      <c r="L1247" s="2" t="n">
        <v>3</v>
      </c>
      <c r="M1247" s="2" t="n">
        <v>79</v>
      </c>
    </row>
    <row r="1248" customFormat="false" ht="76.1" hidden="false" customHeight="false" outlineLevel="0" collapsed="false">
      <c r="A1248" s="2" t="s">
        <v>7147</v>
      </c>
      <c r="B1248" s="2" t="s">
        <v>1185</v>
      </c>
      <c r="C1248" s="2" t="s">
        <v>7148</v>
      </c>
      <c r="D1248" s="2" t="s">
        <v>7149</v>
      </c>
      <c r="E1248" s="2" t="s">
        <v>2356</v>
      </c>
      <c r="F1248" s="2" t="s">
        <v>7150</v>
      </c>
      <c r="G1248" s="2" t="s">
        <v>7151</v>
      </c>
      <c r="H1248" s="2" t="s">
        <v>20</v>
      </c>
      <c r="I1248" s="2" t="s">
        <v>7152</v>
      </c>
      <c r="J1248" s="2" t="s">
        <v>7153</v>
      </c>
      <c r="K1248" s="2" t="s">
        <v>1193</v>
      </c>
      <c r="L1248" s="2" t="n">
        <v>3</v>
      </c>
      <c r="M1248" s="2" t="n">
        <v>81</v>
      </c>
    </row>
    <row r="1249" customFormat="false" ht="61.15" hidden="false" customHeight="false" outlineLevel="0" collapsed="false">
      <c r="A1249" s="2" t="s">
        <v>7154</v>
      </c>
      <c r="B1249" s="2" t="s">
        <v>1185</v>
      </c>
      <c r="C1249" s="2" t="s">
        <v>7148</v>
      </c>
      <c r="D1249" s="2" t="s">
        <v>7155</v>
      </c>
      <c r="E1249" s="2" t="s">
        <v>6226</v>
      </c>
      <c r="F1249" s="2" t="s">
        <v>6227</v>
      </c>
      <c r="G1249" s="2" t="s">
        <v>6228</v>
      </c>
      <c r="H1249" s="2" t="s">
        <v>226</v>
      </c>
      <c r="I1249" s="2" t="s">
        <v>7156</v>
      </c>
      <c r="J1249" s="2" t="s">
        <v>7148</v>
      </c>
      <c r="K1249" s="2" t="s">
        <v>1193</v>
      </c>
      <c r="L1249" s="2" t="n">
        <v>2</v>
      </c>
      <c r="M1249" s="2" t="n">
        <v>81</v>
      </c>
    </row>
    <row r="1250" customFormat="false" ht="61.15" hidden="false" customHeight="false" outlineLevel="0" collapsed="false">
      <c r="A1250" s="2" t="s">
        <v>7157</v>
      </c>
      <c r="B1250" s="2" t="s">
        <v>1185</v>
      </c>
      <c r="C1250" s="2" t="s">
        <v>7148</v>
      </c>
      <c r="D1250" s="2" t="s">
        <v>7158</v>
      </c>
      <c r="E1250" s="2" t="s">
        <v>7159</v>
      </c>
      <c r="F1250" s="2" t="s">
        <v>7160</v>
      </c>
      <c r="G1250" s="2" t="s">
        <v>7161</v>
      </c>
      <c r="H1250" s="2" t="s">
        <v>20</v>
      </c>
      <c r="I1250" s="2" t="s">
        <v>7162</v>
      </c>
      <c r="J1250" s="2" t="s">
        <v>7163</v>
      </c>
      <c r="K1250" s="2" t="s">
        <v>1193</v>
      </c>
      <c r="L1250" s="2" t="n">
        <v>3</v>
      </c>
      <c r="M1250" s="2" t="n">
        <v>81</v>
      </c>
    </row>
    <row r="1251" customFormat="false" ht="61.15" hidden="false" customHeight="false" outlineLevel="0" collapsed="false">
      <c r="A1251" s="2" t="s">
        <v>7164</v>
      </c>
      <c r="B1251" s="2" t="s">
        <v>1185</v>
      </c>
      <c r="C1251" s="2" t="s">
        <v>7148</v>
      </c>
      <c r="D1251" s="2" t="s">
        <v>7165</v>
      </c>
      <c r="E1251" s="2" t="s">
        <v>7166</v>
      </c>
      <c r="F1251" s="2" t="s">
        <v>7167</v>
      </c>
      <c r="G1251" s="2" t="s">
        <v>7168</v>
      </c>
      <c r="H1251" s="2" t="s">
        <v>226</v>
      </c>
      <c r="I1251" s="2" t="s">
        <v>7169</v>
      </c>
      <c r="J1251" s="2" t="s">
        <v>7170</v>
      </c>
      <c r="K1251" s="2" t="s">
        <v>1193</v>
      </c>
      <c r="L1251" s="2" t="n">
        <v>3</v>
      </c>
      <c r="M1251" s="2" t="n">
        <v>81</v>
      </c>
    </row>
    <row r="1252" customFormat="false" ht="46.25" hidden="false" customHeight="false" outlineLevel="0" collapsed="false">
      <c r="A1252" s="2" t="s">
        <v>7171</v>
      </c>
      <c r="B1252" s="2" t="s">
        <v>1185</v>
      </c>
      <c r="C1252" s="2" t="s">
        <v>7148</v>
      </c>
      <c r="D1252" s="2" t="s">
        <v>7172</v>
      </c>
      <c r="E1252" s="2" t="s">
        <v>7173</v>
      </c>
      <c r="F1252" s="2" t="s">
        <v>7174</v>
      </c>
      <c r="G1252" s="2" t="s">
        <v>7175</v>
      </c>
      <c r="H1252" s="2" t="s">
        <v>28</v>
      </c>
      <c r="I1252" s="2" t="s">
        <v>7176</v>
      </c>
      <c r="J1252" s="2" t="s">
        <v>7170</v>
      </c>
      <c r="K1252" s="2" t="s">
        <v>1193</v>
      </c>
      <c r="L1252" s="2" t="n">
        <v>1</v>
      </c>
      <c r="M1252" s="2" t="n">
        <v>81</v>
      </c>
    </row>
    <row r="1253" customFormat="false" ht="46.25" hidden="false" customHeight="false" outlineLevel="0" collapsed="false">
      <c r="A1253" s="2" t="s">
        <v>7177</v>
      </c>
      <c r="B1253" s="2" t="s">
        <v>1185</v>
      </c>
      <c r="C1253" s="2" t="s">
        <v>7148</v>
      </c>
      <c r="D1253" s="2" t="s">
        <v>7178</v>
      </c>
      <c r="E1253" s="2" t="s">
        <v>7179</v>
      </c>
      <c r="F1253" s="2" t="s">
        <v>7180</v>
      </c>
      <c r="G1253" s="2" t="s">
        <v>7181</v>
      </c>
      <c r="H1253" s="2" t="s">
        <v>20</v>
      </c>
      <c r="I1253" s="2" t="s">
        <v>7182</v>
      </c>
      <c r="J1253" s="2" t="s">
        <v>7170</v>
      </c>
      <c r="K1253" s="2" t="s">
        <v>1193</v>
      </c>
      <c r="L1253" s="2" t="n">
        <v>2</v>
      </c>
      <c r="M1253" s="2" t="n">
        <v>81</v>
      </c>
    </row>
    <row r="1254" customFormat="false" ht="76.1" hidden="false" customHeight="false" outlineLevel="0" collapsed="false">
      <c r="A1254" s="2" t="s">
        <v>7183</v>
      </c>
      <c r="B1254" s="2" t="s">
        <v>1185</v>
      </c>
      <c r="C1254" s="2" t="s">
        <v>7148</v>
      </c>
      <c r="D1254" s="2" t="s">
        <v>7184</v>
      </c>
      <c r="E1254" s="2" t="s">
        <v>7185</v>
      </c>
      <c r="F1254" s="2" t="s">
        <v>7186</v>
      </c>
      <c r="G1254" s="2" t="s">
        <v>7187</v>
      </c>
      <c r="H1254" s="2" t="s">
        <v>20</v>
      </c>
      <c r="I1254" s="2" t="s">
        <v>7188</v>
      </c>
      <c r="J1254" s="2" t="s">
        <v>7148</v>
      </c>
      <c r="K1254" s="2" t="s">
        <v>1193</v>
      </c>
      <c r="L1254" s="2" t="n">
        <v>4</v>
      </c>
      <c r="M1254" s="2" t="n">
        <v>81</v>
      </c>
    </row>
    <row r="1255" customFormat="false" ht="61.15" hidden="false" customHeight="false" outlineLevel="0" collapsed="false">
      <c r="A1255" s="2" t="s">
        <v>7189</v>
      </c>
      <c r="B1255" s="2" t="s">
        <v>1185</v>
      </c>
      <c r="C1255" s="2" t="s">
        <v>7148</v>
      </c>
      <c r="D1255" s="2" t="s">
        <v>7190</v>
      </c>
      <c r="E1255" s="2" t="s">
        <v>7191</v>
      </c>
      <c r="F1255" s="2" t="s">
        <v>7192</v>
      </c>
      <c r="G1255" s="2" t="s">
        <v>7193</v>
      </c>
      <c r="H1255" s="2" t="s">
        <v>20</v>
      </c>
      <c r="I1255" s="2" t="s">
        <v>7194</v>
      </c>
      <c r="J1255" s="2" t="s">
        <v>7148</v>
      </c>
      <c r="K1255" s="2" t="s">
        <v>1193</v>
      </c>
      <c r="L1255" s="2" t="n">
        <v>2</v>
      </c>
      <c r="M1255" s="2" t="n">
        <v>81</v>
      </c>
    </row>
    <row r="1256" customFormat="false" ht="61.15" hidden="false" customHeight="false" outlineLevel="0" collapsed="false">
      <c r="A1256" s="2" t="s">
        <v>7195</v>
      </c>
      <c r="B1256" s="2" t="s">
        <v>1185</v>
      </c>
      <c r="C1256" s="2" t="s">
        <v>7148</v>
      </c>
      <c r="D1256" s="2" t="s">
        <v>7196</v>
      </c>
      <c r="E1256" s="2" t="s">
        <v>7197</v>
      </c>
      <c r="F1256" s="2" t="s">
        <v>7198</v>
      </c>
      <c r="G1256" s="2" t="s">
        <v>7199</v>
      </c>
      <c r="H1256" s="2" t="s">
        <v>20</v>
      </c>
      <c r="I1256" s="2" t="s">
        <v>7200</v>
      </c>
      <c r="J1256" s="2" t="s">
        <v>7148</v>
      </c>
      <c r="K1256" s="2" t="s">
        <v>1193</v>
      </c>
      <c r="L1256" s="2" t="n">
        <v>2</v>
      </c>
      <c r="M1256" s="2" t="n">
        <v>81</v>
      </c>
    </row>
    <row r="1257" customFormat="false" ht="76.1" hidden="false" customHeight="false" outlineLevel="0" collapsed="false">
      <c r="A1257" s="2" t="s">
        <v>7201</v>
      </c>
      <c r="B1257" s="2" t="s">
        <v>1185</v>
      </c>
      <c r="C1257" s="2" t="s">
        <v>7148</v>
      </c>
      <c r="D1257" s="2" t="s">
        <v>7202</v>
      </c>
      <c r="E1257" s="2" t="s">
        <v>7203</v>
      </c>
      <c r="F1257" s="2" t="s">
        <v>7204</v>
      </c>
      <c r="G1257" s="2" t="s">
        <v>7205</v>
      </c>
      <c r="H1257" s="2" t="s">
        <v>20</v>
      </c>
      <c r="I1257" s="2" t="s">
        <v>7206</v>
      </c>
      <c r="J1257" s="2" t="s">
        <v>7148</v>
      </c>
      <c r="K1257" s="2" t="s">
        <v>1193</v>
      </c>
      <c r="L1257" s="2" t="n">
        <v>2</v>
      </c>
      <c r="M1257" s="2" t="n">
        <v>82</v>
      </c>
    </row>
    <row r="1258" customFormat="false" ht="61.15" hidden="false" customHeight="false" outlineLevel="0" collapsed="false">
      <c r="A1258" s="2" t="s">
        <v>7207</v>
      </c>
      <c r="B1258" s="2" t="s">
        <v>1185</v>
      </c>
      <c r="C1258" s="2" t="s">
        <v>7148</v>
      </c>
      <c r="D1258" s="2" t="s">
        <v>7208</v>
      </c>
      <c r="E1258" s="2" t="s">
        <v>7209</v>
      </c>
      <c r="F1258" s="2" t="s">
        <v>7210</v>
      </c>
      <c r="G1258" s="2" t="s">
        <v>7211</v>
      </c>
      <c r="H1258" s="2" t="s">
        <v>20</v>
      </c>
      <c r="I1258" s="2" t="s">
        <v>7212</v>
      </c>
      <c r="J1258" s="2" t="s">
        <v>7148</v>
      </c>
      <c r="K1258" s="2" t="s">
        <v>1193</v>
      </c>
      <c r="L1258" s="2" t="n">
        <v>2</v>
      </c>
      <c r="M1258" s="2" t="n">
        <v>81</v>
      </c>
    </row>
    <row r="1259" customFormat="false" ht="61.15" hidden="false" customHeight="false" outlineLevel="0" collapsed="false">
      <c r="A1259" s="2" t="s">
        <v>7213</v>
      </c>
      <c r="B1259" s="2" t="s">
        <v>1185</v>
      </c>
      <c r="C1259" s="2" t="s">
        <v>7148</v>
      </c>
      <c r="D1259" s="2" t="s">
        <v>7214</v>
      </c>
      <c r="E1259" s="2" t="s">
        <v>7215</v>
      </c>
      <c r="F1259" s="2" t="s">
        <v>7216</v>
      </c>
      <c r="G1259" s="2" t="s">
        <v>7217</v>
      </c>
      <c r="H1259" s="2" t="s">
        <v>20</v>
      </c>
      <c r="I1259" s="2" t="s">
        <v>7218</v>
      </c>
      <c r="J1259" s="2" t="s">
        <v>7219</v>
      </c>
      <c r="K1259" s="2" t="s">
        <v>1193</v>
      </c>
      <c r="L1259" s="2" t="n">
        <v>3</v>
      </c>
      <c r="M1259" s="2" t="n">
        <v>81</v>
      </c>
    </row>
    <row r="1260" customFormat="false" ht="61.15" hidden="false" customHeight="false" outlineLevel="0" collapsed="false">
      <c r="A1260" s="2" t="s">
        <v>7220</v>
      </c>
      <c r="B1260" s="2" t="s">
        <v>1185</v>
      </c>
      <c r="C1260" s="2" t="s">
        <v>7148</v>
      </c>
      <c r="D1260" s="2" t="s">
        <v>7221</v>
      </c>
      <c r="E1260" s="2" t="s">
        <v>7222</v>
      </c>
      <c r="F1260" s="2" t="s">
        <v>7223</v>
      </c>
      <c r="G1260" s="2" t="s">
        <v>7224</v>
      </c>
      <c r="H1260" s="2" t="s">
        <v>20</v>
      </c>
      <c r="I1260" s="2" t="s">
        <v>7225</v>
      </c>
      <c r="J1260" s="2" t="s">
        <v>7148</v>
      </c>
      <c r="K1260" s="2" t="s">
        <v>1193</v>
      </c>
      <c r="L1260" s="2" t="n">
        <v>2</v>
      </c>
      <c r="M1260" s="2" t="n">
        <v>81</v>
      </c>
    </row>
    <row r="1261" customFormat="false" ht="76.1" hidden="false" customHeight="false" outlineLevel="0" collapsed="false">
      <c r="A1261" s="2" t="s">
        <v>7226</v>
      </c>
      <c r="B1261" s="2" t="s">
        <v>1185</v>
      </c>
      <c r="C1261" s="2" t="s">
        <v>7148</v>
      </c>
      <c r="D1261" s="2" t="s">
        <v>7227</v>
      </c>
      <c r="E1261" s="2" t="s">
        <v>7228</v>
      </c>
      <c r="F1261" s="2" t="s">
        <v>7229</v>
      </c>
      <c r="G1261" s="2" t="s">
        <v>4375</v>
      </c>
      <c r="H1261" s="2" t="s">
        <v>28</v>
      </c>
      <c r="I1261" s="2" t="s">
        <v>7230</v>
      </c>
      <c r="J1261" s="2" t="s">
        <v>7148</v>
      </c>
      <c r="K1261" s="2" t="s">
        <v>1193</v>
      </c>
      <c r="L1261" s="2" t="n">
        <v>2</v>
      </c>
      <c r="M1261" s="2" t="n">
        <v>81</v>
      </c>
    </row>
    <row r="1262" customFormat="false" ht="61.15" hidden="false" customHeight="false" outlineLevel="0" collapsed="false">
      <c r="A1262" s="2" t="s">
        <v>7231</v>
      </c>
      <c r="B1262" s="2" t="s">
        <v>1185</v>
      </c>
      <c r="C1262" s="2" t="s">
        <v>7148</v>
      </c>
      <c r="D1262" s="2" t="s">
        <v>7232</v>
      </c>
      <c r="E1262" s="2" t="s">
        <v>7233</v>
      </c>
      <c r="F1262" s="2" t="s">
        <v>7234</v>
      </c>
      <c r="G1262" s="2" t="s">
        <v>7235</v>
      </c>
      <c r="H1262" s="2" t="s">
        <v>20</v>
      </c>
      <c r="I1262" s="2" t="s">
        <v>7236</v>
      </c>
      <c r="J1262" s="2" t="s">
        <v>7148</v>
      </c>
      <c r="K1262" s="2" t="s">
        <v>1193</v>
      </c>
      <c r="L1262" s="2" t="n">
        <v>1</v>
      </c>
      <c r="M1262" s="2" t="n">
        <v>81</v>
      </c>
    </row>
    <row r="1263" customFormat="false" ht="61.15" hidden="false" customHeight="false" outlineLevel="0" collapsed="false">
      <c r="A1263" s="2" t="s">
        <v>7237</v>
      </c>
      <c r="B1263" s="2" t="s">
        <v>1185</v>
      </c>
      <c r="C1263" s="2" t="s">
        <v>7148</v>
      </c>
      <c r="D1263" s="2" t="s">
        <v>7238</v>
      </c>
      <c r="E1263" s="2" t="s">
        <v>4171</v>
      </c>
      <c r="F1263" s="2" t="s">
        <v>4172</v>
      </c>
      <c r="G1263" s="2" t="s">
        <v>1833</v>
      </c>
      <c r="H1263" s="2" t="s">
        <v>20</v>
      </c>
      <c r="I1263" s="2" t="s">
        <v>7239</v>
      </c>
      <c r="J1263" s="2" t="s">
        <v>7148</v>
      </c>
      <c r="K1263" s="2" t="s">
        <v>1193</v>
      </c>
      <c r="L1263" s="2" t="n">
        <v>2</v>
      </c>
      <c r="M1263" s="2" t="n">
        <v>82</v>
      </c>
    </row>
    <row r="1264" customFormat="false" ht="61.15" hidden="false" customHeight="false" outlineLevel="0" collapsed="false">
      <c r="A1264" s="2" t="s">
        <v>7240</v>
      </c>
      <c r="B1264" s="2" t="s">
        <v>1185</v>
      </c>
      <c r="C1264" s="2" t="s">
        <v>7148</v>
      </c>
      <c r="D1264" s="2" t="s">
        <v>7241</v>
      </c>
      <c r="E1264" s="2" t="s">
        <v>7242</v>
      </c>
      <c r="F1264" s="2" t="s">
        <v>7243</v>
      </c>
      <c r="G1264" s="2" t="s">
        <v>7244</v>
      </c>
      <c r="H1264" s="2" t="s">
        <v>20</v>
      </c>
      <c r="I1264" s="2" t="s">
        <v>7245</v>
      </c>
      <c r="J1264" s="2" t="s">
        <v>7148</v>
      </c>
      <c r="K1264" s="2" t="s">
        <v>1193</v>
      </c>
      <c r="L1264" s="2" t="n">
        <v>2</v>
      </c>
      <c r="M1264" s="2" t="n">
        <v>81</v>
      </c>
    </row>
    <row r="1265" customFormat="false" ht="61.15" hidden="false" customHeight="false" outlineLevel="0" collapsed="false">
      <c r="A1265" s="2" t="s">
        <v>7246</v>
      </c>
      <c r="B1265" s="2" t="s">
        <v>1185</v>
      </c>
      <c r="C1265" s="2" t="s">
        <v>7148</v>
      </c>
      <c r="D1265" s="2" t="s">
        <v>7247</v>
      </c>
      <c r="E1265" s="2" t="s">
        <v>7248</v>
      </c>
      <c r="F1265" s="2" t="s">
        <v>7249</v>
      </c>
      <c r="G1265" s="2" t="s">
        <v>7250</v>
      </c>
      <c r="H1265" s="2" t="s">
        <v>20</v>
      </c>
      <c r="I1265" s="2" t="s">
        <v>7251</v>
      </c>
      <c r="J1265" s="2" t="s">
        <v>7148</v>
      </c>
      <c r="K1265" s="2" t="s">
        <v>1193</v>
      </c>
      <c r="L1265" s="2" t="n">
        <v>2</v>
      </c>
      <c r="M1265" s="2" t="n">
        <v>82</v>
      </c>
    </row>
    <row r="1266" customFormat="false" ht="46.25" hidden="false" customHeight="false" outlineLevel="0" collapsed="false">
      <c r="A1266" s="2" t="s">
        <v>7252</v>
      </c>
      <c r="B1266" s="2" t="s">
        <v>1185</v>
      </c>
      <c r="C1266" s="2" t="s">
        <v>7148</v>
      </c>
      <c r="D1266" s="2" t="s">
        <v>7253</v>
      </c>
      <c r="E1266" s="2" t="s">
        <v>7254</v>
      </c>
      <c r="F1266" s="2" t="s">
        <v>7255</v>
      </c>
      <c r="G1266" s="2" t="s">
        <v>7256</v>
      </c>
      <c r="H1266" s="2" t="s">
        <v>20</v>
      </c>
      <c r="I1266" s="2" t="s">
        <v>7257</v>
      </c>
      <c r="J1266" s="2" t="s">
        <v>7148</v>
      </c>
      <c r="K1266" s="2" t="s">
        <v>1193</v>
      </c>
      <c r="L1266" s="2" t="n">
        <v>2</v>
      </c>
      <c r="M1266" s="2" t="n">
        <v>81</v>
      </c>
    </row>
    <row r="1267" customFormat="false" ht="76.1" hidden="false" customHeight="false" outlineLevel="0" collapsed="false">
      <c r="A1267" s="2" t="s">
        <v>7258</v>
      </c>
      <c r="B1267" s="2" t="s">
        <v>1185</v>
      </c>
      <c r="C1267" s="2" t="s">
        <v>7148</v>
      </c>
      <c r="D1267" s="2" t="s">
        <v>7259</v>
      </c>
      <c r="E1267" s="2" t="s">
        <v>7260</v>
      </c>
      <c r="F1267" s="2" t="s">
        <v>7261</v>
      </c>
      <c r="G1267" s="2" t="s">
        <v>7262</v>
      </c>
      <c r="H1267" s="2" t="s">
        <v>20</v>
      </c>
      <c r="I1267" s="2" t="s">
        <v>7263</v>
      </c>
      <c r="J1267" s="2" t="s">
        <v>7148</v>
      </c>
      <c r="K1267" s="2" t="s">
        <v>1193</v>
      </c>
      <c r="L1267" s="2" t="n">
        <v>3</v>
      </c>
      <c r="M1267" s="2" t="n">
        <v>81</v>
      </c>
    </row>
    <row r="1268" customFormat="false" ht="61.15" hidden="false" customHeight="false" outlineLevel="0" collapsed="false">
      <c r="A1268" s="2" t="s">
        <v>7264</v>
      </c>
      <c r="B1268" s="2" t="s">
        <v>1185</v>
      </c>
      <c r="C1268" s="2" t="s">
        <v>7148</v>
      </c>
      <c r="D1268" s="2" t="s">
        <v>7265</v>
      </c>
      <c r="E1268" s="2" t="s">
        <v>7266</v>
      </c>
      <c r="F1268" s="2" t="s">
        <v>2356</v>
      </c>
      <c r="G1268" s="2" t="s">
        <v>7267</v>
      </c>
      <c r="H1268" s="2" t="s">
        <v>20</v>
      </c>
      <c r="I1268" s="2" t="s">
        <v>7268</v>
      </c>
      <c r="J1268" s="2" t="s">
        <v>7148</v>
      </c>
      <c r="K1268" s="2" t="s">
        <v>1193</v>
      </c>
      <c r="L1268" s="2" t="n">
        <v>2</v>
      </c>
      <c r="M1268" s="2" t="n">
        <v>81</v>
      </c>
    </row>
    <row r="1269" customFormat="false" ht="91" hidden="false" customHeight="false" outlineLevel="0" collapsed="false">
      <c r="A1269" s="2" t="s">
        <v>7269</v>
      </c>
      <c r="B1269" s="2" t="s">
        <v>1185</v>
      </c>
      <c r="C1269" s="2" t="s">
        <v>7148</v>
      </c>
      <c r="D1269" s="2" t="s">
        <v>7270</v>
      </c>
      <c r="E1269" s="2" t="s">
        <v>7271</v>
      </c>
      <c r="F1269" s="2" t="s">
        <v>7272</v>
      </c>
      <c r="G1269" s="2" t="s">
        <v>7273</v>
      </c>
      <c r="H1269" s="2" t="s">
        <v>20</v>
      </c>
      <c r="I1269" s="2" t="s">
        <v>7274</v>
      </c>
      <c r="J1269" s="2" t="s">
        <v>7148</v>
      </c>
      <c r="K1269" s="2" t="s">
        <v>1193</v>
      </c>
      <c r="L1269" s="2" t="n">
        <v>3</v>
      </c>
      <c r="M1269" s="2" t="n">
        <v>81</v>
      </c>
    </row>
    <row r="1270" customFormat="false" ht="91" hidden="false" customHeight="false" outlineLevel="0" collapsed="false">
      <c r="A1270" s="2" t="s">
        <v>7275</v>
      </c>
      <c r="B1270" s="2" t="s">
        <v>1185</v>
      </c>
      <c r="C1270" s="2" t="s">
        <v>7148</v>
      </c>
      <c r="D1270" s="2" t="s">
        <v>7276</v>
      </c>
      <c r="E1270" s="2" t="s">
        <v>7277</v>
      </c>
      <c r="F1270" s="2" t="s">
        <v>7278</v>
      </c>
      <c r="G1270" s="2" t="s">
        <v>7279</v>
      </c>
      <c r="H1270" s="2" t="s">
        <v>20</v>
      </c>
      <c r="I1270" s="2" t="s">
        <v>7280</v>
      </c>
      <c r="J1270" s="2" t="s">
        <v>7148</v>
      </c>
      <c r="K1270" s="2" t="s">
        <v>1193</v>
      </c>
      <c r="L1270" s="2" t="n">
        <v>3</v>
      </c>
      <c r="M1270" s="2" t="n">
        <v>81</v>
      </c>
    </row>
    <row r="1271" customFormat="false" ht="76.1" hidden="false" customHeight="false" outlineLevel="0" collapsed="false">
      <c r="A1271" s="2" t="s">
        <v>7281</v>
      </c>
      <c r="B1271" s="2" t="s">
        <v>1185</v>
      </c>
      <c r="C1271" s="2" t="s">
        <v>7148</v>
      </c>
      <c r="D1271" s="2" t="s">
        <v>7282</v>
      </c>
      <c r="E1271" s="2" t="s">
        <v>7283</v>
      </c>
      <c r="F1271" s="2" t="s">
        <v>7284</v>
      </c>
      <c r="G1271" s="2" t="s">
        <v>7285</v>
      </c>
      <c r="H1271" s="2" t="s">
        <v>20</v>
      </c>
      <c r="I1271" s="2" t="s">
        <v>7286</v>
      </c>
      <c r="J1271" s="2" t="s">
        <v>7148</v>
      </c>
      <c r="K1271" s="2" t="s">
        <v>1193</v>
      </c>
      <c r="L1271" s="2" t="n">
        <v>3</v>
      </c>
      <c r="M1271" s="2" t="n">
        <v>82</v>
      </c>
    </row>
    <row r="1272" customFormat="false" ht="76.1" hidden="false" customHeight="false" outlineLevel="0" collapsed="false">
      <c r="A1272" s="2" t="s">
        <v>7287</v>
      </c>
      <c r="B1272" s="2" t="s">
        <v>1185</v>
      </c>
      <c r="C1272" s="2" t="s">
        <v>7288</v>
      </c>
      <c r="D1272" s="2" t="s">
        <v>7289</v>
      </c>
      <c r="E1272" s="2" t="s">
        <v>7290</v>
      </c>
      <c r="F1272" s="2" t="s">
        <v>7291</v>
      </c>
      <c r="G1272" s="2" t="s">
        <v>7292</v>
      </c>
      <c r="H1272" s="2" t="s">
        <v>20</v>
      </c>
      <c r="I1272" s="2" t="s">
        <v>7293</v>
      </c>
      <c r="J1272" s="2" t="s">
        <v>7294</v>
      </c>
      <c r="K1272" s="2" t="s">
        <v>1193</v>
      </c>
      <c r="L1272" s="2" t="n">
        <v>2</v>
      </c>
      <c r="M1272" s="2" t="n">
        <v>108</v>
      </c>
    </row>
    <row r="1273" customFormat="false" ht="61.15" hidden="false" customHeight="false" outlineLevel="0" collapsed="false">
      <c r="A1273" s="2" t="s">
        <v>7295</v>
      </c>
      <c r="B1273" s="2" t="s">
        <v>1185</v>
      </c>
      <c r="C1273" s="2" t="s">
        <v>7288</v>
      </c>
      <c r="D1273" s="2" t="s">
        <v>7296</v>
      </c>
      <c r="E1273" s="2" t="s">
        <v>7297</v>
      </c>
      <c r="F1273" s="2" t="s">
        <v>7298</v>
      </c>
      <c r="G1273" s="2" t="s">
        <v>7299</v>
      </c>
      <c r="H1273" s="2" t="s">
        <v>20</v>
      </c>
      <c r="I1273" s="2" t="s">
        <v>7300</v>
      </c>
      <c r="J1273" s="2" t="s">
        <v>7288</v>
      </c>
      <c r="K1273" s="2" t="s">
        <v>1193</v>
      </c>
      <c r="L1273" s="2" t="n">
        <v>2</v>
      </c>
      <c r="M1273" s="2" t="n">
        <v>108</v>
      </c>
    </row>
    <row r="1274" customFormat="false" ht="61.15" hidden="false" customHeight="false" outlineLevel="0" collapsed="false">
      <c r="A1274" s="2" t="s">
        <v>7301</v>
      </c>
      <c r="B1274" s="2" t="s">
        <v>1185</v>
      </c>
      <c r="C1274" s="2" t="s">
        <v>7288</v>
      </c>
      <c r="D1274" s="2" t="s">
        <v>7302</v>
      </c>
      <c r="E1274" s="2" t="s">
        <v>7303</v>
      </c>
      <c r="F1274" s="2" t="s">
        <v>7304</v>
      </c>
      <c r="G1274" s="2" t="s">
        <v>7305</v>
      </c>
      <c r="H1274" s="2" t="s">
        <v>20</v>
      </c>
      <c r="I1274" s="2" t="s">
        <v>7306</v>
      </c>
      <c r="J1274" s="2" t="s">
        <v>7288</v>
      </c>
      <c r="K1274" s="2" t="s">
        <v>1193</v>
      </c>
      <c r="L1274" s="2" t="n">
        <v>1</v>
      </c>
      <c r="M1274" s="2" t="n">
        <v>107</v>
      </c>
    </row>
    <row r="1275" customFormat="false" ht="46.25" hidden="false" customHeight="false" outlineLevel="0" collapsed="false">
      <c r="A1275" s="2" t="s">
        <v>7307</v>
      </c>
      <c r="B1275" s="2" t="s">
        <v>1185</v>
      </c>
      <c r="C1275" s="2" t="s">
        <v>7288</v>
      </c>
      <c r="D1275" s="2" t="s">
        <v>7308</v>
      </c>
      <c r="E1275" s="2" t="s">
        <v>7309</v>
      </c>
      <c r="F1275" s="2" t="s">
        <v>7310</v>
      </c>
      <c r="G1275" s="2" t="s">
        <v>7311</v>
      </c>
      <c r="H1275" s="2" t="s">
        <v>20</v>
      </c>
      <c r="I1275" s="2" t="s">
        <v>7312</v>
      </c>
      <c r="J1275" s="2" t="s">
        <v>7313</v>
      </c>
      <c r="K1275" s="2" t="s">
        <v>1193</v>
      </c>
      <c r="L1275" s="2" t="n">
        <v>1</v>
      </c>
      <c r="M1275" s="2" t="n">
        <v>109</v>
      </c>
    </row>
    <row r="1276" customFormat="false" ht="76.1" hidden="false" customHeight="false" outlineLevel="0" collapsed="false">
      <c r="A1276" s="2" t="s">
        <v>7314</v>
      </c>
      <c r="B1276" s="2" t="s">
        <v>1185</v>
      </c>
      <c r="C1276" s="2" t="s">
        <v>7288</v>
      </c>
      <c r="D1276" s="2" t="s">
        <v>7315</v>
      </c>
      <c r="E1276" s="2" t="s">
        <v>7316</v>
      </c>
      <c r="F1276" s="2" t="s">
        <v>7317</v>
      </c>
      <c r="G1276" s="2" t="s">
        <v>7318</v>
      </c>
      <c r="H1276" s="2" t="s">
        <v>20</v>
      </c>
      <c r="I1276" s="2" t="s">
        <v>7319</v>
      </c>
      <c r="J1276" s="2" t="s">
        <v>7320</v>
      </c>
      <c r="K1276" s="2" t="s">
        <v>1193</v>
      </c>
      <c r="L1276" s="2" t="n">
        <v>2</v>
      </c>
      <c r="M1276" s="2" t="n">
        <v>109</v>
      </c>
    </row>
    <row r="1277" customFormat="false" ht="91" hidden="false" customHeight="false" outlineLevel="0" collapsed="false">
      <c r="A1277" s="2" t="s">
        <v>7321</v>
      </c>
      <c r="B1277" s="2" t="s">
        <v>1185</v>
      </c>
      <c r="C1277" s="2" t="s">
        <v>7288</v>
      </c>
      <c r="D1277" s="2" t="s">
        <v>7322</v>
      </c>
      <c r="E1277" s="2" t="s">
        <v>7323</v>
      </c>
      <c r="F1277" s="2" t="s">
        <v>7324</v>
      </c>
      <c r="G1277" s="2" t="s">
        <v>7325</v>
      </c>
      <c r="H1277" s="2" t="s">
        <v>20</v>
      </c>
      <c r="I1277" s="2" t="s">
        <v>7326</v>
      </c>
      <c r="J1277" s="2" t="s">
        <v>7327</v>
      </c>
      <c r="K1277" s="2" t="s">
        <v>1193</v>
      </c>
      <c r="L1277" s="2" t="n">
        <v>2</v>
      </c>
      <c r="M1277" s="2" t="n">
        <v>109</v>
      </c>
    </row>
    <row r="1278" customFormat="false" ht="91" hidden="false" customHeight="false" outlineLevel="0" collapsed="false">
      <c r="A1278" s="2" t="s">
        <v>7328</v>
      </c>
      <c r="B1278" s="2" t="s">
        <v>1185</v>
      </c>
      <c r="C1278" s="2" t="s">
        <v>7288</v>
      </c>
      <c r="D1278" s="2" t="s">
        <v>7329</v>
      </c>
      <c r="E1278" s="2" t="s">
        <v>7330</v>
      </c>
      <c r="F1278" s="2" t="s">
        <v>7331</v>
      </c>
      <c r="G1278" s="2" t="s">
        <v>7332</v>
      </c>
      <c r="H1278" s="2" t="s">
        <v>20</v>
      </c>
      <c r="I1278" s="2" t="s">
        <v>7333</v>
      </c>
      <c r="J1278" s="2" t="s">
        <v>7334</v>
      </c>
      <c r="K1278" s="2" t="s">
        <v>1193</v>
      </c>
      <c r="L1278" s="2" t="n">
        <v>2</v>
      </c>
      <c r="M1278" s="2" t="n">
        <v>111</v>
      </c>
    </row>
    <row r="1279" customFormat="false" ht="105.95" hidden="false" customHeight="false" outlineLevel="0" collapsed="false">
      <c r="A1279" s="2" t="s">
        <v>7335</v>
      </c>
      <c r="B1279" s="2" t="s">
        <v>1185</v>
      </c>
      <c r="C1279" s="2" t="s">
        <v>7288</v>
      </c>
      <c r="D1279" s="2" t="s">
        <v>7336</v>
      </c>
      <c r="E1279" s="2" t="s">
        <v>7337</v>
      </c>
      <c r="F1279" s="2" t="s">
        <v>7338</v>
      </c>
      <c r="G1279" s="2" t="s">
        <v>7339</v>
      </c>
      <c r="H1279" s="2" t="s">
        <v>20</v>
      </c>
      <c r="I1279" s="2" t="s">
        <v>7340</v>
      </c>
      <c r="J1279" s="2" t="s">
        <v>7341</v>
      </c>
      <c r="K1279" s="2" t="s">
        <v>1193</v>
      </c>
      <c r="L1279" s="2" t="n">
        <v>2</v>
      </c>
      <c r="M1279" s="2" t="n">
        <v>110</v>
      </c>
    </row>
    <row r="1280" customFormat="false" ht="91" hidden="false" customHeight="false" outlineLevel="0" collapsed="false">
      <c r="A1280" s="2" t="s">
        <v>7342</v>
      </c>
      <c r="B1280" s="2" t="s">
        <v>1185</v>
      </c>
      <c r="C1280" s="2" t="s">
        <v>7288</v>
      </c>
      <c r="D1280" s="2" t="s">
        <v>7343</v>
      </c>
      <c r="E1280" s="2" t="s">
        <v>7344</v>
      </c>
      <c r="F1280" s="2" t="s">
        <v>7345</v>
      </c>
      <c r="G1280" s="2" t="s">
        <v>7346</v>
      </c>
      <c r="H1280" s="2" t="s">
        <v>20</v>
      </c>
      <c r="I1280" s="2" t="s">
        <v>7347</v>
      </c>
      <c r="J1280" s="2" t="s">
        <v>7348</v>
      </c>
      <c r="K1280" s="2" t="s">
        <v>1193</v>
      </c>
      <c r="L1280" s="2" t="n">
        <v>1</v>
      </c>
      <c r="M1280" s="2" t="n">
        <v>111</v>
      </c>
    </row>
    <row r="1281" customFormat="false" ht="61.15" hidden="false" customHeight="false" outlineLevel="0" collapsed="false">
      <c r="A1281" s="2" t="s">
        <v>7349</v>
      </c>
      <c r="B1281" s="2" t="s">
        <v>1185</v>
      </c>
      <c r="C1281" s="2" t="s">
        <v>7288</v>
      </c>
      <c r="D1281" s="2" t="s">
        <v>7350</v>
      </c>
      <c r="E1281" s="2" t="s">
        <v>7351</v>
      </c>
      <c r="F1281" s="2" t="s">
        <v>7352</v>
      </c>
      <c r="G1281" s="2" t="s">
        <v>7353</v>
      </c>
      <c r="H1281" s="2" t="s">
        <v>20</v>
      </c>
      <c r="I1281" s="2" t="s">
        <v>7354</v>
      </c>
      <c r="J1281" s="2" t="s">
        <v>7355</v>
      </c>
      <c r="K1281" s="2" t="s">
        <v>1193</v>
      </c>
      <c r="L1281" s="2" t="n">
        <v>1</v>
      </c>
      <c r="M1281" s="2" t="n">
        <v>111</v>
      </c>
    </row>
    <row r="1282" customFormat="false" ht="61.15" hidden="false" customHeight="false" outlineLevel="0" collapsed="false">
      <c r="A1282" s="2" t="s">
        <v>7356</v>
      </c>
      <c r="B1282" s="2" t="s">
        <v>1185</v>
      </c>
      <c r="C1282" s="2" t="s">
        <v>7288</v>
      </c>
      <c r="D1282" s="2" t="s">
        <v>7357</v>
      </c>
      <c r="E1282" s="2" t="s">
        <v>7358</v>
      </c>
      <c r="F1282" s="2" t="s">
        <v>7359</v>
      </c>
      <c r="G1282" s="2" t="s">
        <v>7360</v>
      </c>
      <c r="H1282" s="2" t="s">
        <v>20</v>
      </c>
      <c r="I1282" s="2" t="s">
        <v>7361</v>
      </c>
      <c r="J1282" s="2" t="s">
        <v>7362</v>
      </c>
      <c r="K1282" s="2" t="s">
        <v>1193</v>
      </c>
      <c r="L1282" s="2" t="n">
        <v>2</v>
      </c>
      <c r="M1282" s="2" t="n">
        <v>112</v>
      </c>
    </row>
    <row r="1283" customFormat="false" ht="61.15" hidden="false" customHeight="false" outlineLevel="0" collapsed="false">
      <c r="A1283" s="2" t="s">
        <v>7363</v>
      </c>
      <c r="B1283" s="2" t="s">
        <v>1185</v>
      </c>
      <c r="C1283" s="2" t="s">
        <v>7288</v>
      </c>
      <c r="D1283" s="2" t="s">
        <v>7364</v>
      </c>
      <c r="E1283" s="2" t="s">
        <v>7365</v>
      </c>
      <c r="F1283" s="2" t="s">
        <v>7366</v>
      </c>
      <c r="G1283" s="2" t="s">
        <v>7367</v>
      </c>
      <c r="H1283" s="2" t="s">
        <v>226</v>
      </c>
      <c r="I1283" s="2" t="s">
        <v>7368</v>
      </c>
      <c r="J1283" s="2" t="s">
        <v>7369</v>
      </c>
      <c r="K1283" s="2" t="s">
        <v>1193</v>
      </c>
      <c r="L1283" s="2" t="n">
        <v>2</v>
      </c>
      <c r="M1283" s="2" t="n">
        <v>107</v>
      </c>
    </row>
    <row r="1284" customFormat="false" ht="61.15" hidden="false" customHeight="false" outlineLevel="0" collapsed="false">
      <c r="A1284" s="2" t="s">
        <v>7370</v>
      </c>
      <c r="B1284" s="2" t="s">
        <v>1185</v>
      </c>
      <c r="C1284" s="2" t="s">
        <v>7288</v>
      </c>
      <c r="D1284" s="2" t="s">
        <v>7371</v>
      </c>
      <c r="E1284" s="2" t="s">
        <v>7372</v>
      </c>
      <c r="F1284" s="2" t="s">
        <v>7373</v>
      </c>
      <c r="G1284" s="2" t="s">
        <v>7374</v>
      </c>
      <c r="H1284" s="2" t="s">
        <v>20</v>
      </c>
      <c r="I1284" s="2" t="s">
        <v>7375</v>
      </c>
      <c r="J1284" s="2" t="s">
        <v>7376</v>
      </c>
      <c r="K1284" s="2" t="s">
        <v>1193</v>
      </c>
      <c r="L1284" s="2" t="n">
        <v>2</v>
      </c>
      <c r="M1284" s="2" t="n">
        <v>107</v>
      </c>
    </row>
    <row r="1285" customFormat="false" ht="46.25" hidden="false" customHeight="false" outlineLevel="0" collapsed="false">
      <c r="A1285" s="2" t="s">
        <v>7377</v>
      </c>
      <c r="B1285" s="2" t="s">
        <v>1185</v>
      </c>
      <c r="C1285" s="2" t="s">
        <v>7288</v>
      </c>
      <c r="D1285" s="2" t="s">
        <v>7378</v>
      </c>
      <c r="E1285" s="2" t="s">
        <v>7379</v>
      </c>
      <c r="F1285" s="2" t="s">
        <v>7380</v>
      </c>
      <c r="G1285" s="2" t="s">
        <v>7381</v>
      </c>
      <c r="H1285" s="2" t="s">
        <v>20</v>
      </c>
      <c r="I1285" s="2" t="s">
        <v>7382</v>
      </c>
      <c r="J1285" s="2" t="s">
        <v>7383</v>
      </c>
      <c r="K1285" s="2" t="s">
        <v>1193</v>
      </c>
      <c r="L1285" s="2" t="n">
        <v>2</v>
      </c>
      <c r="M1285" s="2" t="n">
        <v>107</v>
      </c>
    </row>
    <row r="1286" customFormat="false" ht="76.1" hidden="false" customHeight="false" outlineLevel="0" collapsed="false">
      <c r="A1286" s="2" t="s">
        <v>7384</v>
      </c>
      <c r="B1286" s="2" t="s">
        <v>1185</v>
      </c>
      <c r="C1286" s="2" t="s">
        <v>7288</v>
      </c>
      <c r="D1286" s="2" t="s">
        <v>7385</v>
      </c>
      <c r="E1286" s="2" t="s">
        <v>7386</v>
      </c>
      <c r="F1286" s="2" t="s">
        <v>7387</v>
      </c>
      <c r="G1286" s="2" t="s">
        <v>7388</v>
      </c>
      <c r="H1286" s="2" t="s">
        <v>20</v>
      </c>
      <c r="I1286" s="2" t="s">
        <v>7389</v>
      </c>
      <c r="J1286" s="2" t="s">
        <v>7390</v>
      </c>
      <c r="K1286" s="2" t="s">
        <v>1193</v>
      </c>
      <c r="L1286" s="2" t="n">
        <v>2</v>
      </c>
      <c r="M1286" s="2" t="n">
        <v>107</v>
      </c>
    </row>
    <row r="1287" customFormat="false" ht="46.25" hidden="false" customHeight="false" outlineLevel="0" collapsed="false">
      <c r="A1287" s="2" t="s">
        <v>7391</v>
      </c>
      <c r="B1287" s="2" t="s">
        <v>1185</v>
      </c>
      <c r="C1287" s="2" t="s">
        <v>7288</v>
      </c>
      <c r="D1287" s="2" t="s">
        <v>7392</v>
      </c>
      <c r="E1287" s="2" t="s">
        <v>7393</v>
      </c>
      <c r="F1287" s="2" t="s">
        <v>7394</v>
      </c>
      <c r="G1287" s="2" t="s">
        <v>7395</v>
      </c>
      <c r="H1287" s="2" t="s">
        <v>226</v>
      </c>
      <c r="I1287" s="2" t="s">
        <v>7396</v>
      </c>
      <c r="J1287" s="2" t="s">
        <v>7397</v>
      </c>
      <c r="K1287" s="2" t="s">
        <v>1193</v>
      </c>
      <c r="L1287" s="2" t="n">
        <v>2</v>
      </c>
      <c r="M1287" s="2" t="n">
        <v>107</v>
      </c>
    </row>
    <row r="1288" customFormat="false" ht="61.15" hidden="false" customHeight="false" outlineLevel="0" collapsed="false">
      <c r="A1288" s="2" t="s">
        <v>7398</v>
      </c>
      <c r="B1288" s="2" t="s">
        <v>1185</v>
      </c>
      <c r="C1288" s="2" t="s">
        <v>7288</v>
      </c>
      <c r="D1288" s="2" t="s">
        <v>7399</v>
      </c>
      <c r="E1288" s="2" t="s">
        <v>7400</v>
      </c>
      <c r="F1288" s="2" t="s">
        <v>7401</v>
      </c>
      <c r="G1288" s="2" t="s">
        <v>7402</v>
      </c>
      <c r="H1288" s="2" t="s">
        <v>20</v>
      </c>
      <c r="I1288" s="2" t="s">
        <v>7403</v>
      </c>
      <c r="J1288" s="2" t="s">
        <v>7404</v>
      </c>
      <c r="K1288" s="2" t="s">
        <v>1193</v>
      </c>
      <c r="L1288" s="2" t="n">
        <v>3</v>
      </c>
      <c r="M1288" s="2" t="n">
        <v>107</v>
      </c>
    </row>
    <row r="1289" customFormat="false" ht="76.1" hidden="false" customHeight="false" outlineLevel="0" collapsed="false">
      <c r="A1289" s="2" t="s">
        <v>7405</v>
      </c>
      <c r="B1289" s="2" t="s">
        <v>1185</v>
      </c>
      <c r="C1289" s="2" t="s">
        <v>7288</v>
      </c>
      <c r="D1289" s="2" t="s">
        <v>7406</v>
      </c>
      <c r="E1289" s="2" t="s">
        <v>7407</v>
      </c>
      <c r="F1289" s="2" t="s">
        <v>7408</v>
      </c>
      <c r="G1289" s="2" t="s">
        <v>7409</v>
      </c>
      <c r="H1289" s="2" t="s">
        <v>20</v>
      </c>
      <c r="I1289" s="2" t="s">
        <v>7410</v>
      </c>
      <c r="J1289" s="2" t="s">
        <v>7411</v>
      </c>
      <c r="K1289" s="2" t="s">
        <v>1193</v>
      </c>
      <c r="L1289" s="2" t="n">
        <v>2</v>
      </c>
      <c r="M1289" s="2" t="n">
        <v>107</v>
      </c>
    </row>
    <row r="1290" customFormat="false" ht="46.25" hidden="false" customHeight="false" outlineLevel="0" collapsed="false">
      <c r="A1290" s="2" t="s">
        <v>7412</v>
      </c>
      <c r="B1290" s="2" t="s">
        <v>1185</v>
      </c>
      <c r="C1290" s="2" t="s">
        <v>7288</v>
      </c>
      <c r="D1290" s="2" t="s">
        <v>7413</v>
      </c>
      <c r="E1290" s="2" t="s">
        <v>7414</v>
      </c>
      <c r="F1290" s="2" t="s">
        <v>7415</v>
      </c>
      <c r="G1290" s="2" t="s">
        <v>7416</v>
      </c>
      <c r="H1290" s="2" t="s">
        <v>20</v>
      </c>
      <c r="I1290" s="2" t="s">
        <v>7417</v>
      </c>
      <c r="J1290" s="2" t="s">
        <v>7418</v>
      </c>
      <c r="K1290" s="2" t="s">
        <v>1193</v>
      </c>
      <c r="L1290" s="2" t="n">
        <v>2</v>
      </c>
      <c r="M1290" s="2" t="n">
        <v>108</v>
      </c>
    </row>
    <row r="1291" customFormat="false" ht="61.15" hidden="false" customHeight="false" outlineLevel="0" collapsed="false">
      <c r="A1291" s="2" t="s">
        <v>7419</v>
      </c>
      <c r="B1291" s="2" t="s">
        <v>1185</v>
      </c>
      <c r="C1291" s="2" t="s">
        <v>7288</v>
      </c>
      <c r="D1291" s="2" t="s">
        <v>7420</v>
      </c>
      <c r="E1291" s="2" t="s">
        <v>7421</v>
      </c>
      <c r="F1291" s="2" t="s">
        <v>7422</v>
      </c>
      <c r="G1291" s="2" t="s">
        <v>7423</v>
      </c>
      <c r="H1291" s="2" t="s">
        <v>226</v>
      </c>
      <c r="I1291" s="2" t="s">
        <v>7424</v>
      </c>
      <c r="J1291" s="2" t="s">
        <v>7425</v>
      </c>
      <c r="K1291" s="2" t="s">
        <v>1193</v>
      </c>
      <c r="L1291" s="2" t="n">
        <v>2</v>
      </c>
      <c r="M1291" s="2" t="n">
        <v>108</v>
      </c>
    </row>
    <row r="1292" customFormat="false" ht="76.1" hidden="false" customHeight="false" outlineLevel="0" collapsed="false">
      <c r="A1292" s="2" t="s">
        <v>7426</v>
      </c>
      <c r="B1292" s="2" t="s">
        <v>1185</v>
      </c>
      <c r="C1292" s="2" t="s">
        <v>7288</v>
      </c>
      <c r="D1292" s="2" t="s">
        <v>7427</v>
      </c>
      <c r="E1292" s="2" t="s">
        <v>7428</v>
      </c>
      <c r="F1292" s="2" t="s">
        <v>7429</v>
      </c>
      <c r="G1292" s="2" t="s">
        <v>7430</v>
      </c>
      <c r="H1292" s="2" t="s">
        <v>20</v>
      </c>
      <c r="I1292" s="2" t="s">
        <v>7431</v>
      </c>
      <c r="J1292" s="2" t="s">
        <v>7432</v>
      </c>
      <c r="K1292" s="2" t="s">
        <v>1193</v>
      </c>
      <c r="L1292" s="2" t="n">
        <v>3</v>
      </c>
      <c r="M1292" s="2" t="n">
        <v>107</v>
      </c>
    </row>
    <row r="1293" customFormat="false" ht="61.15" hidden="false" customHeight="false" outlineLevel="0" collapsed="false">
      <c r="A1293" s="2" t="s">
        <v>7433</v>
      </c>
      <c r="B1293" s="2" t="s">
        <v>1185</v>
      </c>
      <c r="C1293" s="2" t="s">
        <v>7288</v>
      </c>
      <c r="D1293" s="2" t="s">
        <v>7434</v>
      </c>
      <c r="E1293" s="2" t="s">
        <v>7435</v>
      </c>
      <c r="F1293" s="2" t="s">
        <v>7436</v>
      </c>
      <c r="G1293" s="2" t="s">
        <v>7437</v>
      </c>
      <c r="H1293" s="2" t="s">
        <v>226</v>
      </c>
      <c r="I1293" s="2" t="s">
        <v>7438</v>
      </c>
      <c r="J1293" s="2" t="s">
        <v>7439</v>
      </c>
      <c r="K1293" s="2" t="s">
        <v>1193</v>
      </c>
      <c r="L1293" s="2" t="n">
        <v>3</v>
      </c>
      <c r="M1293" s="2" t="n">
        <v>110</v>
      </c>
    </row>
    <row r="1294" customFormat="false" ht="46.25" hidden="false" customHeight="false" outlineLevel="0" collapsed="false">
      <c r="A1294" s="2" t="s">
        <v>7440</v>
      </c>
      <c r="B1294" s="2" t="s">
        <v>1185</v>
      </c>
      <c r="C1294" s="2" t="s">
        <v>7288</v>
      </c>
      <c r="D1294" s="2" t="s">
        <v>7441</v>
      </c>
      <c r="E1294" s="2" t="s">
        <v>7442</v>
      </c>
      <c r="F1294" s="2" t="s">
        <v>7443</v>
      </c>
      <c r="G1294" s="2" t="s">
        <v>7444</v>
      </c>
      <c r="H1294" s="2" t="s">
        <v>20</v>
      </c>
      <c r="I1294" s="2" t="s">
        <v>7445</v>
      </c>
      <c r="J1294" s="2" t="s">
        <v>7446</v>
      </c>
      <c r="K1294" s="2" t="s">
        <v>1193</v>
      </c>
      <c r="L1294" s="2" t="n">
        <v>2</v>
      </c>
      <c r="M1294" s="2" t="n">
        <v>107</v>
      </c>
    </row>
    <row r="1295" customFormat="false" ht="76.1" hidden="false" customHeight="false" outlineLevel="0" collapsed="false">
      <c r="A1295" s="2" t="s">
        <v>7447</v>
      </c>
      <c r="B1295" s="2" t="s">
        <v>1185</v>
      </c>
      <c r="C1295" s="2" t="s">
        <v>7288</v>
      </c>
      <c r="D1295" s="2" t="s">
        <v>7448</v>
      </c>
      <c r="E1295" s="2" t="s">
        <v>7449</v>
      </c>
      <c r="F1295" s="2" t="s">
        <v>7450</v>
      </c>
      <c r="G1295" s="2" t="s">
        <v>7451</v>
      </c>
      <c r="H1295" s="2" t="s">
        <v>20</v>
      </c>
      <c r="I1295" s="2" t="s">
        <v>7452</v>
      </c>
      <c r="J1295" s="2" t="s">
        <v>7453</v>
      </c>
      <c r="K1295" s="2" t="s">
        <v>1193</v>
      </c>
      <c r="L1295" s="2" t="n">
        <v>3</v>
      </c>
      <c r="M1295" s="2" t="n">
        <v>107</v>
      </c>
    </row>
    <row r="1296" customFormat="false" ht="61.15" hidden="false" customHeight="false" outlineLevel="0" collapsed="false">
      <c r="A1296" s="2" t="s">
        <v>7454</v>
      </c>
      <c r="B1296" s="2" t="s">
        <v>1185</v>
      </c>
      <c r="C1296" s="2" t="s">
        <v>7288</v>
      </c>
      <c r="D1296" s="2" t="s">
        <v>7455</v>
      </c>
      <c r="E1296" s="2" t="s">
        <v>7456</v>
      </c>
      <c r="F1296" s="2" t="s">
        <v>7457</v>
      </c>
      <c r="G1296" s="2" t="s">
        <v>7458</v>
      </c>
      <c r="H1296" s="2" t="s">
        <v>20</v>
      </c>
      <c r="I1296" s="2" t="s">
        <v>7459</v>
      </c>
      <c r="J1296" s="2" t="s">
        <v>7460</v>
      </c>
      <c r="K1296" s="2" t="s">
        <v>1193</v>
      </c>
      <c r="L1296" s="2" t="n">
        <v>3</v>
      </c>
      <c r="M1296" s="2" t="n">
        <v>109</v>
      </c>
    </row>
    <row r="1297" customFormat="false" ht="61.15" hidden="false" customHeight="false" outlineLevel="0" collapsed="false">
      <c r="A1297" s="2" t="s">
        <v>7461</v>
      </c>
      <c r="B1297" s="2" t="s">
        <v>1185</v>
      </c>
      <c r="C1297" s="2" t="s">
        <v>7288</v>
      </c>
      <c r="D1297" s="2" t="s">
        <v>7462</v>
      </c>
      <c r="E1297" s="2" t="s">
        <v>7463</v>
      </c>
      <c r="F1297" s="2" t="s">
        <v>7464</v>
      </c>
      <c r="G1297" s="2" t="s">
        <v>7465</v>
      </c>
      <c r="H1297" s="2" t="s">
        <v>20</v>
      </c>
      <c r="I1297" s="2" t="s">
        <v>7466</v>
      </c>
      <c r="J1297" s="2" t="s">
        <v>7467</v>
      </c>
      <c r="K1297" s="2" t="s">
        <v>1193</v>
      </c>
      <c r="L1297" s="2" t="n">
        <v>2</v>
      </c>
      <c r="M1297" s="2" t="n">
        <v>108</v>
      </c>
    </row>
    <row r="1298" customFormat="false" ht="76.1" hidden="false" customHeight="false" outlineLevel="0" collapsed="false">
      <c r="A1298" s="2" t="s">
        <v>7468</v>
      </c>
      <c r="B1298" s="2" t="s">
        <v>1185</v>
      </c>
      <c r="C1298" s="2" t="s">
        <v>7288</v>
      </c>
      <c r="D1298" s="2" t="s">
        <v>7469</v>
      </c>
      <c r="E1298" s="2" t="s">
        <v>7470</v>
      </c>
      <c r="F1298" s="2" t="s">
        <v>7471</v>
      </c>
      <c r="G1298" s="2" t="s">
        <v>7472</v>
      </c>
      <c r="H1298" s="2" t="s">
        <v>20</v>
      </c>
      <c r="I1298" s="2" t="s">
        <v>7473</v>
      </c>
      <c r="J1298" s="2" t="s">
        <v>7474</v>
      </c>
      <c r="K1298" s="2" t="s">
        <v>1193</v>
      </c>
      <c r="L1298" s="2" t="n">
        <v>2</v>
      </c>
      <c r="M1298" s="2" t="n">
        <v>108</v>
      </c>
    </row>
    <row r="1299" customFormat="false" ht="61.15" hidden="false" customHeight="false" outlineLevel="0" collapsed="false">
      <c r="A1299" s="2" t="s">
        <v>7475</v>
      </c>
      <c r="B1299" s="2" t="s">
        <v>1185</v>
      </c>
      <c r="C1299" s="2" t="s">
        <v>7288</v>
      </c>
      <c r="D1299" s="2" t="s">
        <v>7476</v>
      </c>
      <c r="E1299" s="2" t="s">
        <v>7477</v>
      </c>
      <c r="F1299" s="2" t="s">
        <v>7478</v>
      </c>
      <c r="G1299" s="2" t="s">
        <v>7479</v>
      </c>
      <c r="H1299" s="2" t="s">
        <v>20</v>
      </c>
      <c r="I1299" s="2" t="s">
        <v>7480</v>
      </c>
      <c r="J1299" s="2" t="s">
        <v>7481</v>
      </c>
      <c r="K1299" s="2" t="s">
        <v>1193</v>
      </c>
      <c r="L1299" s="2" t="n">
        <v>3</v>
      </c>
      <c r="M1299" s="2" t="n">
        <v>108</v>
      </c>
    </row>
    <row r="1300" customFormat="false" ht="61.15" hidden="false" customHeight="false" outlineLevel="0" collapsed="false">
      <c r="A1300" s="2" t="s">
        <v>7482</v>
      </c>
      <c r="B1300" s="2" t="s">
        <v>1185</v>
      </c>
      <c r="C1300" s="2" t="s">
        <v>7288</v>
      </c>
      <c r="D1300" s="2" t="s">
        <v>7483</v>
      </c>
      <c r="E1300" s="2" t="s">
        <v>7484</v>
      </c>
      <c r="F1300" s="2" t="s">
        <v>7485</v>
      </c>
      <c r="G1300" s="2" t="s">
        <v>7486</v>
      </c>
      <c r="H1300" s="2" t="s">
        <v>20</v>
      </c>
      <c r="I1300" s="2" t="s">
        <v>7487</v>
      </c>
      <c r="J1300" s="2" t="s">
        <v>7488</v>
      </c>
      <c r="K1300" s="2" t="s">
        <v>1193</v>
      </c>
      <c r="L1300" s="2" t="n">
        <v>2</v>
      </c>
      <c r="M1300" s="2" t="n">
        <v>108</v>
      </c>
    </row>
    <row r="1301" customFormat="false" ht="76.1" hidden="false" customHeight="false" outlineLevel="0" collapsed="false">
      <c r="A1301" s="2" t="s">
        <v>7489</v>
      </c>
      <c r="B1301" s="2" t="s">
        <v>1185</v>
      </c>
      <c r="C1301" s="2" t="s">
        <v>7288</v>
      </c>
      <c r="D1301" s="2" t="s">
        <v>7490</v>
      </c>
      <c r="E1301" s="2" t="s">
        <v>7491</v>
      </c>
      <c r="F1301" s="2" t="s">
        <v>7492</v>
      </c>
      <c r="G1301" s="2" t="s">
        <v>7493</v>
      </c>
      <c r="H1301" s="2" t="s">
        <v>20</v>
      </c>
      <c r="I1301" s="2" t="s">
        <v>7494</v>
      </c>
      <c r="J1301" s="2" t="s">
        <v>7495</v>
      </c>
      <c r="K1301" s="2" t="s">
        <v>1193</v>
      </c>
      <c r="L1301" s="2" t="n">
        <v>3</v>
      </c>
      <c r="M1301" s="2" t="n">
        <v>108</v>
      </c>
    </row>
    <row r="1302" customFormat="false" ht="46.25" hidden="false" customHeight="false" outlineLevel="0" collapsed="false">
      <c r="A1302" s="2" t="s">
        <v>7496</v>
      </c>
      <c r="B1302" s="2" t="s">
        <v>1185</v>
      </c>
      <c r="C1302" s="2" t="s">
        <v>7288</v>
      </c>
      <c r="D1302" s="2" t="s">
        <v>7497</v>
      </c>
      <c r="E1302" s="2" t="s">
        <v>7498</v>
      </c>
      <c r="F1302" s="2" t="s">
        <v>7499</v>
      </c>
      <c r="G1302" s="2" t="s">
        <v>7500</v>
      </c>
      <c r="H1302" s="2" t="s">
        <v>20</v>
      </c>
      <c r="I1302" s="2" t="s">
        <v>7501</v>
      </c>
      <c r="J1302" s="2" t="s">
        <v>7502</v>
      </c>
      <c r="K1302" s="2" t="s">
        <v>1193</v>
      </c>
      <c r="L1302" s="2" t="n">
        <v>3</v>
      </c>
      <c r="M1302" s="2" t="n">
        <v>108</v>
      </c>
    </row>
    <row r="1303" customFormat="false" ht="76.1" hidden="false" customHeight="false" outlineLevel="0" collapsed="false">
      <c r="A1303" s="2" t="s">
        <v>7503</v>
      </c>
      <c r="B1303" s="2" t="s">
        <v>1185</v>
      </c>
      <c r="C1303" s="2" t="s">
        <v>7288</v>
      </c>
      <c r="D1303" s="2" t="s">
        <v>7504</v>
      </c>
      <c r="E1303" s="2" t="s">
        <v>7505</v>
      </c>
      <c r="F1303" s="2" t="s">
        <v>7506</v>
      </c>
      <c r="G1303" s="2" t="s">
        <v>7507</v>
      </c>
      <c r="H1303" s="2" t="s">
        <v>20</v>
      </c>
      <c r="I1303" s="2" t="s">
        <v>7508</v>
      </c>
      <c r="J1303" s="2" t="s">
        <v>7509</v>
      </c>
      <c r="K1303" s="2" t="s">
        <v>1193</v>
      </c>
      <c r="L1303" s="2" t="n">
        <v>2</v>
      </c>
      <c r="M1303" s="2" t="n">
        <v>108</v>
      </c>
    </row>
    <row r="1304" customFormat="false" ht="61.15" hidden="false" customHeight="false" outlineLevel="0" collapsed="false">
      <c r="A1304" s="2" t="s">
        <v>7510</v>
      </c>
      <c r="B1304" s="2" t="s">
        <v>1185</v>
      </c>
      <c r="C1304" s="2" t="s">
        <v>7288</v>
      </c>
      <c r="D1304" s="2" t="s">
        <v>7511</v>
      </c>
      <c r="E1304" s="2" t="s">
        <v>7512</v>
      </c>
      <c r="F1304" s="2" t="s">
        <v>7513</v>
      </c>
      <c r="G1304" s="2" t="s">
        <v>7514</v>
      </c>
      <c r="H1304" s="2" t="s">
        <v>20</v>
      </c>
      <c r="I1304" s="2" t="s">
        <v>7515</v>
      </c>
      <c r="J1304" s="2" t="s">
        <v>7516</v>
      </c>
      <c r="K1304" s="2" t="s">
        <v>1193</v>
      </c>
      <c r="L1304" s="2" t="n">
        <v>2</v>
      </c>
      <c r="M1304" s="2" t="n">
        <v>109</v>
      </c>
    </row>
    <row r="1305" customFormat="false" ht="46.25" hidden="false" customHeight="false" outlineLevel="0" collapsed="false">
      <c r="A1305" s="2" t="s">
        <v>7517</v>
      </c>
      <c r="B1305" s="2" t="s">
        <v>1185</v>
      </c>
      <c r="C1305" s="2" t="s">
        <v>7288</v>
      </c>
      <c r="D1305" s="2" t="s">
        <v>7518</v>
      </c>
      <c r="E1305" s="2" t="s">
        <v>7519</v>
      </c>
      <c r="F1305" s="2" t="s">
        <v>7520</v>
      </c>
      <c r="G1305" s="2" t="s">
        <v>7521</v>
      </c>
      <c r="H1305" s="2" t="s">
        <v>20</v>
      </c>
      <c r="I1305" s="2" t="s">
        <v>7522</v>
      </c>
      <c r="J1305" s="2" t="s">
        <v>7523</v>
      </c>
      <c r="K1305" s="2" t="s">
        <v>1193</v>
      </c>
      <c r="L1305" s="2" t="n">
        <v>2</v>
      </c>
      <c r="M1305" s="2" t="n">
        <v>109</v>
      </c>
    </row>
    <row r="1306" customFormat="false" ht="31.3" hidden="false" customHeight="false" outlineLevel="0" collapsed="false">
      <c r="A1306" s="2" t="s">
        <v>7524</v>
      </c>
      <c r="B1306" s="2" t="s">
        <v>1185</v>
      </c>
      <c r="C1306" s="2" t="s">
        <v>7288</v>
      </c>
      <c r="D1306" s="2" t="s">
        <v>7525</v>
      </c>
      <c r="E1306" s="2" t="s">
        <v>7526</v>
      </c>
      <c r="F1306" s="2" t="s">
        <v>7527</v>
      </c>
      <c r="G1306" s="2" t="s">
        <v>7528</v>
      </c>
      <c r="H1306" s="2" t="s">
        <v>20</v>
      </c>
      <c r="I1306" s="2" t="s">
        <v>7529</v>
      </c>
      <c r="J1306" s="2" t="s">
        <v>7530</v>
      </c>
      <c r="K1306" s="2" t="s">
        <v>1193</v>
      </c>
      <c r="L1306" s="2" t="n">
        <v>2</v>
      </c>
      <c r="M1306" s="2" t="n">
        <v>109</v>
      </c>
    </row>
    <row r="1307" customFormat="false" ht="76.1" hidden="false" customHeight="false" outlineLevel="0" collapsed="false">
      <c r="A1307" s="2" t="s">
        <v>7531</v>
      </c>
      <c r="B1307" s="2" t="s">
        <v>1185</v>
      </c>
      <c r="C1307" s="2" t="s">
        <v>7288</v>
      </c>
      <c r="D1307" s="2" t="s">
        <v>7532</v>
      </c>
      <c r="E1307" s="2" t="s">
        <v>7533</v>
      </c>
      <c r="F1307" s="2" t="s">
        <v>7534</v>
      </c>
      <c r="G1307" s="2" t="s">
        <v>7535</v>
      </c>
      <c r="H1307" s="2" t="s">
        <v>226</v>
      </c>
      <c r="I1307" s="2" t="s">
        <v>7536</v>
      </c>
      <c r="J1307" s="2" t="s">
        <v>7537</v>
      </c>
      <c r="K1307" s="2" t="s">
        <v>1193</v>
      </c>
      <c r="L1307" s="2" t="n">
        <v>2</v>
      </c>
      <c r="M1307" s="2" t="n">
        <v>109</v>
      </c>
    </row>
    <row r="1308" customFormat="false" ht="46.25" hidden="false" customHeight="false" outlineLevel="0" collapsed="false">
      <c r="A1308" s="2" t="s">
        <v>7538</v>
      </c>
      <c r="B1308" s="2" t="s">
        <v>1185</v>
      </c>
      <c r="C1308" s="2" t="s">
        <v>7288</v>
      </c>
      <c r="D1308" s="2" t="s">
        <v>7539</v>
      </c>
      <c r="E1308" s="2" t="s">
        <v>7540</v>
      </c>
      <c r="F1308" s="2" t="s">
        <v>7541</v>
      </c>
      <c r="G1308" s="2" t="s">
        <v>7542</v>
      </c>
      <c r="H1308" s="2" t="s">
        <v>20</v>
      </c>
      <c r="I1308" s="2" t="s">
        <v>7543</v>
      </c>
      <c r="J1308" s="2" t="s">
        <v>7544</v>
      </c>
      <c r="K1308" s="2" t="s">
        <v>1193</v>
      </c>
      <c r="L1308" s="2" t="n">
        <v>2</v>
      </c>
      <c r="M1308" s="2" t="n">
        <v>111</v>
      </c>
    </row>
    <row r="1309" customFormat="false" ht="76.1" hidden="false" customHeight="false" outlineLevel="0" collapsed="false">
      <c r="A1309" s="2" t="s">
        <v>7545</v>
      </c>
      <c r="B1309" s="2" t="s">
        <v>1185</v>
      </c>
      <c r="C1309" s="2" t="s">
        <v>7288</v>
      </c>
      <c r="D1309" s="2" t="s">
        <v>7546</v>
      </c>
      <c r="E1309" s="2" t="s">
        <v>7547</v>
      </c>
      <c r="F1309" s="2" t="s">
        <v>7548</v>
      </c>
      <c r="G1309" s="2" t="s">
        <v>7549</v>
      </c>
      <c r="H1309" s="2" t="s">
        <v>20</v>
      </c>
      <c r="I1309" s="2" t="s">
        <v>7550</v>
      </c>
      <c r="J1309" s="2" t="s">
        <v>7551</v>
      </c>
      <c r="K1309" s="2" t="s">
        <v>1193</v>
      </c>
      <c r="L1309" s="2" t="n">
        <v>2</v>
      </c>
      <c r="M1309" s="2" t="n">
        <v>109</v>
      </c>
    </row>
    <row r="1310" customFormat="false" ht="46.25" hidden="false" customHeight="false" outlineLevel="0" collapsed="false">
      <c r="A1310" s="2" t="s">
        <v>7552</v>
      </c>
      <c r="B1310" s="2" t="s">
        <v>1185</v>
      </c>
      <c r="C1310" s="2" t="s">
        <v>7288</v>
      </c>
      <c r="D1310" s="2" t="s">
        <v>7553</v>
      </c>
      <c r="E1310" s="2" t="s">
        <v>7554</v>
      </c>
      <c r="F1310" s="2" t="s">
        <v>7555</v>
      </c>
      <c r="G1310" s="2" t="s">
        <v>7556</v>
      </c>
      <c r="H1310" s="2" t="s">
        <v>20</v>
      </c>
      <c r="I1310" s="2" t="s">
        <v>7557</v>
      </c>
      <c r="J1310" s="2" t="s">
        <v>7558</v>
      </c>
      <c r="K1310" s="2" t="s">
        <v>1193</v>
      </c>
      <c r="L1310" s="2" t="n">
        <v>2</v>
      </c>
      <c r="M1310" s="2" t="n">
        <v>109</v>
      </c>
    </row>
    <row r="1311" customFormat="false" ht="61.15" hidden="false" customHeight="false" outlineLevel="0" collapsed="false">
      <c r="A1311" s="2" t="s">
        <v>7559</v>
      </c>
      <c r="B1311" s="2" t="s">
        <v>1185</v>
      </c>
      <c r="C1311" s="2" t="s">
        <v>7288</v>
      </c>
      <c r="D1311" s="2" t="s">
        <v>7560</v>
      </c>
      <c r="E1311" s="2" t="s">
        <v>7561</v>
      </c>
      <c r="F1311" s="2" t="s">
        <v>7562</v>
      </c>
      <c r="G1311" s="2" t="s">
        <v>7563</v>
      </c>
      <c r="H1311" s="2" t="s">
        <v>20</v>
      </c>
      <c r="I1311" s="2" t="s">
        <v>7564</v>
      </c>
      <c r="J1311" s="2" t="s">
        <v>7565</v>
      </c>
      <c r="K1311" s="2" t="s">
        <v>1193</v>
      </c>
      <c r="L1311" s="2" t="n">
        <v>2</v>
      </c>
      <c r="M1311" s="2" t="n">
        <v>109</v>
      </c>
    </row>
    <row r="1312" customFormat="false" ht="61.15" hidden="false" customHeight="false" outlineLevel="0" collapsed="false">
      <c r="A1312" s="2" t="s">
        <v>7566</v>
      </c>
      <c r="B1312" s="2" t="s">
        <v>1185</v>
      </c>
      <c r="C1312" s="2" t="s">
        <v>7288</v>
      </c>
      <c r="D1312" s="2" t="s">
        <v>7567</v>
      </c>
      <c r="E1312" s="2" t="s">
        <v>7568</v>
      </c>
      <c r="F1312" s="2" t="s">
        <v>7569</v>
      </c>
      <c r="G1312" s="2" t="s">
        <v>7570</v>
      </c>
      <c r="H1312" s="2" t="s">
        <v>20</v>
      </c>
      <c r="I1312" s="2" t="s">
        <v>7571</v>
      </c>
      <c r="J1312" s="2" t="s">
        <v>7572</v>
      </c>
      <c r="K1312" s="2" t="s">
        <v>1193</v>
      </c>
      <c r="L1312" s="2" t="n">
        <v>3</v>
      </c>
      <c r="M1312" s="2" t="n">
        <v>110</v>
      </c>
    </row>
    <row r="1313" customFormat="false" ht="76.1" hidden="false" customHeight="false" outlineLevel="0" collapsed="false">
      <c r="A1313" s="2" t="s">
        <v>7573</v>
      </c>
      <c r="B1313" s="2" t="s">
        <v>1185</v>
      </c>
      <c r="C1313" s="2" t="s">
        <v>7288</v>
      </c>
      <c r="D1313" s="2" t="s">
        <v>7574</v>
      </c>
      <c r="E1313" s="2" t="s">
        <v>7575</v>
      </c>
      <c r="F1313" s="2" t="s">
        <v>7576</v>
      </c>
      <c r="G1313" s="2" t="s">
        <v>7577</v>
      </c>
      <c r="H1313" s="2" t="s">
        <v>20</v>
      </c>
      <c r="I1313" s="2" t="s">
        <v>7578</v>
      </c>
      <c r="J1313" s="2" t="s">
        <v>7579</v>
      </c>
      <c r="K1313" s="2" t="s">
        <v>1193</v>
      </c>
      <c r="L1313" s="2" t="n">
        <v>2</v>
      </c>
      <c r="M1313" s="2" t="n">
        <v>110</v>
      </c>
    </row>
    <row r="1314" customFormat="false" ht="46.25" hidden="false" customHeight="false" outlineLevel="0" collapsed="false">
      <c r="A1314" s="2" t="s">
        <v>7580</v>
      </c>
      <c r="B1314" s="2" t="s">
        <v>1185</v>
      </c>
      <c r="C1314" s="2" t="s">
        <v>7288</v>
      </c>
      <c r="D1314" s="2" t="s">
        <v>7581</v>
      </c>
      <c r="E1314" s="2" t="s">
        <v>7582</v>
      </c>
      <c r="F1314" s="2" t="s">
        <v>7583</v>
      </c>
      <c r="G1314" s="2" t="s">
        <v>7584</v>
      </c>
      <c r="H1314" s="2" t="s">
        <v>20</v>
      </c>
      <c r="I1314" s="2" t="s">
        <v>7585</v>
      </c>
      <c r="J1314" s="2" t="s">
        <v>7586</v>
      </c>
      <c r="K1314" s="2" t="s">
        <v>1193</v>
      </c>
      <c r="L1314" s="2" t="n">
        <v>3</v>
      </c>
      <c r="M1314" s="2" t="n">
        <v>110</v>
      </c>
    </row>
    <row r="1315" customFormat="false" ht="91" hidden="false" customHeight="false" outlineLevel="0" collapsed="false">
      <c r="A1315" s="2" t="s">
        <v>7587</v>
      </c>
      <c r="B1315" s="2" t="s">
        <v>1185</v>
      </c>
      <c r="C1315" s="2" t="s">
        <v>7288</v>
      </c>
      <c r="D1315" s="2" t="s">
        <v>7588</v>
      </c>
      <c r="E1315" s="2" t="s">
        <v>7589</v>
      </c>
      <c r="F1315" s="2" t="s">
        <v>7590</v>
      </c>
      <c r="G1315" s="2" t="s">
        <v>7591</v>
      </c>
      <c r="H1315" s="2" t="s">
        <v>28</v>
      </c>
      <c r="I1315" s="2" t="s">
        <v>7592</v>
      </c>
      <c r="J1315" s="2" t="s">
        <v>7593</v>
      </c>
      <c r="K1315" s="2" t="s">
        <v>1193</v>
      </c>
      <c r="L1315" s="2" t="n">
        <v>3</v>
      </c>
      <c r="M1315" s="2" t="n">
        <v>111</v>
      </c>
    </row>
    <row r="1316" customFormat="false" ht="61.15" hidden="false" customHeight="false" outlineLevel="0" collapsed="false">
      <c r="A1316" s="2" t="s">
        <v>7594</v>
      </c>
      <c r="B1316" s="2" t="s">
        <v>1185</v>
      </c>
      <c r="C1316" s="2" t="s">
        <v>7288</v>
      </c>
      <c r="D1316" s="2" t="s">
        <v>7595</v>
      </c>
      <c r="E1316" s="2" t="s">
        <v>7596</v>
      </c>
      <c r="F1316" s="2" t="s">
        <v>7597</v>
      </c>
      <c r="G1316" s="2" t="s">
        <v>7598</v>
      </c>
      <c r="H1316" s="2" t="s">
        <v>20</v>
      </c>
      <c r="I1316" s="2" t="s">
        <v>7599</v>
      </c>
      <c r="J1316" s="2" t="s">
        <v>7600</v>
      </c>
      <c r="K1316" s="2" t="s">
        <v>1193</v>
      </c>
      <c r="L1316" s="2" t="n">
        <v>3</v>
      </c>
      <c r="M1316" s="2" t="n">
        <v>111</v>
      </c>
    </row>
    <row r="1317" customFormat="false" ht="76.1" hidden="false" customHeight="false" outlineLevel="0" collapsed="false">
      <c r="A1317" s="2" t="s">
        <v>7601</v>
      </c>
      <c r="B1317" s="2" t="s">
        <v>1185</v>
      </c>
      <c r="C1317" s="2" t="s">
        <v>7288</v>
      </c>
      <c r="D1317" s="2" t="s">
        <v>7602</v>
      </c>
      <c r="E1317" s="2" t="s">
        <v>7603</v>
      </c>
      <c r="F1317" s="2" t="s">
        <v>7604</v>
      </c>
      <c r="G1317" s="2" t="s">
        <v>7605</v>
      </c>
      <c r="H1317" s="2" t="s">
        <v>20</v>
      </c>
      <c r="I1317" s="2" t="s">
        <v>7606</v>
      </c>
      <c r="J1317" s="2" t="s">
        <v>7607</v>
      </c>
      <c r="K1317" s="2" t="s">
        <v>1193</v>
      </c>
      <c r="L1317" s="2" t="n">
        <v>2</v>
      </c>
      <c r="M1317" s="2" t="n">
        <v>111</v>
      </c>
    </row>
    <row r="1318" customFormat="false" ht="91" hidden="false" customHeight="false" outlineLevel="0" collapsed="false">
      <c r="A1318" s="2" t="s">
        <v>7608</v>
      </c>
      <c r="B1318" s="2" t="s">
        <v>1185</v>
      </c>
      <c r="C1318" s="2" t="s">
        <v>7288</v>
      </c>
      <c r="D1318" s="2" t="s">
        <v>7609</v>
      </c>
      <c r="E1318" s="2" t="s">
        <v>7610</v>
      </c>
      <c r="F1318" s="2" t="s">
        <v>7611</v>
      </c>
      <c r="G1318" s="2" t="s">
        <v>7612</v>
      </c>
      <c r="H1318" s="2" t="s">
        <v>20</v>
      </c>
      <c r="I1318" s="2" t="s">
        <v>7613</v>
      </c>
      <c r="J1318" s="2" t="s">
        <v>7614</v>
      </c>
      <c r="K1318" s="2" t="s">
        <v>1193</v>
      </c>
      <c r="L1318" s="2" t="n">
        <v>2</v>
      </c>
      <c r="M1318" s="2" t="n">
        <v>111</v>
      </c>
    </row>
    <row r="1319" customFormat="false" ht="46.25" hidden="false" customHeight="false" outlineLevel="0" collapsed="false">
      <c r="A1319" s="2" t="s">
        <v>7615</v>
      </c>
      <c r="B1319" s="2" t="s">
        <v>1185</v>
      </c>
      <c r="C1319" s="2" t="s">
        <v>7288</v>
      </c>
      <c r="D1319" s="2" t="s">
        <v>7616</v>
      </c>
      <c r="E1319" s="2" t="s">
        <v>7617</v>
      </c>
      <c r="F1319" s="2" t="s">
        <v>7618</v>
      </c>
      <c r="G1319" s="2" t="s">
        <v>7619</v>
      </c>
      <c r="H1319" s="2" t="s">
        <v>20</v>
      </c>
      <c r="I1319" s="2" t="s">
        <v>7620</v>
      </c>
      <c r="J1319" s="2" t="s">
        <v>7621</v>
      </c>
      <c r="K1319" s="2" t="s">
        <v>1193</v>
      </c>
      <c r="L1319" s="2" t="n">
        <v>2</v>
      </c>
      <c r="M1319" s="2" t="n">
        <v>111</v>
      </c>
    </row>
    <row r="1320" customFormat="false" ht="61.15" hidden="false" customHeight="false" outlineLevel="0" collapsed="false">
      <c r="A1320" s="2" t="s">
        <v>7622</v>
      </c>
      <c r="B1320" s="2" t="s">
        <v>1185</v>
      </c>
      <c r="C1320" s="2" t="s">
        <v>7288</v>
      </c>
      <c r="D1320" s="2" t="s">
        <v>7623</v>
      </c>
      <c r="E1320" s="2" t="s">
        <v>7624</v>
      </c>
      <c r="F1320" s="2" t="s">
        <v>7625</v>
      </c>
      <c r="G1320" s="2" t="s">
        <v>7626</v>
      </c>
      <c r="H1320" s="2" t="s">
        <v>20</v>
      </c>
      <c r="I1320" s="2" t="s">
        <v>7627</v>
      </c>
      <c r="J1320" s="2" t="s">
        <v>7628</v>
      </c>
      <c r="K1320" s="2" t="s">
        <v>1193</v>
      </c>
      <c r="L1320" s="2" t="n">
        <v>3</v>
      </c>
      <c r="M1320" s="2" t="n">
        <v>111</v>
      </c>
    </row>
    <row r="1321" customFormat="false" ht="46.25" hidden="false" customHeight="false" outlineLevel="0" collapsed="false">
      <c r="A1321" s="2" t="s">
        <v>7629</v>
      </c>
      <c r="B1321" s="2" t="s">
        <v>1185</v>
      </c>
      <c r="C1321" s="2" t="s">
        <v>7288</v>
      </c>
      <c r="D1321" s="2" t="s">
        <v>7630</v>
      </c>
      <c r="E1321" s="2" t="s">
        <v>7631</v>
      </c>
      <c r="F1321" s="2" t="s">
        <v>7632</v>
      </c>
      <c r="G1321" s="2" t="s">
        <v>7633</v>
      </c>
      <c r="H1321" s="2" t="s">
        <v>20</v>
      </c>
      <c r="I1321" s="2" t="s">
        <v>7634</v>
      </c>
      <c r="J1321" s="2" t="s">
        <v>7635</v>
      </c>
      <c r="K1321" s="2" t="s">
        <v>1193</v>
      </c>
      <c r="L1321" s="2" t="n">
        <v>2</v>
      </c>
      <c r="M1321" s="2" t="n">
        <v>111</v>
      </c>
    </row>
    <row r="1322" customFormat="false" ht="61.15" hidden="false" customHeight="false" outlineLevel="0" collapsed="false">
      <c r="A1322" s="2" t="s">
        <v>7636</v>
      </c>
      <c r="B1322" s="2" t="s">
        <v>1185</v>
      </c>
      <c r="C1322" s="2" t="s">
        <v>7288</v>
      </c>
      <c r="D1322" s="2" t="s">
        <v>7637</v>
      </c>
      <c r="E1322" s="2" t="s">
        <v>7638</v>
      </c>
      <c r="F1322" s="2" t="s">
        <v>7639</v>
      </c>
      <c r="G1322" s="2" t="s">
        <v>7640</v>
      </c>
      <c r="H1322" s="2" t="s">
        <v>20</v>
      </c>
      <c r="I1322" s="2" t="s">
        <v>7641</v>
      </c>
      <c r="J1322" s="2" t="s">
        <v>7642</v>
      </c>
      <c r="K1322" s="2" t="s">
        <v>1193</v>
      </c>
      <c r="L1322" s="2" t="n">
        <v>3</v>
      </c>
      <c r="M1322" s="2" t="n">
        <v>112</v>
      </c>
    </row>
    <row r="1323" customFormat="false" ht="61.15" hidden="false" customHeight="false" outlineLevel="0" collapsed="false">
      <c r="A1323" s="2" t="s">
        <v>7643</v>
      </c>
      <c r="B1323" s="2" t="s">
        <v>1185</v>
      </c>
      <c r="C1323" s="2" t="s">
        <v>7288</v>
      </c>
      <c r="D1323" s="2" t="s">
        <v>7644</v>
      </c>
      <c r="E1323" s="2" t="s">
        <v>7645</v>
      </c>
      <c r="F1323" s="2" t="s">
        <v>7646</v>
      </c>
      <c r="G1323" s="2" t="s">
        <v>7647</v>
      </c>
      <c r="H1323" s="2" t="s">
        <v>20</v>
      </c>
      <c r="I1323" s="2" t="s">
        <v>7648</v>
      </c>
      <c r="J1323" s="2" t="s">
        <v>7649</v>
      </c>
      <c r="K1323" s="2" t="s">
        <v>1193</v>
      </c>
      <c r="L1323" s="2" t="n">
        <v>3</v>
      </c>
      <c r="M1323" s="2" t="n">
        <v>112</v>
      </c>
    </row>
    <row r="1324" customFormat="false" ht="91" hidden="false" customHeight="false" outlineLevel="0" collapsed="false">
      <c r="A1324" s="2" t="s">
        <v>7650</v>
      </c>
      <c r="B1324" s="2" t="s">
        <v>1185</v>
      </c>
      <c r="C1324" s="2" t="s">
        <v>7288</v>
      </c>
      <c r="D1324" s="2" t="s">
        <v>7651</v>
      </c>
      <c r="E1324" s="2" t="s">
        <v>7652</v>
      </c>
      <c r="F1324" s="2" t="s">
        <v>7653</v>
      </c>
      <c r="G1324" s="2" t="s">
        <v>7654</v>
      </c>
      <c r="H1324" s="2" t="s">
        <v>20</v>
      </c>
      <c r="I1324" s="2" t="s">
        <v>7655</v>
      </c>
      <c r="J1324" s="2" t="s">
        <v>7656</v>
      </c>
      <c r="K1324" s="2" t="s">
        <v>1193</v>
      </c>
      <c r="L1324" s="2" t="n">
        <v>4</v>
      </c>
      <c r="M1324" s="2" t="n">
        <v>110</v>
      </c>
    </row>
    <row r="1325" customFormat="false" ht="46.25" hidden="false" customHeight="false" outlineLevel="0" collapsed="false">
      <c r="A1325" s="2" t="s">
        <v>7657</v>
      </c>
      <c r="B1325" s="2" t="s">
        <v>1185</v>
      </c>
      <c r="C1325" s="2" t="s">
        <v>7288</v>
      </c>
      <c r="D1325" s="2" t="s">
        <v>7658</v>
      </c>
      <c r="E1325" s="2" t="s">
        <v>7659</v>
      </c>
      <c r="F1325" s="2" t="s">
        <v>7660</v>
      </c>
      <c r="G1325" s="2" t="s">
        <v>7661</v>
      </c>
      <c r="H1325" s="2" t="s">
        <v>28</v>
      </c>
      <c r="I1325" s="2" t="s">
        <v>7662</v>
      </c>
      <c r="J1325" s="2" t="s">
        <v>7663</v>
      </c>
      <c r="K1325" s="2" t="s">
        <v>1193</v>
      </c>
      <c r="L1325" s="2" t="n">
        <v>2</v>
      </c>
      <c r="M1325" s="2" t="n">
        <v>106</v>
      </c>
    </row>
    <row r="1326" customFormat="false" ht="120.85" hidden="false" customHeight="false" outlineLevel="0" collapsed="false">
      <c r="A1326" s="2" t="s">
        <v>7664</v>
      </c>
      <c r="B1326" s="2" t="s">
        <v>1185</v>
      </c>
      <c r="C1326" s="2" t="s">
        <v>7288</v>
      </c>
      <c r="D1326" s="2" t="s">
        <v>7665</v>
      </c>
      <c r="E1326" s="2" t="s">
        <v>7666</v>
      </c>
      <c r="F1326" s="2" t="s">
        <v>7667</v>
      </c>
      <c r="G1326" s="2" t="s">
        <v>7668</v>
      </c>
      <c r="H1326" s="2" t="s">
        <v>20</v>
      </c>
      <c r="I1326" s="2" t="s">
        <v>7669</v>
      </c>
      <c r="J1326" s="2" t="s">
        <v>7663</v>
      </c>
      <c r="K1326" s="2" t="s">
        <v>1193</v>
      </c>
      <c r="L1326" s="2" t="n">
        <v>2</v>
      </c>
      <c r="M1326" s="2" t="n">
        <v>110</v>
      </c>
    </row>
    <row r="1327" customFormat="false" ht="61.15" hidden="false" customHeight="false" outlineLevel="0" collapsed="false">
      <c r="A1327" s="2" t="s">
        <v>7670</v>
      </c>
      <c r="B1327" s="2" t="s">
        <v>1185</v>
      </c>
      <c r="C1327" s="2" t="s">
        <v>7288</v>
      </c>
      <c r="D1327" s="2" t="s">
        <v>7671</v>
      </c>
      <c r="E1327" s="2" t="s">
        <v>7672</v>
      </c>
      <c r="F1327" s="2" t="s">
        <v>7673</v>
      </c>
      <c r="G1327" s="2" t="s">
        <v>7674</v>
      </c>
      <c r="H1327" s="2" t="s">
        <v>20</v>
      </c>
      <c r="I1327" s="2" t="s">
        <v>7675</v>
      </c>
      <c r="J1327" s="2" t="s">
        <v>7288</v>
      </c>
      <c r="K1327" s="2" t="s">
        <v>1193</v>
      </c>
      <c r="L1327" s="2" t="n">
        <v>2</v>
      </c>
      <c r="M1327" s="2" t="n">
        <v>107</v>
      </c>
    </row>
    <row r="1328" customFormat="false" ht="61.15" hidden="false" customHeight="false" outlineLevel="0" collapsed="false">
      <c r="A1328" s="2" t="s">
        <v>7676</v>
      </c>
      <c r="B1328" s="2" t="s">
        <v>1185</v>
      </c>
      <c r="C1328" s="2" t="s">
        <v>7288</v>
      </c>
      <c r="D1328" s="2" t="s">
        <v>7677</v>
      </c>
      <c r="E1328" s="2" t="s">
        <v>7678</v>
      </c>
      <c r="F1328" s="2" t="s">
        <v>7679</v>
      </c>
      <c r="G1328" s="2" t="s">
        <v>7680</v>
      </c>
      <c r="H1328" s="2" t="s">
        <v>20</v>
      </c>
      <c r="I1328" s="2" t="s">
        <v>7681</v>
      </c>
      <c r="J1328" s="2" t="s">
        <v>7288</v>
      </c>
      <c r="K1328" s="2" t="s">
        <v>1193</v>
      </c>
      <c r="L1328" s="2" t="n">
        <v>1</v>
      </c>
      <c r="M1328" s="2" t="n">
        <v>108</v>
      </c>
    </row>
    <row r="1329" customFormat="false" ht="46.25" hidden="false" customHeight="false" outlineLevel="0" collapsed="false">
      <c r="A1329" s="2" t="s">
        <v>7682</v>
      </c>
      <c r="B1329" s="2" t="s">
        <v>1185</v>
      </c>
      <c r="C1329" s="2" t="s">
        <v>7288</v>
      </c>
      <c r="D1329" s="2" t="s">
        <v>7683</v>
      </c>
      <c r="E1329" s="2" t="s">
        <v>7684</v>
      </c>
      <c r="F1329" s="2" t="s">
        <v>7685</v>
      </c>
      <c r="G1329" s="2" t="s">
        <v>7686</v>
      </c>
      <c r="H1329" s="2" t="s">
        <v>20</v>
      </c>
      <c r="I1329" s="2" t="s">
        <v>7687</v>
      </c>
      <c r="J1329" s="2" t="s">
        <v>7288</v>
      </c>
      <c r="K1329" s="2" t="s">
        <v>1193</v>
      </c>
      <c r="L1329" s="2" t="n">
        <v>2</v>
      </c>
      <c r="M1329" s="2" t="n">
        <v>110</v>
      </c>
    </row>
    <row r="1330" customFormat="false" ht="46.25" hidden="false" customHeight="false" outlineLevel="0" collapsed="false">
      <c r="A1330" s="2" t="s">
        <v>7688</v>
      </c>
      <c r="B1330" s="2" t="s">
        <v>1185</v>
      </c>
      <c r="C1330" s="2" t="s">
        <v>7288</v>
      </c>
      <c r="D1330" s="2" t="s">
        <v>7689</v>
      </c>
      <c r="E1330" s="2" t="s">
        <v>7690</v>
      </c>
      <c r="F1330" s="2" t="s">
        <v>7691</v>
      </c>
      <c r="G1330" s="2" t="s">
        <v>7692</v>
      </c>
      <c r="H1330" s="2" t="s">
        <v>20</v>
      </c>
      <c r="I1330" s="2" t="s">
        <v>7693</v>
      </c>
      <c r="J1330" s="2" t="s">
        <v>7288</v>
      </c>
      <c r="K1330" s="2" t="s">
        <v>1193</v>
      </c>
      <c r="L1330" s="2" t="n">
        <v>2</v>
      </c>
      <c r="M1330" s="2" t="n">
        <v>109</v>
      </c>
    </row>
    <row r="1331" customFormat="false" ht="76.1" hidden="false" customHeight="false" outlineLevel="0" collapsed="false">
      <c r="A1331" s="2" t="s">
        <v>7694</v>
      </c>
      <c r="B1331" s="2" t="s">
        <v>1185</v>
      </c>
      <c r="C1331" s="2" t="s">
        <v>7288</v>
      </c>
      <c r="D1331" s="2" t="s">
        <v>7695</v>
      </c>
      <c r="E1331" s="2" t="s">
        <v>7696</v>
      </c>
      <c r="F1331" s="2" t="s">
        <v>7697</v>
      </c>
      <c r="G1331" s="2" t="s">
        <v>7698</v>
      </c>
      <c r="H1331" s="2" t="s">
        <v>20</v>
      </c>
      <c r="I1331" s="2" t="s">
        <v>7699</v>
      </c>
      <c r="J1331" s="2" t="s">
        <v>7288</v>
      </c>
      <c r="K1331" s="2" t="s">
        <v>1193</v>
      </c>
      <c r="L1331" s="2" t="n">
        <v>3</v>
      </c>
      <c r="M1331" s="2" t="n">
        <v>107</v>
      </c>
    </row>
    <row r="1332" customFormat="false" ht="76.1" hidden="false" customHeight="false" outlineLevel="0" collapsed="false">
      <c r="A1332" s="2" t="s">
        <v>7700</v>
      </c>
      <c r="B1332" s="2" t="s">
        <v>1185</v>
      </c>
      <c r="C1332" s="2" t="s">
        <v>7288</v>
      </c>
      <c r="D1332" s="2" t="s">
        <v>7701</v>
      </c>
      <c r="E1332" s="2" t="s">
        <v>7702</v>
      </c>
      <c r="F1332" s="2" t="s">
        <v>7703</v>
      </c>
      <c r="G1332" s="2" t="s">
        <v>7704</v>
      </c>
      <c r="H1332" s="2" t="s">
        <v>20</v>
      </c>
      <c r="I1332" s="2" t="s">
        <v>7705</v>
      </c>
      <c r="J1332" s="2" t="s">
        <v>7288</v>
      </c>
      <c r="K1332" s="2" t="s">
        <v>1193</v>
      </c>
      <c r="L1332" s="2" t="n">
        <v>3</v>
      </c>
      <c r="M1332" s="2" t="n">
        <v>107</v>
      </c>
    </row>
    <row r="1333" customFormat="false" ht="76.1" hidden="false" customHeight="false" outlineLevel="0" collapsed="false">
      <c r="A1333" s="2" t="s">
        <v>7706</v>
      </c>
      <c r="B1333" s="2" t="s">
        <v>1185</v>
      </c>
      <c r="C1333" s="2" t="s">
        <v>7288</v>
      </c>
      <c r="D1333" s="2" t="s">
        <v>7707</v>
      </c>
      <c r="E1333" s="2" t="s">
        <v>7708</v>
      </c>
      <c r="F1333" s="2" t="s">
        <v>7709</v>
      </c>
      <c r="G1333" s="2" t="s">
        <v>7710</v>
      </c>
      <c r="H1333" s="2" t="s">
        <v>20</v>
      </c>
      <c r="I1333" s="2" t="s">
        <v>7711</v>
      </c>
      <c r="J1333" s="2" t="s">
        <v>7288</v>
      </c>
      <c r="K1333" s="2" t="s">
        <v>1193</v>
      </c>
      <c r="L1333" s="2" t="n">
        <v>3</v>
      </c>
      <c r="M1333" s="2" t="n">
        <v>110</v>
      </c>
    </row>
    <row r="1334" customFormat="false" ht="91" hidden="false" customHeight="false" outlineLevel="0" collapsed="false">
      <c r="A1334" s="2" t="s">
        <v>7712</v>
      </c>
      <c r="B1334" s="2" t="s">
        <v>1185</v>
      </c>
      <c r="C1334" s="2" t="s">
        <v>7288</v>
      </c>
      <c r="D1334" s="2" t="s">
        <v>7713</v>
      </c>
      <c r="E1334" s="2" t="s">
        <v>1607</v>
      </c>
      <c r="F1334" s="2" t="s">
        <v>1608</v>
      </c>
      <c r="G1334" s="2" t="s">
        <v>4596</v>
      </c>
      <c r="H1334" s="2" t="s">
        <v>20</v>
      </c>
      <c r="I1334" s="2" t="s">
        <v>7714</v>
      </c>
      <c r="J1334" s="2" t="s">
        <v>7288</v>
      </c>
      <c r="K1334" s="2" t="s">
        <v>1193</v>
      </c>
      <c r="L1334" s="2" t="n">
        <v>3</v>
      </c>
      <c r="M1334" s="2" t="n">
        <v>107</v>
      </c>
    </row>
    <row r="1335" customFormat="false" ht="91" hidden="false" customHeight="false" outlineLevel="0" collapsed="false">
      <c r="A1335" s="2" t="s">
        <v>7715</v>
      </c>
      <c r="B1335" s="2" t="s">
        <v>1185</v>
      </c>
      <c r="C1335" s="2" t="s">
        <v>7716</v>
      </c>
      <c r="D1335" s="2" t="s">
        <v>7717</v>
      </c>
      <c r="E1335" s="2" t="s">
        <v>7718</v>
      </c>
      <c r="F1335" s="2" t="s">
        <v>7719</v>
      </c>
      <c r="G1335" s="2" t="s">
        <v>7720</v>
      </c>
      <c r="H1335" s="2" t="s">
        <v>20</v>
      </c>
      <c r="I1335" s="2" t="s">
        <v>7721</v>
      </c>
      <c r="J1335" s="2" t="s">
        <v>7722</v>
      </c>
      <c r="K1335" s="2" t="s">
        <v>1193</v>
      </c>
      <c r="L1335" s="2" t="n">
        <v>4</v>
      </c>
      <c r="M1335" s="2" t="n">
        <v>85</v>
      </c>
    </row>
    <row r="1336" customFormat="false" ht="76.1" hidden="false" customHeight="false" outlineLevel="0" collapsed="false">
      <c r="A1336" s="2" t="s">
        <v>7723</v>
      </c>
      <c r="B1336" s="2" t="s">
        <v>1185</v>
      </c>
      <c r="C1336" s="2" t="s">
        <v>7716</v>
      </c>
      <c r="D1336" s="2" t="s">
        <v>7724</v>
      </c>
      <c r="E1336" s="2" t="s">
        <v>7725</v>
      </c>
      <c r="F1336" s="2" t="s">
        <v>7726</v>
      </c>
      <c r="G1336" s="2" t="s">
        <v>7727</v>
      </c>
      <c r="H1336" s="2" t="s">
        <v>20</v>
      </c>
      <c r="I1336" s="2" t="s">
        <v>7728</v>
      </c>
      <c r="J1336" s="2" t="s">
        <v>7729</v>
      </c>
      <c r="K1336" s="2" t="s">
        <v>1193</v>
      </c>
      <c r="L1336" s="2" t="n">
        <v>2</v>
      </c>
      <c r="M1336" s="2" t="n">
        <v>44</v>
      </c>
    </row>
    <row r="1337" customFormat="false" ht="46.25" hidden="false" customHeight="false" outlineLevel="0" collapsed="false">
      <c r="A1337" s="2" t="s">
        <v>7730</v>
      </c>
      <c r="B1337" s="2" t="s">
        <v>1185</v>
      </c>
      <c r="C1337" s="2" t="s">
        <v>7716</v>
      </c>
      <c r="D1337" s="2" t="s">
        <v>7731</v>
      </c>
      <c r="E1337" s="2" t="s">
        <v>7732</v>
      </c>
      <c r="F1337" s="2" t="s">
        <v>7733</v>
      </c>
      <c r="G1337" s="2" t="s">
        <v>7734</v>
      </c>
      <c r="H1337" s="2" t="s">
        <v>20</v>
      </c>
      <c r="I1337" s="2" t="s">
        <v>7735</v>
      </c>
      <c r="J1337" s="2" t="s">
        <v>7736</v>
      </c>
      <c r="K1337" s="2" t="s">
        <v>1193</v>
      </c>
      <c r="L1337" s="2" t="n">
        <v>2</v>
      </c>
      <c r="M1337" s="2" t="n">
        <v>83</v>
      </c>
    </row>
    <row r="1338" customFormat="false" ht="46.25" hidden="false" customHeight="false" outlineLevel="0" collapsed="false">
      <c r="A1338" s="2" t="s">
        <v>7737</v>
      </c>
      <c r="B1338" s="2" t="s">
        <v>1185</v>
      </c>
      <c r="C1338" s="2" t="s">
        <v>7716</v>
      </c>
      <c r="D1338" s="2" t="s">
        <v>7738</v>
      </c>
      <c r="E1338" s="2" t="s">
        <v>7739</v>
      </c>
      <c r="F1338" s="2" t="s">
        <v>7740</v>
      </c>
      <c r="G1338" s="2" t="s">
        <v>7741</v>
      </c>
      <c r="H1338" s="2" t="s">
        <v>20</v>
      </c>
      <c r="I1338" s="2" t="s">
        <v>7742</v>
      </c>
      <c r="J1338" s="2" t="s">
        <v>7736</v>
      </c>
      <c r="K1338" s="2" t="s">
        <v>1193</v>
      </c>
      <c r="L1338" s="2" t="n">
        <v>2</v>
      </c>
      <c r="M1338" s="2" t="n">
        <v>84</v>
      </c>
    </row>
    <row r="1339" customFormat="false" ht="46.25" hidden="false" customHeight="false" outlineLevel="0" collapsed="false">
      <c r="A1339" s="2" t="s">
        <v>7743</v>
      </c>
      <c r="B1339" s="2" t="s">
        <v>1185</v>
      </c>
      <c r="C1339" s="2" t="s">
        <v>7716</v>
      </c>
      <c r="D1339" s="2" t="s">
        <v>7744</v>
      </c>
      <c r="E1339" s="2" t="s">
        <v>7745</v>
      </c>
      <c r="F1339" s="2" t="s">
        <v>7746</v>
      </c>
      <c r="G1339" s="2" t="s">
        <v>7747</v>
      </c>
      <c r="H1339" s="2" t="s">
        <v>20</v>
      </c>
      <c r="I1339" s="2" t="s">
        <v>7748</v>
      </c>
      <c r="J1339" s="2" t="s">
        <v>7736</v>
      </c>
      <c r="K1339" s="2" t="s">
        <v>1193</v>
      </c>
      <c r="L1339" s="2" t="n">
        <v>1</v>
      </c>
      <c r="M1339" s="2" t="n">
        <v>84</v>
      </c>
    </row>
    <row r="1340" customFormat="false" ht="31.3" hidden="false" customHeight="false" outlineLevel="0" collapsed="false">
      <c r="A1340" s="2" t="s">
        <v>7749</v>
      </c>
      <c r="B1340" s="2" t="s">
        <v>1185</v>
      </c>
      <c r="C1340" s="2" t="s">
        <v>7716</v>
      </c>
      <c r="D1340" s="2" t="s">
        <v>7750</v>
      </c>
      <c r="E1340" s="2" t="s">
        <v>7751</v>
      </c>
      <c r="F1340" s="2" t="s">
        <v>7752</v>
      </c>
      <c r="G1340" s="2" t="s">
        <v>7753</v>
      </c>
      <c r="H1340" s="2" t="s">
        <v>20</v>
      </c>
      <c r="I1340" s="2" t="s">
        <v>7754</v>
      </c>
      <c r="J1340" s="2" t="s">
        <v>7736</v>
      </c>
      <c r="K1340" s="2" t="s">
        <v>1193</v>
      </c>
      <c r="L1340" s="2" t="n">
        <v>2</v>
      </c>
      <c r="M1340" s="2" t="n">
        <v>84</v>
      </c>
    </row>
    <row r="1341" customFormat="false" ht="46.25" hidden="false" customHeight="false" outlineLevel="0" collapsed="false">
      <c r="A1341" s="2" t="s">
        <v>7755</v>
      </c>
      <c r="B1341" s="2" t="s">
        <v>1185</v>
      </c>
      <c r="C1341" s="2" t="s">
        <v>7716</v>
      </c>
      <c r="D1341" s="2" t="s">
        <v>7756</v>
      </c>
      <c r="E1341" s="2" t="s">
        <v>7757</v>
      </c>
      <c r="F1341" s="2" t="s">
        <v>7758</v>
      </c>
      <c r="G1341" s="2" t="s">
        <v>7759</v>
      </c>
      <c r="H1341" s="2" t="s">
        <v>20</v>
      </c>
      <c r="I1341" s="2" t="s">
        <v>7760</v>
      </c>
      <c r="J1341" s="2" t="s">
        <v>7736</v>
      </c>
      <c r="K1341" s="2" t="s">
        <v>1193</v>
      </c>
      <c r="L1341" s="2" t="n">
        <v>2</v>
      </c>
      <c r="M1341" s="2" t="n">
        <v>84</v>
      </c>
    </row>
    <row r="1342" customFormat="false" ht="76.1" hidden="false" customHeight="false" outlineLevel="0" collapsed="false">
      <c r="A1342" s="2" t="s">
        <v>7761</v>
      </c>
      <c r="B1342" s="2" t="s">
        <v>1185</v>
      </c>
      <c r="C1342" s="2" t="s">
        <v>7716</v>
      </c>
      <c r="D1342" s="2" t="s">
        <v>7762</v>
      </c>
      <c r="E1342" s="2" t="s">
        <v>7763</v>
      </c>
      <c r="F1342" s="2" t="s">
        <v>7764</v>
      </c>
      <c r="G1342" s="2" t="s">
        <v>7765</v>
      </c>
      <c r="H1342" s="2" t="s">
        <v>28</v>
      </c>
      <c r="I1342" s="2" t="s">
        <v>7766</v>
      </c>
      <c r="J1342" s="2" t="s">
        <v>7767</v>
      </c>
      <c r="K1342" s="2" t="s">
        <v>1193</v>
      </c>
      <c r="L1342" s="2" t="n">
        <v>2</v>
      </c>
      <c r="M1342" s="2" t="n">
        <v>87</v>
      </c>
    </row>
    <row r="1343" customFormat="false" ht="46.25" hidden="false" customHeight="false" outlineLevel="0" collapsed="false">
      <c r="A1343" s="2" t="s">
        <v>7768</v>
      </c>
      <c r="B1343" s="2" t="s">
        <v>1185</v>
      </c>
      <c r="C1343" s="2" t="s">
        <v>7716</v>
      </c>
      <c r="D1343" s="2" t="s">
        <v>7769</v>
      </c>
      <c r="E1343" s="2" t="s">
        <v>7770</v>
      </c>
      <c r="F1343" s="2" t="s">
        <v>7771</v>
      </c>
      <c r="G1343" s="2" t="s">
        <v>7772</v>
      </c>
      <c r="H1343" s="2" t="s">
        <v>20</v>
      </c>
      <c r="I1343" s="2" t="s">
        <v>7773</v>
      </c>
      <c r="J1343" s="2" t="s">
        <v>7736</v>
      </c>
      <c r="K1343" s="2" t="s">
        <v>1193</v>
      </c>
      <c r="L1343" s="2" t="n">
        <v>2</v>
      </c>
      <c r="M1343" s="2" t="n">
        <v>84</v>
      </c>
    </row>
    <row r="1344" customFormat="false" ht="61.15" hidden="false" customHeight="false" outlineLevel="0" collapsed="false">
      <c r="A1344" s="2" t="s">
        <v>7774</v>
      </c>
      <c r="B1344" s="2" t="s">
        <v>1185</v>
      </c>
      <c r="C1344" s="2" t="s">
        <v>7716</v>
      </c>
      <c r="D1344" s="2" t="s">
        <v>7775</v>
      </c>
      <c r="E1344" s="2" t="s">
        <v>7776</v>
      </c>
      <c r="F1344" s="2" t="s">
        <v>7777</v>
      </c>
      <c r="G1344" s="2" t="s">
        <v>7778</v>
      </c>
      <c r="H1344" s="2" t="s">
        <v>20</v>
      </c>
      <c r="I1344" s="2" t="s">
        <v>7779</v>
      </c>
      <c r="J1344" s="2" t="s">
        <v>7736</v>
      </c>
      <c r="K1344" s="2" t="s">
        <v>1193</v>
      </c>
      <c r="L1344" s="2" t="n">
        <v>4</v>
      </c>
      <c r="M1344" s="2" t="n">
        <v>84</v>
      </c>
    </row>
    <row r="1345" customFormat="false" ht="76.1" hidden="false" customHeight="false" outlineLevel="0" collapsed="false">
      <c r="A1345" s="2" t="s">
        <v>7780</v>
      </c>
      <c r="B1345" s="2" t="s">
        <v>1185</v>
      </c>
      <c r="C1345" s="2" t="s">
        <v>7716</v>
      </c>
      <c r="D1345" s="2" t="s">
        <v>7781</v>
      </c>
      <c r="E1345" s="2" t="s">
        <v>7782</v>
      </c>
      <c r="F1345" s="2" t="s">
        <v>7783</v>
      </c>
      <c r="G1345" s="2" t="s">
        <v>7784</v>
      </c>
      <c r="H1345" s="2" t="s">
        <v>20</v>
      </c>
      <c r="I1345" s="2" t="s">
        <v>7785</v>
      </c>
      <c r="J1345" s="2" t="s">
        <v>7736</v>
      </c>
      <c r="K1345" s="2" t="s">
        <v>1193</v>
      </c>
      <c r="L1345" s="2" t="n">
        <v>4</v>
      </c>
      <c r="M1345" s="2" t="n">
        <v>84</v>
      </c>
    </row>
    <row r="1346" customFormat="false" ht="46.25" hidden="false" customHeight="false" outlineLevel="0" collapsed="false">
      <c r="A1346" s="2" t="s">
        <v>7786</v>
      </c>
      <c r="B1346" s="2" t="s">
        <v>1185</v>
      </c>
      <c r="C1346" s="2" t="s">
        <v>7716</v>
      </c>
      <c r="D1346" s="2" t="s">
        <v>7787</v>
      </c>
      <c r="E1346" s="2" t="s">
        <v>7788</v>
      </c>
      <c r="F1346" s="2" t="s">
        <v>7789</v>
      </c>
      <c r="G1346" s="2" t="s">
        <v>7790</v>
      </c>
      <c r="H1346" s="2" t="s">
        <v>20</v>
      </c>
      <c r="I1346" s="2" t="s">
        <v>7791</v>
      </c>
      <c r="J1346" s="2" t="s">
        <v>7736</v>
      </c>
      <c r="K1346" s="2" t="s">
        <v>1193</v>
      </c>
      <c r="L1346" s="2" t="n">
        <v>1</v>
      </c>
      <c r="M1346" s="2" t="n">
        <v>87</v>
      </c>
    </row>
    <row r="1347" customFormat="false" ht="105.95" hidden="false" customHeight="false" outlineLevel="0" collapsed="false">
      <c r="A1347" s="2" t="s">
        <v>7792</v>
      </c>
      <c r="B1347" s="2" t="s">
        <v>1185</v>
      </c>
      <c r="C1347" s="2" t="s">
        <v>7716</v>
      </c>
      <c r="D1347" s="2" t="s">
        <v>7793</v>
      </c>
      <c r="E1347" s="2" t="s">
        <v>7794</v>
      </c>
      <c r="F1347" s="2" t="s">
        <v>7795</v>
      </c>
      <c r="G1347" s="2" t="s">
        <v>7796</v>
      </c>
      <c r="H1347" s="2" t="s">
        <v>20</v>
      </c>
      <c r="I1347" s="2" t="s">
        <v>7797</v>
      </c>
      <c r="J1347" s="2" t="s">
        <v>7798</v>
      </c>
      <c r="K1347" s="2" t="s">
        <v>1193</v>
      </c>
      <c r="L1347" s="2" t="n">
        <v>3</v>
      </c>
      <c r="M1347" s="2" t="n">
        <v>84</v>
      </c>
    </row>
    <row r="1348" customFormat="false" ht="61.15" hidden="false" customHeight="false" outlineLevel="0" collapsed="false">
      <c r="A1348" s="2" t="s">
        <v>7799</v>
      </c>
      <c r="B1348" s="2" t="s">
        <v>1185</v>
      </c>
      <c r="C1348" s="2" t="s">
        <v>7716</v>
      </c>
      <c r="D1348" s="2" t="s">
        <v>7800</v>
      </c>
      <c r="E1348" s="2" t="s">
        <v>7801</v>
      </c>
      <c r="F1348" s="2" t="s">
        <v>7802</v>
      </c>
      <c r="G1348" s="2" t="s">
        <v>7803</v>
      </c>
      <c r="H1348" s="2" t="s">
        <v>20</v>
      </c>
      <c r="I1348" s="2" t="s">
        <v>7804</v>
      </c>
      <c r="J1348" s="2" t="s">
        <v>7798</v>
      </c>
      <c r="K1348" s="2" t="s">
        <v>1193</v>
      </c>
      <c r="L1348" s="2" t="n">
        <v>3</v>
      </c>
      <c r="M1348" s="2" t="n">
        <v>85</v>
      </c>
    </row>
    <row r="1349" customFormat="false" ht="76.1" hidden="false" customHeight="false" outlineLevel="0" collapsed="false">
      <c r="A1349" s="2" t="s">
        <v>7805</v>
      </c>
      <c r="B1349" s="2" t="s">
        <v>1185</v>
      </c>
      <c r="C1349" s="2" t="s">
        <v>7716</v>
      </c>
      <c r="D1349" s="2" t="s">
        <v>7806</v>
      </c>
      <c r="E1349" s="2" t="s">
        <v>7807</v>
      </c>
      <c r="F1349" s="2" t="s">
        <v>7808</v>
      </c>
      <c r="G1349" s="2" t="s">
        <v>7809</v>
      </c>
      <c r="H1349" s="2" t="s">
        <v>20</v>
      </c>
      <c r="I1349" s="2" t="s">
        <v>7810</v>
      </c>
      <c r="J1349" s="2" t="s">
        <v>7798</v>
      </c>
      <c r="K1349" s="2" t="s">
        <v>1193</v>
      </c>
      <c r="L1349" s="2" t="n">
        <v>4</v>
      </c>
      <c r="M1349" s="2" t="n">
        <v>85</v>
      </c>
    </row>
    <row r="1350" customFormat="false" ht="61.15" hidden="false" customHeight="false" outlineLevel="0" collapsed="false">
      <c r="A1350" s="2" t="s">
        <v>7811</v>
      </c>
      <c r="B1350" s="2" t="s">
        <v>1185</v>
      </c>
      <c r="C1350" s="2" t="s">
        <v>7716</v>
      </c>
      <c r="D1350" s="2" t="s">
        <v>7812</v>
      </c>
      <c r="E1350" s="2" t="s">
        <v>7813</v>
      </c>
      <c r="F1350" s="2" t="s">
        <v>7814</v>
      </c>
      <c r="G1350" s="2" t="s">
        <v>7815</v>
      </c>
      <c r="H1350" s="2" t="s">
        <v>20</v>
      </c>
      <c r="I1350" s="2" t="s">
        <v>7816</v>
      </c>
      <c r="J1350" s="2" t="s">
        <v>7798</v>
      </c>
      <c r="K1350" s="2" t="s">
        <v>1193</v>
      </c>
      <c r="L1350" s="2" t="n">
        <v>3</v>
      </c>
      <c r="M1350" s="2" t="n">
        <v>85</v>
      </c>
    </row>
    <row r="1351" customFormat="false" ht="61.15" hidden="false" customHeight="false" outlineLevel="0" collapsed="false">
      <c r="A1351" s="2" t="s">
        <v>7817</v>
      </c>
      <c r="B1351" s="2" t="s">
        <v>1185</v>
      </c>
      <c r="C1351" s="2" t="s">
        <v>7716</v>
      </c>
      <c r="D1351" s="2" t="s">
        <v>7818</v>
      </c>
      <c r="E1351" s="2" t="s">
        <v>7819</v>
      </c>
      <c r="F1351" s="2" t="s">
        <v>7820</v>
      </c>
      <c r="G1351" s="2" t="s">
        <v>7821</v>
      </c>
      <c r="H1351" s="2" t="s">
        <v>20</v>
      </c>
      <c r="I1351" s="2" t="s">
        <v>7822</v>
      </c>
      <c r="J1351" s="2" t="s">
        <v>7798</v>
      </c>
      <c r="K1351" s="2" t="s">
        <v>1193</v>
      </c>
      <c r="L1351" s="2" t="n">
        <v>4</v>
      </c>
      <c r="M1351" s="2" t="n">
        <v>85</v>
      </c>
    </row>
    <row r="1352" customFormat="false" ht="61.15" hidden="false" customHeight="false" outlineLevel="0" collapsed="false">
      <c r="A1352" s="2" t="s">
        <v>7823</v>
      </c>
      <c r="B1352" s="2" t="s">
        <v>1185</v>
      </c>
      <c r="C1352" s="2" t="s">
        <v>7716</v>
      </c>
      <c r="D1352" s="2" t="s">
        <v>7824</v>
      </c>
      <c r="E1352" s="2" t="s">
        <v>7825</v>
      </c>
      <c r="F1352" s="2" t="s">
        <v>7826</v>
      </c>
      <c r="G1352" s="2" t="s">
        <v>7827</v>
      </c>
      <c r="H1352" s="2" t="s">
        <v>20</v>
      </c>
      <c r="I1352" s="2" t="s">
        <v>7828</v>
      </c>
      <c r="J1352" s="2" t="s">
        <v>7829</v>
      </c>
      <c r="K1352" s="2" t="s">
        <v>1193</v>
      </c>
      <c r="L1352" s="2" t="n">
        <v>3</v>
      </c>
      <c r="M1352" s="2" t="n">
        <v>86</v>
      </c>
    </row>
    <row r="1353" customFormat="false" ht="61.15" hidden="false" customHeight="false" outlineLevel="0" collapsed="false">
      <c r="A1353" s="2" t="s">
        <v>7830</v>
      </c>
      <c r="B1353" s="2" t="s">
        <v>1185</v>
      </c>
      <c r="C1353" s="2" t="s">
        <v>7716</v>
      </c>
      <c r="D1353" s="2" t="s">
        <v>7831</v>
      </c>
      <c r="E1353" s="2" t="s">
        <v>7832</v>
      </c>
      <c r="F1353" s="2" t="s">
        <v>7833</v>
      </c>
      <c r="G1353" s="2" t="s">
        <v>7834</v>
      </c>
      <c r="H1353" s="2" t="s">
        <v>20</v>
      </c>
      <c r="I1353" s="2" t="s">
        <v>7835</v>
      </c>
      <c r="J1353" s="2" t="s">
        <v>7829</v>
      </c>
      <c r="K1353" s="2" t="s">
        <v>1193</v>
      </c>
      <c r="L1353" s="2" t="n">
        <v>3</v>
      </c>
      <c r="M1353" s="2" t="n">
        <v>86</v>
      </c>
    </row>
    <row r="1354" customFormat="false" ht="46.25" hidden="false" customHeight="false" outlineLevel="0" collapsed="false">
      <c r="A1354" s="2" t="s">
        <v>7836</v>
      </c>
      <c r="B1354" s="2" t="s">
        <v>1185</v>
      </c>
      <c r="C1354" s="2" t="s">
        <v>7716</v>
      </c>
      <c r="D1354" s="2" t="s">
        <v>7837</v>
      </c>
      <c r="E1354" s="2" t="s">
        <v>7838</v>
      </c>
      <c r="F1354" s="2" t="s">
        <v>7839</v>
      </c>
      <c r="G1354" s="2" t="s">
        <v>7840</v>
      </c>
      <c r="H1354" s="2" t="s">
        <v>20</v>
      </c>
      <c r="I1354" s="2" t="s">
        <v>7841</v>
      </c>
      <c r="J1354" s="2" t="s">
        <v>7829</v>
      </c>
      <c r="K1354" s="2" t="s">
        <v>1193</v>
      </c>
      <c r="L1354" s="2" t="n">
        <v>3</v>
      </c>
      <c r="M1354" s="2" t="n">
        <v>87</v>
      </c>
    </row>
    <row r="1355" customFormat="false" ht="46.25" hidden="false" customHeight="false" outlineLevel="0" collapsed="false">
      <c r="A1355" s="2" t="s">
        <v>7842</v>
      </c>
      <c r="B1355" s="2" t="s">
        <v>1185</v>
      </c>
      <c r="C1355" s="2" t="s">
        <v>7716</v>
      </c>
      <c r="D1355" s="2" t="s">
        <v>7843</v>
      </c>
      <c r="E1355" s="2" t="s">
        <v>7844</v>
      </c>
      <c r="F1355" s="2" t="s">
        <v>7845</v>
      </c>
      <c r="G1355" s="2" t="s">
        <v>7846</v>
      </c>
      <c r="H1355" s="2" t="s">
        <v>20</v>
      </c>
      <c r="I1355" s="2" t="s">
        <v>7847</v>
      </c>
      <c r="J1355" s="2" t="s">
        <v>7829</v>
      </c>
      <c r="K1355" s="2" t="s">
        <v>1193</v>
      </c>
      <c r="L1355" s="2" t="n">
        <v>3</v>
      </c>
      <c r="M1355" s="2" t="n">
        <v>86</v>
      </c>
    </row>
    <row r="1356" customFormat="false" ht="61.15" hidden="false" customHeight="false" outlineLevel="0" collapsed="false">
      <c r="A1356" s="2" t="s">
        <v>7848</v>
      </c>
      <c r="B1356" s="2" t="s">
        <v>1185</v>
      </c>
      <c r="C1356" s="2" t="s">
        <v>7716</v>
      </c>
      <c r="D1356" s="2" t="s">
        <v>7849</v>
      </c>
      <c r="E1356" s="2" t="s">
        <v>7850</v>
      </c>
      <c r="F1356" s="2" t="s">
        <v>7851</v>
      </c>
      <c r="G1356" s="2" t="s">
        <v>7852</v>
      </c>
      <c r="H1356" s="2" t="s">
        <v>20</v>
      </c>
      <c r="I1356" s="2" t="s">
        <v>7853</v>
      </c>
      <c r="J1356" s="2" t="s">
        <v>7829</v>
      </c>
      <c r="K1356" s="2" t="s">
        <v>1193</v>
      </c>
      <c r="L1356" s="2" t="n">
        <v>3</v>
      </c>
      <c r="M1356" s="2" t="n">
        <v>86</v>
      </c>
    </row>
    <row r="1357" customFormat="false" ht="46.25" hidden="false" customHeight="false" outlineLevel="0" collapsed="false">
      <c r="A1357" s="2" t="s">
        <v>7854</v>
      </c>
      <c r="B1357" s="2" t="s">
        <v>1185</v>
      </c>
      <c r="C1357" s="2" t="s">
        <v>7716</v>
      </c>
      <c r="D1357" s="2" t="s">
        <v>7855</v>
      </c>
      <c r="E1357" s="2" t="s">
        <v>7856</v>
      </c>
      <c r="F1357" s="2" t="s">
        <v>7857</v>
      </c>
      <c r="G1357" s="2" t="s">
        <v>7858</v>
      </c>
      <c r="H1357" s="2" t="s">
        <v>28</v>
      </c>
      <c r="I1357" s="2" t="s">
        <v>7859</v>
      </c>
      <c r="J1357" s="2" t="s">
        <v>7829</v>
      </c>
      <c r="K1357" s="2" t="s">
        <v>1193</v>
      </c>
      <c r="L1357" s="2" t="n">
        <v>3</v>
      </c>
      <c r="M1357" s="2" t="n">
        <v>87</v>
      </c>
    </row>
    <row r="1358" customFormat="false" ht="76.1" hidden="false" customHeight="false" outlineLevel="0" collapsed="false">
      <c r="A1358" s="2" t="s">
        <v>7860</v>
      </c>
      <c r="B1358" s="2" t="s">
        <v>1185</v>
      </c>
      <c r="C1358" s="2" t="s">
        <v>7716</v>
      </c>
      <c r="D1358" s="2" t="s">
        <v>7861</v>
      </c>
      <c r="E1358" s="2" t="s">
        <v>7862</v>
      </c>
      <c r="F1358" s="2" t="s">
        <v>7863</v>
      </c>
      <c r="G1358" s="2" t="s">
        <v>7864</v>
      </c>
      <c r="H1358" s="2" t="s">
        <v>20</v>
      </c>
      <c r="I1358" s="2" t="s">
        <v>7865</v>
      </c>
      <c r="J1358" s="2" t="s">
        <v>7767</v>
      </c>
      <c r="K1358" s="2" t="s">
        <v>1193</v>
      </c>
      <c r="L1358" s="2" t="n">
        <v>2</v>
      </c>
      <c r="M1358" s="2" t="n">
        <v>87</v>
      </c>
    </row>
    <row r="1359" customFormat="false" ht="76.1" hidden="false" customHeight="false" outlineLevel="0" collapsed="false">
      <c r="A1359" s="2" t="s">
        <v>7866</v>
      </c>
      <c r="B1359" s="2" t="s">
        <v>1185</v>
      </c>
      <c r="C1359" s="2" t="s">
        <v>7716</v>
      </c>
      <c r="D1359" s="2" t="s">
        <v>7867</v>
      </c>
      <c r="E1359" s="2" t="s">
        <v>1608</v>
      </c>
      <c r="F1359" s="2" t="s">
        <v>1607</v>
      </c>
      <c r="G1359" s="2" t="s">
        <v>3290</v>
      </c>
      <c r="H1359" s="2" t="s">
        <v>20</v>
      </c>
      <c r="I1359" s="2" t="s">
        <v>7868</v>
      </c>
      <c r="J1359" s="2" t="s">
        <v>7767</v>
      </c>
      <c r="K1359" s="2" t="s">
        <v>1193</v>
      </c>
      <c r="L1359" s="2" t="n">
        <v>2</v>
      </c>
      <c r="M1359" s="2" t="n">
        <v>87</v>
      </c>
    </row>
    <row r="1360" customFormat="false" ht="46.25" hidden="false" customHeight="false" outlineLevel="0" collapsed="false">
      <c r="A1360" s="2" t="s">
        <v>7869</v>
      </c>
      <c r="B1360" s="2" t="s">
        <v>1185</v>
      </c>
      <c r="C1360" s="2" t="s">
        <v>7716</v>
      </c>
      <c r="D1360" s="2" t="s">
        <v>7870</v>
      </c>
      <c r="E1360" s="2" t="s">
        <v>2727</v>
      </c>
      <c r="F1360" s="2" t="s">
        <v>7871</v>
      </c>
      <c r="G1360" s="2" t="s">
        <v>7872</v>
      </c>
      <c r="H1360" s="2" t="s">
        <v>20</v>
      </c>
      <c r="I1360" s="2" t="s">
        <v>7873</v>
      </c>
      <c r="J1360" s="2" t="s">
        <v>7874</v>
      </c>
      <c r="K1360" s="2" t="s">
        <v>1193</v>
      </c>
      <c r="L1360" s="2" t="n">
        <v>3</v>
      </c>
      <c r="M1360" s="2" t="n">
        <v>87</v>
      </c>
    </row>
    <row r="1361" customFormat="false" ht="46.25" hidden="false" customHeight="false" outlineLevel="0" collapsed="false">
      <c r="A1361" s="2" t="s">
        <v>7875</v>
      </c>
      <c r="B1361" s="2" t="s">
        <v>1185</v>
      </c>
      <c r="C1361" s="2" t="s">
        <v>7716</v>
      </c>
      <c r="D1361" s="2" t="s">
        <v>7876</v>
      </c>
      <c r="E1361" s="2" t="s">
        <v>7877</v>
      </c>
      <c r="F1361" s="2" t="s">
        <v>7878</v>
      </c>
      <c r="G1361" s="2" t="s">
        <v>7879</v>
      </c>
      <c r="H1361" s="2" t="s">
        <v>20</v>
      </c>
      <c r="I1361" s="2" t="s">
        <v>7880</v>
      </c>
      <c r="J1361" s="2" t="s">
        <v>7881</v>
      </c>
      <c r="K1361" s="2" t="s">
        <v>1193</v>
      </c>
      <c r="L1361" s="2" t="n">
        <v>3</v>
      </c>
      <c r="M1361" s="2" t="n">
        <v>85</v>
      </c>
    </row>
    <row r="1362" customFormat="false" ht="46.25" hidden="false" customHeight="false" outlineLevel="0" collapsed="false">
      <c r="A1362" s="2" t="s">
        <v>7882</v>
      </c>
      <c r="B1362" s="2" t="s">
        <v>1185</v>
      </c>
      <c r="C1362" s="2" t="s">
        <v>7716</v>
      </c>
      <c r="D1362" s="2" t="s">
        <v>7883</v>
      </c>
      <c r="E1362" s="2" t="s">
        <v>7884</v>
      </c>
      <c r="F1362" s="2" t="s">
        <v>7885</v>
      </c>
      <c r="G1362" s="2" t="s">
        <v>7886</v>
      </c>
      <c r="H1362" s="2" t="s">
        <v>20</v>
      </c>
      <c r="I1362" s="2" t="s">
        <v>7887</v>
      </c>
      <c r="J1362" s="2" t="s">
        <v>7881</v>
      </c>
      <c r="K1362" s="2" t="s">
        <v>1193</v>
      </c>
      <c r="L1362" s="2" t="n">
        <v>3</v>
      </c>
      <c r="M1362" s="2" t="n">
        <v>85</v>
      </c>
    </row>
    <row r="1363" customFormat="false" ht="61.15" hidden="false" customHeight="false" outlineLevel="0" collapsed="false">
      <c r="A1363" s="2" t="s">
        <v>7888</v>
      </c>
      <c r="B1363" s="2" t="s">
        <v>1185</v>
      </c>
      <c r="C1363" s="2" t="s">
        <v>7716</v>
      </c>
      <c r="D1363" s="2" t="s">
        <v>7889</v>
      </c>
      <c r="E1363" s="2" t="s">
        <v>7890</v>
      </c>
      <c r="F1363" s="2" t="s">
        <v>7891</v>
      </c>
      <c r="G1363" s="2" t="s">
        <v>7892</v>
      </c>
      <c r="H1363" s="2" t="s">
        <v>20</v>
      </c>
      <c r="I1363" s="2" t="s">
        <v>7893</v>
      </c>
      <c r="J1363" s="2" t="s">
        <v>7894</v>
      </c>
      <c r="K1363" s="2" t="s">
        <v>1193</v>
      </c>
      <c r="L1363" s="2" t="n">
        <v>3</v>
      </c>
      <c r="M1363" s="2" t="n">
        <v>83</v>
      </c>
    </row>
    <row r="1364" customFormat="false" ht="61.15" hidden="false" customHeight="false" outlineLevel="0" collapsed="false">
      <c r="A1364" s="2" t="s">
        <v>7895</v>
      </c>
      <c r="B1364" s="2" t="s">
        <v>1185</v>
      </c>
      <c r="C1364" s="2" t="s">
        <v>7716</v>
      </c>
      <c r="D1364" s="2" t="s">
        <v>7896</v>
      </c>
      <c r="E1364" s="2" t="s">
        <v>7897</v>
      </c>
      <c r="F1364" s="2" t="s">
        <v>7898</v>
      </c>
      <c r="G1364" s="2" t="s">
        <v>7899</v>
      </c>
      <c r="H1364" s="2" t="s">
        <v>20</v>
      </c>
      <c r="I1364" s="2" t="s">
        <v>7900</v>
      </c>
      <c r="J1364" s="2" t="s">
        <v>7829</v>
      </c>
      <c r="K1364" s="2" t="s">
        <v>1193</v>
      </c>
      <c r="L1364" s="2" t="n">
        <v>4</v>
      </c>
      <c r="M1364" s="2" t="n">
        <v>85</v>
      </c>
    </row>
    <row r="1365" customFormat="false" ht="61.15" hidden="false" customHeight="false" outlineLevel="0" collapsed="false">
      <c r="A1365" s="2" t="s">
        <v>7901</v>
      </c>
      <c r="B1365" s="2" t="s">
        <v>1185</v>
      </c>
      <c r="C1365" s="2" t="s">
        <v>7902</v>
      </c>
      <c r="D1365" s="2" t="s">
        <v>7903</v>
      </c>
      <c r="E1365" s="2" t="s">
        <v>7904</v>
      </c>
      <c r="F1365" s="2" t="s">
        <v>7905</v>
      </c>
      <c r="G1365" s="2" t="s">
        <v>7906</v>
      </c>
      <c r="H1365" s="2" t="s">
        <v>20</v>
      </c>
      <c r="I1365" s="2" t="s">
        <v>7907</v>
      </c>
      <c r="J1365" s="2" t="s">
        <v>7881</v>
      </c>
      <c r="K1365" s="2" t="s">
        <v>1193</v>
      </c>
      <c r="L1365" s="2" t="n">
        <v>3</v>
      </c>
      <c r="M1365" s="2" t="n">
        <v>87</v>
      </c>
    </row>
    <row r="1366" customFormat="false" ht="61.15" hidden="false" customHeight="false" outlineLevel="0" collapsed="false">
      <c r="A1366" s="2" t="s">
        <v>7908</v>
      </c>
      <c r="B1366" s="2" t="s">
        <v>1185</v>
      </c>
      <c r="C1366" s="2" t="s">
        <v>7902</v>
      </c>
      <c r="D1366" s="2" t="s">
        <v>7909</v>
      </c>
      <c r="E1366" s="2" t="s">
        <v>7910</v>
      </c>
      <c r="F1366" s="2" t="s">
        <v>7911</v>
      </c>
      <c r="G1366" s="2" t="s">
        <v>7912</v>
      </c>
      <c r="H1366" s="2" t="s">
        <v>20</v>
      </c>
      <c r="I1366" s="2" t="s">
        <v>7913</v>
      </c>
      <c r="J1366" s="2" t="s">
        <v>7881</v>
      </c>
      <c r="K1366" s="2" t="s">
        <v>1193</v>
      </c>
      <c r="L1366" s="2" t="n">
        <v>3</v>
      </c>
      <c r="M1366" s="2" t="n">
        <v>88</v>
      </c>
    </row>
    <row r="1367" customFormat="false" ht="76.1" hidden="false" customHeight="false" outlineLevel="0" collapsed="false">
      <c r="A1367" s="2" t="s">
        <v>7914</v>
      </c>
      <c r="B1367" s="2" t="s">
        <v>1185</v>
      </c>
      <c r="C1367" s="2" t="s">
        <v>7902</v>
      </c>
      <c r="D1367" s="2" t="s">
        <v>7915</v>
      </c>
      <c r="E1367" s="2" t="s">
        <v>7916</v>
      </c>
      <c r="F1367" s="2" t="s">
        <v>7917</v>
      </c>
      <c r="G1367" s="2" t="s">
        <v>7918</v>
      </c>
      <c r="H1367" s="2" t="s">
        <v>20</v>
      </c>
      <c r="I1367" s="2" t="s">
        <v>7919</v>
      </c>
      <c r="J1367" s="2" t="s">
        <v>7881</v>
      </c>
      <c r="K1367" s="2" t="s">
        <v>1193</v>
      </c>
      <c r="L1367" s="2" t="n">
        <v>4</v>
      </c>
      <c r="M1367" s="2" t="n">
        <v>88</v>
      </c>
    </row>
    <row r="1368" customFormat="false" ht="61.15" hidden="false" customHeight="false" outlineLevel="0" collapsed="false">
      <c r="A1368" s="2" t="s">
        <v>7920</v>
      </c>
      <c r="B1368" s="2" t="s">
        <v>1185</v>
      </c>
      <c r="C1368" s="2" t="s">
        <v>7902</v>
      </c>
      <c r="D1368" s="2" t="s">
        <v>7921</v>
      </c>
      <c r="E1368" s="2" t="s">
        <v>7922</v>
      </c>
      <c r="F1368" s="2" t="s">
        <v>7923</v>
      </c>
      <c r="G1368" s="2" t="s">
        <v>7924</v>
      </c>
      <c r="H1368" s="2" t="s">
        <v>20</v>
      </c>
      <c r="I1368" s="2" t="s">
        <v>7925</v>
      </c>
      <c r="J1368" s="2" t="s">
        <v>7874</v>
      </c>
      <c r="K1368" s="2" t="s">
        <v>1193</v>
      </c>
      <c r="L1368" s="2" t="n">
        <v>3</v>
      </c>
      <c r="M1368" s="2" t="n">
        <v>87</v>
      </c>
    </row>
    <row r="1369" customFormat="false" ht="46.25" hidden="false" customHeight="false" outlineLevel="0" collapsed="false">
      <c r="A1369" s="2" t="s">
        <v>7926</v>
      </c>
      <c r="B1369" s="2" t="s">
        <v>1185</v>
      </c>
      <c r="C1369" s="2" t="s">
        <v>7902</v>
      </c>
      <c r="D1369" s="2" t="s">
        <v>7927</v>
      </c>
      <c r="E1369" s="2" t="s">
        <v>7928</v>
      </c>
      <c r="F1369" s="2" t="s">
        <v>7929</v>
      </c>
      <c r="G1369" s="2" t="s">
        <v>7930</v>
      </c>
      <c r="H1369" s="2" t="s">
        <v>20</v>
      </c>
      <c r="I1369" s="2" t="s">
        <v>7931</v>
      </c>
      <c r="J1369" s="2" t="s">
        <v>7874</v>
      </c>
      <c r="K1369" s="2" t="s">
        <v>1193</v>
      </c>
      <c r="L1369" s="2" t="n">
        <v>3</v>
      </c>
      <c r="M1369" s="2" t="n">
        <v>87</v>
      </c>
    </row>
    <row r="1370" customFormat="false" ht="46.25" hidden="false" customHeight="false" outlineLevel="0" collapsed="false">
      <c r="A1370" s="2" t="s">
        <v>7932</v>
      </c>
      <c r="B1370" s="2" t="s">
        <v>1185</v>
      </c>
      <c r="C1370" s="2" t="s">
        <v>7902</v>
      </c>
      <c r="D1370" s="2" t="s">
        <v>7933</v>
      </c>
      <c r="E1370" s="2" t="s">
        <v>7934</v>
      </c>
      <c r="F1370" s="2" t="s">
        <v>7935</v>
      </c>
      <c r="G1370" s="2" t="s">
        <v>7936</v>
      </c>
      <c r="H1370" s="2" t="s">
        <v>20</v>
      </c>
      <c r="I1370" s="2" t="s">
        <v>7937</v>
      </c>
      <c r="J1370" s="2" t="s">
        <v>7829</v>
      </c>
      <c r="K1370" s="2" t="s">
        <v>1193</v>
      </c>
      <c r="L1370" s="2" t="n">
        <v>2</v>
      </c>
      <c r="M1370" s="2" t="n">
        <v>85</v>
      </c>
    </row>
    <row r="1371" customFormat="false" ht="76.1" hidden="false" customHeight="false" outlineLevel="0" collapsed="false">
      <c r="A1371" s="2" t="s">
        <v>7938</v>
      </c>
      <c r="B1371" s="2" t="s">
        <v>1185</v>
      </c>
      <c r="C1371" s="2" t="s">
        <v>7902</v>
      </c>
      <c r="D1371" s="2" t="s">
        <v>7939</v>
      </c>
      <c r="E1371" s="2" t="s">
        <v>7940</v>
      </c>
      <c r="F1371" s="2" t="s">
        <v>7941</v>
      </c>
      <c r="G1371" s="2" t="s">
        <v>7942</v>
      </c>
      <c r="H1371" s="2" t="s">
        <v>20</v>
      </c>
      <c r="I1371" s="2" t="s">
        <v>7943</v>
      </c>
      <c r="J1371" s="2" t="s">
        <v>7829</v>
      </c>
      <c r="K1371" s="2" t="s">
        <v>1193</v>
      </c>
      <c r="L1371" s="2" t="n">
        <v>3</v>
      </c>
      <c r="M1371" s="2" t="n">
        <v>85</v>
      </c>
    </row>
    <row r="1372" customFormat="false" ht="61.15" hidden="false" customHeight="false" outlineLevel="0" collapsed="false">
      <c r="A1372" s="2" t="s">
        <v>7944</v>
      </c>
      <c r="B1372" s="2" t="s">
        <v>1185</v>
      </c>
      <c r="C1372" s="2" t="s">
        <v>7902</v>
      </c>
      <c r="D1372" s="2" t="s">
        <v>7945</v>
      </c>
      <c r="E1372" s="2" t="s">
        <v>7946</v>
      </c>
      <c r="F1372" s="2" t="s">
        <v>7947</v>
      </c>
      <c r="G1372" s="2" t="s">
        <v>7948</v>
      </c>
      <c r="H1372" s="2" t="s">
        <v>20</v>
      </c>
      <c r="I1372" s="2" t="s">
        <v>7949</v>
      </c>
      <c r="J1372" s="2" t="s">
        <v>7798</v>
      </c>
      <c r="K1372" s="2" t="s">
        <v>1193</v>
      </c>
      <c r="L1372" s="2" t="n">
        <v>3</v>
      </c>
      <c r="M1372" s="2" t="n">
        <v>84</v>
      </c>
    </row>
    <row r="1373" customFormat="false" ht="61.15" hidden="false" customHeight="false" outlineLevel="0" collapsed="false">
      <c r="A1373" s="2" t="s">
        <v>7950</v>
      </c>
      <c r="B1373" s="2" t="s">
        <v>1185</v>
      </c>
      <c r="C1373" s="2" t="s">
        <v>7902</v>
      </c>
      <c r="D1373" s="2" t="s">
        <v>7951</v>
      </c>
      <c r="E1373" s="2" t="s">
        <v>7952</v>
      </c>
      <c r="F1373" s="2" t="s">
        <v>7953</v>
      </c>
      <c r="G1373" s="2" t="s">
        <v>7954</v>
      </c>
      <c r="H1373" s="2" t="s">
        <v>20</v>
      </c>
      <c r="I1373" s="2" t="s">
        <v>7955</v>
      </c>
      <c r="J1373" s="2" t="s">
        <v>7798</v>
      </c>
      <c r="K1373" s="2" t="s">
        <v>1193</v>
      </c>
      <c r="L1373" s="2" t="n">
        <v>3</v>
      </c>
      <c r="M1373" s="2" t="n">
        <v>84</v>
      </c>
    </row>
    <row r="1374" customFormat="false" ht="61.15" hidden="false" customHeight="false" outlineLevel="0" collapsed="false">
      <c r="A1374" s="2" t="s">
        <v>7956</v>
      </c>
      <c r="B1374" s="2" t="s">
        <v>1185</v>
      </c>
      <c r="C1374" s="2" t="s">
        <v>7902</v>
      </c>
      <c r="D1374" s="2" t="s">
        <v>7957</v>
      </c>
      <c r="E1374" s="2" t="s">
        <v>7958</v>
      </c>
      <c r="F1374" s="2" t="s">
        <v>7959</v>
      </c>
      <c r="G1374" s="2" t="s">
        <v>7960</v>
      </c>
      <c r="H1374" s="2" t="s">
        <v>20</v>
      </c>
      <c r="I1374" s="2" t="s">
        <v>7961</v>
      </c>
      <c r="J1374" s="2" t="s">
        <v>7829</v>
      </c>
      <c r="K1374" s="2" t="s">
        <v>1193</v>
      </c>
      <c r="L1374" s="2" t="n">
        <v>2</v>
      </c>
      <c r="M1374" s="2" t="n">
        <v>86</v>
      </c>
    </row>
    <row r="1375" customFormat="false" ht="76.1" hidden="false" customHeight="false" outlineLevel="0" collapsed="false">
      <c r="A1375" s="2" t="s">
        <v>7962</v>
      </c>
      <c r="B1375" s="2" t="s">
        <v>1185</v>
      </c>
      <c r="C1375" s="2" t="s">
        <v>7902</v>
      </c>
      <c r="D1375" s="2" t="s">
        <v>7963</v>
      </c>
      <c r="E1375" s="2" t="s">
        <v>7964</v>
      </c>
      <c r="F1375" s="2" t="s">
        <v>7965</v>
      </c>
      <c r="G1375" s="2" t="s">
        <v>7966</v>
      </c>
      <c r="H1375" s="2" t="s">
        <v>20</v>
      </c>
      <c r="I1375" s="2" t="s">
        <v>7967</v>
      </c>
      <c r="J1375" s="2" t="s">
        <v>7829</v>
      </c>
      <c r="K1375" s="2" t="s">
        <v>1193</v>
      </c>
      <c r="L1375" s="2" t="n">
        <v>2</v>
      </c>
      <c r="M1375" s="2" t="n">
        <v>87</v>
      </c>
    </row>
    <row r="1376" customFormat="false" ht="76.1" hidden="false" customHeight="false" outlineLevel="0" collapsed="false">
      <c r="A1376" s="2" t="s">
        <v>7968</v>
      </c>
      <c r="B1376" s="2" t="s">
        <v>1185</v>
      </c>
      <c r="C1376" s="2" t="s">
        <v>7902</v>
      </c>
      <c r="D1376" s="2" t="s">
        <v>7969</v>
      </c>
      <c r="E1376" s="2" t="s">
        <v>7970</v>
      </c>
      <c r="F1376" s="2" t="s">
        <v>7971</v>
      </c>
      <c r="G1376" s="2" t="s">
        <v>7972</v>
      </c>
      <c r="H1376" s="2" t="s">
        <v>20</v>
      </c>
      <c r="I1376" s="2" t="s">
        <v>7973</v>
      </c>
      <c r="J1376" s="2" t="s">
        <v>7881</v>
      </c>
      <c r="K1376" s="2" t="s">
        <v>1193</v>
      </c>
      <c r="L1376" s="2" t="n">
        <v>3</v>
      </c>
      <c r="M1376" s="2" t="n">
        <v>87</v>
      </c>
    </row>
    <row r="1377" customFormat="false" ht="61.15" hidden="false" customHeight="false" outlineLevel="0" collapsed="false">
      <c r="A1377" s="2" t="s">
        <v>7974</v>
      </c>
      <c r="B1377" s="2" t="s">
        <v>1185</v>
      </c>
      <c r="C1377" s="2" t="s">
        <v>7716</v>
      </c>
      <c r="D1377" s="2" t="s">
        <v>7975</v>
      </c>
      <c r="E1377" s="2" t="s">
        <v>7976</v>
      </c>
      <c r="F1377" s="2" t="s">
        <v>7977</v>
      </c>
      <c r="G1377" s="2" t="s">
        <v>7978</v>
      </c>
      <c r="H1377" s="2" t="s">
        <v>20</v>
      </c>
      <c r="I1377" s="2" t="s">
        <v>7979</v>
      </c>
      <c r="J1377" s="2" t="s">
        <v>7716</v>
      </c>
      <c r="K1377" s="2" t="s">
        <v>1193</v>
      </c>
      <c r="L1377" s="2" t="n">
        <v>2</v>
      </c>
      <c r="M1377" s="2" t="n">
        <v>84</v>
      </c>
    </row>
    <row r="1378" customFormat="false" ht="61.15" hidden="false" customHeight="false" outlineLevel="0" collapsed="false">
      <c r="A1378" s="2" t="s">
        <v>7980</v>
      </c>
      <c r="B1378" s="2" t="s">
        <v>1185</v>
      </c>
      <c r="C1378" s="2" t="s">
        <v>7716</v>
      </c>
      <c r="D1378" s="2" t="s">
        <v>7981</v>
      </c>
      <c r="E1378" s="2" t="s">
        <v>7982</v>
      </c>
      <c r="F1378" s="2" t="s">
        <v>7983</v>
      </c>
      <c r="G1378" s="2" t="s">
        <v>7984</v>
      </c>
      <c r="H1378" s="2" t="s">
        <v>20</v>
      </c>
      <c r="I1378" s="2" t="s">
        <v>7985</v>
      </c>
      <c r="J1378" s="2" t="s">
        <v>7716</v>
      </c>
      <c r="K1378" s="2" t="s">
        <v>1193</v>
      </c>
      <c r="L1378" s="2" t="n">
        <v>3</v>
      </c>
      <c r="M1378" s="2" t="n">
        <v>86</v>
      </c>
    </row>
    <row r="1379" customFormat="false" ht="46.25" hidden="false" customHeight="false" outlineLevel="0" collapsed="false">
      <c r="A1379" s="2" t="s">
        <v>7986</v>
      </c>
      <c r="B1379" s="2" t="s">
        <v>1185</v>
      </c>
      <c r="C1379" s="2" t="s">
        <v>7902</v>
      </c>
      <c r="D1379" s="2" t="s">
        <v>7987</v>
      </c>
      <c r="E1379" s="2" t="s">
        <v>7988</v>
      </c>
      <c r="F1379" s="2" t="s">
        <v>7989</v>
      </c>
      <c r="G1379" s="2" t="s">
        <v>7990</v>
      </c>
      <c r="H1379" s="2" t="s">
        <v>20</v>
      </c>
      <c r="I1379" s="2" t="s">
        <v>7991</v>
      </c>
      <c r="J1379" s="2" t="s">
        <v>7902</v>
      </c>
      <c r="K1379" s="2" t="s">
        <v>1193</v>
      </c>
      <c r="L1379" s="2" t="n">
        <v>2</v>
      </c>
      <c r="M1379" s="2" t="n">
        <v>87</v>
      </c>
    </row>
    <row r="1380" customFormat="false" ht="61.15" hidden="false" customHeight="false" outlineLevel="0" collapsed="false">
      <c r="A1380" s="2" t="s">
        <v>7992</v>
      </c>
      <c r="B1380" s="2" t="s">
        <v>1185</v>
      </c>
      <c r="C1380" s="2" t="s">
        <v>7902</v>
      </c>
      <c r="D1380" s="2" t="s">
        <v>7993</v>
      </c>
      <c r="E1380" s="2" t="s">
        <v>7994</v>
      </c>
      <c r="F1380" s="2" t="s">
        <v>7995</v>
      </c>
      <c r="G1380" s="2" t="s">
        <v>7996</v>
      </c>
      <c r="H1380" s="2" t="s">
        <v>20</v>
      </c>
      <c r="I1380" s="2" t="s">
        <v>7997</v>
      </c>
      <c r="J1380" s="2" t="s">
        <v>7902</v>
      </c>
      <c r="K1380" s="2" t="s">
        <v>1193</v>
      </c>
      <c r="L1380" s="2" t="n">
        <v>2</v>
      </c>
      <c r="M1380" s="2" t="n">
        <v>86</v>
      </c>
    </row>
    <row r="1381" customFormat="false" ht="46.25" hidden="false" customHeight="false" outlineLevel="0" collapsed="false">
      <c r="A1381" s="2" t="s">
        <v>7998</v>
      </c>
      <c r="B1381" s="2" t="s">
        <v>1185</v>
      </c>
      <c r="C1381" s="2" t="s">
        <v>7716</v>
      </c>
      <c r="D1381" s="2" t="s">
        <v>7999</v>
      </c>
      <c r="E1381" s="2" t="s">
        <v>8000</v>
      </c>
      <c r="F1381" s="2" t="s">
        <v>8001</v>
      </c>
      <c r="G1381" s="2" t="s">
        <v>8002</v>
      </c>
      <c r="H1381" s="2" t="s">
        <v>20</v>
      </c>
      <c r="I1381" s="2" t="s">
        <v>8003</v>
      </c>
      <c r="J1381" s="2" t="s">
        <v>7716</v>
      </c>
      <c r="K1381" s="2" t="s">
        <v>1193</v>
      </c>
      <c r="L1381" s="2" t="n">
        <v>2</v>
      </c>
      <c r="M1381" s="2" t="n">
        <v>83</v>
      </c>
    </row>
    <row r="1382" customFormat="false" ht="46.25" hidden="false" customHeight="false" outlineLevel="0" collapsed="false">
      <c r="A1382" s="2" t="s">
        <v>8004</v>
      </c>
      <c r="B1382" s="2" t="s">
        <v>1185</v>
      </c>
      <c r="C1382" s="2" t="s">
        <v>7716</v>
      </c>
      <c r="D1382" s="2" t="s">
        <v>8005</v>
      </c>
      <c r="E1382" s="2" t="s">
        <v>8006</v>
      </c>
      <c r="F1382" s="2" t="s">
        <v>8007</v>
      </c>
      <c r="G1382" s="2" t="s">
        <v>8008</v>
      </c>
      <c r="H1382" s="2" t="s">
        <v>20</v>
      </c>
      <c r="I1382" s="2" t="s">
        <v>8009</v>
      </c>
      <c r="J1382" s="2" t="s">
        <v>7716</v>
      </c>
      <c r="K1382" s="2" t="s">
        <v>1193</v>
      </c>
      <c r="L1382" s="2" t="n">
        <v>2</v>
      </c>
      <c r="M1382" s="2" t="n">
        <v>86</v>
      </c>
    </row>
    <row r="1383" customFormat="false" ht="46.25" hidden="false" customHeight="false" outlineLevel="0" collapsed="false">
      <c r="A1383" s="2" t="s">
        <v>8010</v>
      </c>
      <c r="B1383" s="2" t="s">
        <v>1185</v>
      </c>
      <c r="C1383" s="2" t="s">
        <v>7902</v>
      </c>
      <c r="D1383" s="2" t="s">
        <v>8011</v>
      </c>
      <c r="E1383" s="2" t="s">
        <v>2727</v>
      </c>
      <c r="F1383" s="2" t="s">
        <v>8012</v>
      </c>
      <c r="G1383" s="2" t="s">
        <v>8013</v>
      </c>
      <c r="H1383" s="2" t="s">
        <v>20</v>
      </c>
      <c r="I1383" s="2" t="s">
        <v>8014</v>
      </c>
      <c r="J1383" s="2" t="s">
        <v>7902</v>
      </c>
      <c r="K1383" s="2" t="s">
        <v>1193</v>
      </c>
      <c r="L1383" s="2" t="n">
        <v>2</v>
      </c>
      <c r="M1383" s="2" t="n">
        <v>84</v>
      </c>
    </row>
    <row r="1384" customFormat="false" ht="61.15" hidden="false" customHeight="false" outlineLevel="0" collapsed="false">
      <c r="A1384" s="2" t="s">
        <v>8015</v>
      </c>
      <c r="B1384" s="2" t="s">
        <v>1185</v>
      </c>
      <c r="C1384" s="2" t="s">
        <v>7902</v>
      </c>
      <c r="D1384" s="2" t="s">
        <v>8016</v>
      </c>
      <c r="E1384" s="2" t="s">
        <v>8017</v>
      </c>
      <c r="F1384" s="2" t="s">
        <v>8018</v>
      </c>
      <c r="G1384" s="2" t="s">
        <v>8019</v>
      </c>
      <c r="H1384" s="2" t="s">
        <v>20</v>
      </c>
      <c r="I1384" s="2" t="s">
        <v>8020</v>
      </c>
      <c r="J1384" s="2" t="s">
        <v>7902</v>
      </c>
      <c r="K1384" s="2" t="s">
        <v>1193</v>
      </c>
      <c r="L1384" s="2" t="n">
        <v>2</v>
      </c>
      <c r="M1384" s="2" t="n">
        <v>87</v>
      </c>
    </row>
    <row r="1385" customFormat="false" ht="61.15" hidden="false" customHeight="false" outlineLevel="0" collapsed="false">
      <c r="A1385" s="2" t="s">
        <v>8021</v>
      </c>
      <c r="B1385" s="2" t="s">
        <v>1185</v>
      </c>
      <c r="C1385" s="2" t="s">
        <v>7716</v>
      </c>
      <c r="D1385" s="2" t="s">
        <v>8022</v>
      </c>
      <c r="E1385" s="2" t="s">
        <v>8023</v>
      </c>
      <c r="F1385" s="2" t="s">
        <v>8024</v>
      </c>
      <c r="G1385" s="2" t="s">
        <v>8025</v>
      </c>
      <c r="H1385" s="2" t="s">
        <v>20</v>
      </c>
      <c r="I1385" s="2" t="s">
        <v>8026</v>
      </c>
      <c r="J1385" s="2" t="s">
        <v>7716</v>
      </c>
      <c r="K1385" s="2" t="s">
        <v>1193</v>
      </c>
      <c r="L1385" s="2" t="n">
        <v>2</v>
      </c>
      <c r="M1385" s="2" t="n">
        <v>84</v>
      </c>
    </row>
    <row r="1386" customFormat="false" ht="46.25" hidden="false" customHeight="false" outlineLevel="0" collapsed="false">
      <c r="A1386" s="2" t="s">
        <v>8027</v>
      </c>
      <c r="B1386" s="2" t="s">
        <v>1185</v>
      </c>
      <c r="C1386" s="2" t="s">
        <v>7716</v>
      </c>
      <c r="D1386" s="2" t="s">
        <v>8028</v>
      </c>
      <c r="E1386" s="2" t="s">
        <v>8029</v>
      </c>
      <c r="F1386" s="2" t="s">
        <v>8030</v>
      </c>
      <c r="G1386" s="2" t="s">
        <v>8031</v>
      </c>
      <c r="H1386" s="2" t="s">
        <v>20</v>
      </c>
      <c r="I1386" s="2" t="s">
        <v>8032</v>
      </c>
      <c r="J1386" s="2" t="s">
        <v>7716</v>
      </c>
      <c r="K1386" s="2" t="s">
        <v>1193</v>
      </c>
      <c r="L1386" s="2" t="n">
        <v>1</v>
      </c>
      <c r="M1386" s="2" t="n">
        <v>87</v>
      </c>
    </row>
    <row r="1387" customFormat="false" ht="61.15" hidden="false" customHeight="false" outlineLevel="0" collapsed="false">
      <c r="A1387" s="2" t="s">
        <v>8033</v>
      </c>
      <c r="B1387" s="2" t="s">
        <v>1185</v>
      </c>
      <c r="C1387" s="2" t="s">
        <v>7902</v>
      </c>
      <c r="D1387" s="2" t="s">
        <v>8034</v>
      </c>
      <c r="E1387" s="2" t="s">
        <v>8035</v>
      </c>
      <c r="F1387" s="2" t="s">
        <v>8036</v>
      </c>
      <c r="G1387" s="2" t="s">
        <v>8037</v>
      </c>
      <c r="H1387" s="2" t="s">
        <v>20</v>
      </c>
      <c r="I1387" s="2" t="s">
        <v>8038</v>
      </c>
      <c r="J1387" s="2" t="s">
        <v>7902</v>
      </c>
      <c r="K1387" s="2" t="s">
        <v>1193</v>
      </c>
      <c r="L1387" s="2" t="n">
        <v>2</v>
      </c>
      <c r="M1387" s="2" t="n">
        <v>87</v>
      </c>
    </row>
    <row r="1388" customFormat="false" ht="61.15" hidden="false" customHeight="false" outlineLevel="0" collapsed="false">
      <c r="A1388" s="2" t="s">
        <v>8039</v>
      </c>
      <c r="B1388" s="2" t="s">
        <v>1185</v>
      </c>
      <c r="C1388" s="2" t="s">
        <v>7716</v>
      </c>
      <c r="D1388" s="2" t="s">
        <v>8040</v>
      </c>
      <c r="E1388" s="2" t="s">
        <v>8041</v>
      </c>
      <c r="F1388" s="2" t="s">
        <v>8042</v>
      </c>
      <c r="G1388" s="2" t="s">
        <v>8043</v>
      </c>
      <c r="H1388" s="2" t="s">
        <v>20</v>
      </c>
      <c r="I1388" s="2" t="s">
        <v>8044</v>
      </c>
      <c r="J1388" s="2" t="s">
        <v>7716</v>
      </c>
      <c r="K1388" s="2" t="s">
        <v>1193</v>
      </c>
      <c r="L1388" s="2" t="n">
        <v>2</v>
      </c>
      <c r="M1388" s="2" t="n">
        <v>87</v>
      </c>
    </row>
    <row r="1389" customFormat="false" ht="61.15" hidden="false" customHeight="false" outlineLevel="0" collapsed="false">
      <c r="A1389" s="2" t="s">
        <v>8045</v>
      </c>
      <c r="B1389" s="2" t="s">
        <v>1185</v>
      </c>
      <c r="C1389" s="2" t="s">
        <v>7902</v>
      </c>
      <c r="D1389" s="2" t="s">
        <v>8046</v>
      </c>
      <c r="E1389" s="2" t="s">
        <v>8047</v>
      </c>
      <c r="F1389" s="2" t="s">
        <v>8048</v>
      </c>
      <c r="G1389" s="2" t="s">
        <v>8049</v>
      </c>
      <c r="H1389" s="2" t="s">
        <v>20</v>
      </c>
      <c r="I1389" s="2" t="s">
        <v>8050</v>
      </c>
      <c r="J1389" s="2" t="s">
        <v>7902</v>
      </c>
      <c r="K1389" s="2" t="s">
        <v>1193</v>
      </c>
      <c r="L1389" s="2" t="n">
        <v>2</v>
      </c>
      <c r="M1389" s="2" t="n">
        <v>87</v>
      </c>
    </row>
    <row r="1390" customFormat="false" ht="46.25" hidden="false" customHeight="false" outlineLevel="0" collapsed="false">
      <c r="A1390" s="2" t="s">
        <v>8051</v>
      </c>
      <c r="B1390" s="2" t="s">
        <v>1185</v>
      </c>
      <c r="C1390" s="2" t="s">
        <v>7716</v>
      </c>
      <c r="D1390" s="2" t="s">
        <v>8052</v>
      </c>
      <c r="E1390" s="2" t="s">
        <v>8053</v>
      </c>
      <c r="F1390" s="2" t="s">
        <v>8054</v>
      </c>
      <c r="G1390" s="2" t="s">
        <v>8055</v>
      </c>
      <c r="H1390" s="2" t="s">
        <v>20</v>
      </c>
      <c r="I1390" s="2" t="s">
        <v>8056</v>
      </c>
      <c r="J1390" s="2" t="s">
        <v>7716</v>
      </c>
      <c r="K1390" s="2" t="s">
        <v>1193</v>
      </c>
      <c r="L1390" s="2" t="n">
        <v>2</v>
      </c>
      <c r="M1390" s="2" t="n">
        <v>83</v>
      </c>
    </row>
    <row r="1391" customFormat="false" ht="76.1" hidden="false" customHeight="false" outlineLevel="0" collapsed="false">
      <c r="A1391" s="2" t="s">
        <v>8057</v>
      </c>
      <c r="B1391" s="2" t="s">
        <v>1185</v>
      </c>
      <c r="C1391" s="2" t="s">
        <v>7902</v>
      </c>
      <c r="D1391" s="2" t="s">
        <v>8058</v>
      </c>
      <c r="E1391" s="2" t="s">
        <v>8059</v>
      </c>
      <c r="F1391" s="2" t="s">
        <v>8060</v>
      </c>
      <c r="G1391" s="2" t="s">
        <v>8061</v>
      </c>
      <c r="H1391" s="2" t="s">
        <v>20</v>
      </c>
      <c r="I1391" s="2" t="s">
        <v>8062</v>
      </c>
      <c r="J1391" s="2" t="s">
        <v>7902</v>
      </c>
      <c r="K1391" s="2" t="s">
        <v>1193</v>
      </c>
      <c r="L1391" s="2" t="n">
        <v>2</v>
      </c>
      <c r="M1391" s="2" t="n">
        <v>87</v>
      </c>
    </row>
  </sheetData>
  <autoFilter ref="A1:M139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customHeight="false" zeroHeight="false" outlineLevelRow="0" outlineLevelCol="0"/>
  <cols>
    <col collapsed="false" customWidth="true" hidden="false" outlineLevel="0" max="1" min="1" style="0" width="35"/>
    <col collapsed="false" customWidth="true" hidden="false" outlineLevel="0" max="2" min="2" style="0" width="14"/>
  </cols>
  <sheetData>
    <row r="1" customFormat="false" ht="15" hidden="false" customHeight="false" outlineLevel="0" collapsed="false">
      <c r="A1" s="3" t="s">
        <v>8063</v>
      </c>
      <c r="B1" s="3" t="s">
        <v>8064</v>
      </c>
    </row>
    <row r="2" customFormat="false" ht="15" hidden="false" customHeight="false" outlineLevel="0" collapsed="false">
      <c r="A2" s="0" t="s">
        <v>1186</v>
      </c>
      <c r="B2" s="0" t="n">
        <f aca="false">COUNTIF('Banco de preguntas'!$C:$C,"Regla 1")</f>
        <v>97</v>
      </c>
    </row>
    <row r="3" customFormat="false" ht="15" hidden="false" customHeight="false" outlineLevel="0" collapsed="false">
      <c r="A3" s="0" t="s">
        <v>1762</v>
      </c>
      <c r="B3" s="0" t="n">
        <f aca="false">COUNTIF('Banco de preguntas'!$C:$C,"Regla 2")</f>
        <v>32</v>
      </c>
    </row>
    <row r="4" customFormat="false" ht="15" hidden="false" customHeight="false" outlineLevel="0" collapsed="false">
      <c r="A4" s="0" t="s">
        <v>1959</v>
      </c>
      <c r="B4" s="0" t="n">
        <f aca="false">COUNTIF('Banco de preguntas'!$C:$C,"Regla 3")</f>
        <v>88</v>
      </c>
    </row>
    <row r="5" customFormat="false" ht="15" hidden="false" customHeight="false" outlineLevel="0" collapsed="false">
      <c r="A5" s="0" t="s">
        <v>2028</v>
      </c>
      <c r="B5" s="0" t="n">
        <f aca="false">COUNTIF('Banco de preguntas'!$C:$C,"Regla 4")</f>
        <v>77</v>
      </c>
    </row>
    <row r="6" customFormat="false" ht="15" hidden="false" customHeight="false" outlineLevel="0" collapsed="false">
      <c r="A6" s="0" t="s">
        <v>2969</v>
      </c>
      <c r="B6" s="0" t="n">
        <f aca="false">COUNTIF('Banco de preguntas'!$C:$C,"Regla 5")</f>
        <v>81</v>
      </c>
    </row>
    <row r="7" customFormat="false" ht="15" hidden="false" customHeight="false" outlineLevel="0" collapsed="false">
      <c r="A7" s="0" t="s">
        <v>3447</v>
      </c>
      <c r="B7" s="0" t="n">
        <f aca="false">COUNTIF('Banco de preguntas'!$C:$C,"Regla 6")</f>
        <v>48</v>
      </c>
    </row>
    <row r="8" customFormat="false" ht="15" hidden="false" customHeight="false" outlineLevel="0" collapsed="false">
      <c r="A8" s="0" t="s">
        <v>3742</v>
      </c>
      <c r="B8" s="0" t="n">
        <f aca="false">COUNTIF('Banco de preguntas'!$C:$C,"Regla 7")</f>
        <v>38</v>
      </c>
    </row>
    <row r="9" customFormat="false" ht="15" hidden="false" customHeight="false" outlineLevel="0" collapsed="false">
      <c r="A9" s="0" t="s">
        <v>3973</v>
      </c>
      <c r="B9" s="0" t="n">
        <f aca="false">COUNTIF('Banco de preguntas'!$C:$C,"Regla 8")</f>
        <v>39</v>
      </c>
    </row>
    <row r="10" customFormat="false" ht="15" hidden="false" customHeight="false" outlineLevel="0" collapsed="false">
      <c r="A10" s="0" t="s">
        <v>4196</v>
      </c>
      <c r="B10" s="0" t="n">
        <f aca="false">COUNTIF('Banco de preguntas'!$C:$C,"Regla 9")</f>
        <v>30</v>
      </c>
    </row>
    <row r="11" customFormat="false" ht="15" hidden="false" customHeight="false" outlineLevel="0" collapsed="false">
      <c r="A11" s="0" t="s">
        <v>4368</v>
      </c>
      <c r="B11" s="0" t="n">
        <f aca="false">COUNTIF('Banco de preguntas'!$C:$C,"Regla 10")</f>
        <v>51</v>
      </c>
    </row>
    <row r="12" customFormat="false" ht="15" hidden="false" customHeight="false" outlineLevel="0" collapsed="false">
      <c r="A12" s="0" t="s">
        <v>4666</v>
      </c>
      <c r="B12" s="0" t="n">
        <f aca="false">COUNTIF('Banco de preguntas'!$C:$C,"Regla 11")</f>
        <v>61</v>
      </c>
    </row>
    <row r="13" customFormat="false" ht="15" hidden="false" customHeight="false" outlineLevel="0" collapsed="false">
      <c r="A13" s="0" t="s">
        <v>5023</v>
      </c>
      <c r="B13" s="0" t="n">
        <f aca="false">COUNTIF('Banco de preguntas'!$C:$C,"Regla 12")</f>
        <v>202</v>
      </c>
    </row>
    <row r="14" customFormat="false" ht="15" hidden="false" customHeight="false" outlineLevel="0" collapsed="false">
      <c r="A14" s="0" t="s">
        <v>6213</v>
      </c>
      <c r="B14" s="0" t="n">
        <f aca="false">COUNTIF('Banco de preguntas'!$C:$C,"Regla 13")</f>
        <v>45</v>
      </c>
    </row>
    <row r="15" customFormat="false" ht="15" hidden="false" customHeight="false" outlineLevel="0" collapsed="false">
      <c r="A15" s="0" t="s">
        <v>6456</v>
      </c>
      <c r="B15" s="0" t="n">
        <f aca="false">COUNTIF('Banco de preguntas'!$C:$C,"Regla 14")</f>
        <v>56</v>
      </c>
    </row>
    <row r="16" customFormat="false" ht="15" hidden="false" customHeight="false" outlineLevel="0" collapsed="false">
      <c r="A16" s="0" t="s">
        <v>6753</v>
      </c>
      <c r="B16" s="0" t="n">
        <f aca="false">COUNTIF('Banco de preguntas'!$C:$C,"Regla 15")</f>
        <v>42</v>
      </c>
    </row>
    <row r="17" customFormat="false" ht="15" hidden="false" customHeight="false" outlineLevel="0" collapsed="false">
      <c r="A17" s="0" t="s">
        <v>6988</v>
      </c>
      <c r="B17" s="0" t="n">
        <f aca="false">COUNTIF('Banco de preguntas'!$C:$C,"Regla 16")</f>
        <v>28</v>
      </c>
    </row>
    <row r="18" customFormat="false" ht="15" hidden="false" customHeight="false" outlineLevel="0" collapsed="false">
      <c r="A18" s="0" t="s">
        <v>7148</v>
      </c>
      <c r="B18" s="0" t="n">
        <f aca="false">COUNTIF('Banco de preguntas'!$C:$C,"Regla 17")</f>
        <v>24</v>
      </c>
    </row>
    <row r="19" customFormat="false" ht="15" hidden="false" customHeight="false" outlineLevel="0" collapsed="false">
      <c r="A19" s="0" t="s">
        <v>7288</v>
      </c>
      <c r="B19" s="0" t="n">
        <f aca="false">COUNTIF('Banco de preguntas'!$C:$C,"Glosario")</f>
        <v>63</v>
      </c>
    </row>
    <row r="20" customFormat="false" ht="15" hidden="false" customHeight="false" outlineLevel="0" collapsed="false">
      <c r="A20" s="0" t="s">
        <v>7716</v>
      </c>
      <c r="B20" s="0" t="n">
        <f aca="false">COUNTIF('Banco de preguntas'!$C:$C,"VAR")+COUNTIF('Banco de preguntas'!$C:$C,"Protocolo del VAR")</f>
        <v>57</v>
      </c>
    </row>
    <row r="21" customFormat="false" ht="15" hidden="false" customHeight="false" outlineLevel="0" collapsed="false">
      <c r="A21" s="0" t="s">
        <v>8065</v>
      </c>
      <c r="B21" s="0" t="n">
        <f aca="false">COUNTIF('Banco de preguntas'!$B:$B,"normativa")</f>
        <v>231</v>
      </c>
    </row>
    <row r="22" customFormat="false" ht="15" hidden="false" customHeight="false" outlineLevel="0" collapsed="false">
      <c r="A22" s="3" t="s">
        <v>8066</v>
      </c>
      <c r="B22" s="3" t="n">
        <f aca="false">SUM(B2:B21)</f>
        <v>1390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9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customHeight="false"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45"/>
    <col collapsed="false" customWidth="true" hidden="false" outlineLevel="0" max="6" min="4" style="0" width="32"/>
    <col collapsed="false" customWidth="true" hidden="false" outlineLevel="0" max="7" min="7" style="0" width="9"/>
    <col collapsed="false" customWidth="true" hidden="false" outlineLevel="0" max="8" min="8" style="0" width="42"/>
    <col collapsed="false" customWidth="true" hidden="false" outlineLevel="0" max="9" min="9" style="0" width="20"/>
    <col collapsed="false" customWidth="true" hidden="false" outlineLevel="0" max="10" min="10" style="0" width="10"/>
  </cols>
  <sheetData>
    <row r="1" customFormat="false" ht="16.4" hidden="false" customHeight="false" outlineLevel="0" collapsed="false">
      <c r="A1" s="1" t="s">
        <v>0</v>
      </c>
      <c r="B1" s="1" t="s">
        <v>8067</v>
      </c>
      <c r="C1" s="1" t="s">
        <v>3</v>
      </c>
      <c r="D1" s="1" t="s">
        <v>4</v>
      </c>
      <c r="E1" s="1" t="s">
        <v>5</v>
      </c>
      <c r="F1" s="1" t="s">
        <v>6</v>
      </c>
      <c r="G1" s="1" t="s">
        <v>7</v>
      </c>
      <c r="H1" s="1" t="s">
        <v>8</v>
      </c>
      <c r="I1" s="1" t="s">
        <v>9</v>
      </c>
      <c r="J1" s="1" t="s">
        <v>11</v>
      </c>
    </row>
    <row r="2" customFormat="false" ht="76.1" hidden="false" customHeight="false" outlineLevel="0" collapsed="false">
      <c r="A2" s="2" t="s">
        <v>1184</v>
      </c>
      <c r="B2" s="2" t="s">
        <v>8068</v>
      </c>
      <c r="C2" s="2" t="s">
        <v>1187</v>
      </c>
      <c r="D2" s="2" t="s">
        <v>1188</v>
      </c>
      <c r="E2" s="2" t="s">
        <v>1189</v>
      </c>
      <c r="F2" s="2" t="s">
        <v>1190</v>
      </c>
      <c r="G2" s="2" t="s">
        <v>20</v>
      </c>
      <c r="H2" s="2" t="s">
        <v>1191</v>
      </c>
      <c r="I2" s="2" t="s">
        <v>1192</v>
      </c>
      <c r="J2" s="2" t="n">
        <v>2</v>
      </c>
    </row>
    <row r="3" customFormat="false" ht="91" hidden="false" customHeight="false" outlineLevel="0" collapsed="false">
      <c r="A3" s="2" t="s">
        <v>1194</v>
      </c>
      <c r="B3" s="2" t="s">
        <v>8069</v>
      </c>
      <c r="C3" s="2" t="s">
        <v>1195</v>
      </c>
      <c r="D3" s="2" t="s">
        <v>1196</v>
      </c>
      <c r="E3" s="2" t="s">
        <v>1197</v>
      </c>
      <c r="F3" s="2" t="s">
        <v>1198</v>
      </c>
      <c r="G3" s="2" t="s">
        <v>20</v>
      </c>
      <c r="H3" s="2" t="s">
        <v>1199</v>
      </c>
      <c r="I3" s="2" t="s">
        <v>1200</v>
      </c>
      <c r="J3" s="2" t="n">
        <v>2</v>
      </c>
    </row>
    <row r="4" customFormat="false" ht="61.15" hidden="false" customHeight="false" outlineLevel="0" collapsed="false">
      <c r="A4" s="2" t="s">
        <v>1201</v>
      </c>
      <c r="B4" s="2" t="s">
        <v>8069</v>
      </c>
      <c r="C4" s="2" t="s">
        <v>1202</v>
      </c>
      <c r="D4" s="2" t="s">
        <v>1203</v>
      </c>
      <c r="E4" s="2" t="s">
        <v>1204</v>
      </c>
      <c r="F4" s="2" t="s">
        <v>1205</v>
      </c>
      <c r="G4" s="2" t="s">
        <v>20</v>
      </c>
      <c r="H4" s="2" t="s">
        <v>1206</v>
      </c>
      <c r="I4" s="2" t="s">
        <v>1200</v>
      </c>
      <c r="J4" s="2" t="n">
        <v>2</v>
      </c>
    </row>
    <row r="5" customFormat="false" ht="61.15" hidden="false" customHeight="false" outlineLevel="0" collapsed="false">
      <c r="A5" s="2" t="s">
        <v>1207</v>
      </c>
      <c r="B5" s="2" t="s">
        <v>8068</v>
      </c>
      <c r="C5" s="2" t="s">
        <v>1208</v>
      </c>
      <c r="D5" s="2" t="s">
        <v>1209</v>
      </c>
      <c r="E5" s="2" t="s">
        <v>1210</v>
      </c>
      <c r="F5" s="2" t="s">
        <v>1211</v>
      </c>
      <c r="G5" s="2" t="s">
        <v>20</v>
      </c>
      <c r="H5" s="2" t="s">
        <v>1212</v>
      </c>
      <c r="I5" s="2" t="s">
        <v>1200</v>
      </c>
      <c r="J5" s="2" t="n">
        <v>2</v>
      </c>
    </row>
    <row r="6" customFormat="false" ht="61.15" hidden="false" customHeight="false" outlineLevel="0" collapsed="false">
      <c r="A6" s="2" t="s">
        <v>1213</v>
      </c>
      <c r="B6" s="2" t="s">
        <v>8069</v>
      </c>
      <c r="C6" s="2" t="s">
        <v>1214</v>
      </c>
      <c r="D6" s="2" t="s">
        <v>1215</v>
      </c>
      <c r="E6" s="2" t="s">
        <v>1216</v>
      </c>
      <c r="F6" s="2" t="s">
        <v>1217</v>
      </c>
      <c r="G6" s="2" t="s">
        <v>20</v>
      </c>
      <c r="H6" s="2" t="s">
        <v>1218</v>
      </c>
      <c r="I6" s="2" t="s">
        <v>1219</v>
      </c>
      <c r="J6" s="2" t="n">
        <v>2</v>
      </c>
    </row>
    <row r="7" customFormat="false" ht="91" hidden="false" customHeight="false" outlineLevel="0" collapsed="false">
      <c r="A7" s="2" t="s">
        <v>1220</v>
      </c>
      <c r="B7" s="2" t="s">
        <v>8068</v>
      </c>
      <c r="C7" s="2" t="s">
        <v>1221</v>
      </c>
      <c r="D7" s="2" t="s">
        <v>1222</v>
      </c>
      <c r="E7" s="2" t="s">
        <v>1223</v>
      </c>
      <c r="F7" s="2" t="s">
        <v>1224</v>
      </c>
      <c r="G7" s="2" t="s">
        <v>20</v>
      </c>
      <c r="H7" s="2" t="s">
        <v>1225</v>
      </c>
      <c r="I7" s="2" t="s">
        <v>1219</v>
      </c>
      <c r="J7" s="2" t="n">
        <v>3</v>
      </c>
    </row>
    <row r="8" customFormat="false" ht="61.15" hidden="false" customHeight="false" outlineLevel="0" collapsed="false">
      <c r="A8" s="2" t="s">
        <v>1226</v>
      </c>
      <c r="B8" s="2" t="s">
        <v>8069</v>
      </c>
      <c r="C8" s="2" t="s">
        <v>1227</v>
      </c>
      <c r="D8" s="2" t="s">
        <v>1228</v>
      </c>
      <c r="E8" s="2" t="s">
        <v>1229</v>
      </c>
      <c r="F8" s="2" t="s">
        <v>1230</v>
      </c>
      <c r="G8" s="2" t="s">
        <v>20</v>
      </c>
      <c r="H8" s="2" t="s">
        <v>1231</v>
      </c>
      <c r="I8" s="2" t="s">
        <v>1232</v>
      </c>
      <c r="J8" s="2" t="n">
        <v>2</v>
      </c>
    </row>
    <row r="9" customFormat="false" ht="76.1" hidden="false" customHeight="false" outlineLevel="0" collapsed="false">
      <c r="A9" s="2" t="s">
        <v>1233</v>
      </c>
      <c r="B9" s="2" t="s">
        <v>8069</v>
      </c>
      <c r="C9" s="2" t="s">
        <v>1234</v>
      </c>
      <c r="D9" s="2" t="s">
        <v>1235</v>
      </c>
      <c r="E9" s="2" t="s">
        <v>1236</v>
      </c>
      <c r="F9" s="2" t="s">
        <v>1237</v>
      </c>
      <c r="G9" s="2" t="s">
        <v>20</v>
      </c>
      <c r="H9" s="2" t="s">
        <v>1238</v>
      </c>
      <c r="I9" s="2" t="s">
        <v>1239</v>
      </c>
      <c r="J9" s="2" t="n">
        <v>2</v>
      </c>
    </row>
    <row r="10" customFormat="false" ht="46.25" hidden="false" customHeight="false" outlineLevel="0" collapsed="false">
      <c r="A10" s="2" t="s">
        <v>1240</v>
      </c>
      <c r="B10" s="2" t="s">
        <v>8068</v>
      </c>
      <c r="C10" s="2" t="s">
        <v>1241</v>
      </c>
      <c r="D10" s="2" t="s">
        <v>1242</v>
      </c>
      <c r="E10" s="2" t="s">
        <v>1243</v>
      </c>
      <c r="F10" s="2" t="s">
        <v>1244</v>
      </c>
      <c r="G10" s="2" t="s">
        <v>20</v>
      </c>
      <c r="H10" s="2" t="s">
        <v>1245</v>
      </c>
      <c r="I10" s="2" t="s">
        <v>1246</v>
      </c>
      <c r="J10" s="2" t="n">
        <v>1</v>
      </c>
    </row>
    <row r="11" customFormat="false" ht="61.15" hidden="false" customHeight="false" outlineLevel="0" collapsed="false">
      <c r="A11" s="2" t="s">
        <v>1247</v>
      </c>
      <c r="B11" s="2" t="s">
        <v>8068</v>
      </c>
      <c r="C11" s="2" t="s">
        <v>1248</v>
      </c>
      <c r="D11" s="2" t="s">
        <v>1249</v>
      </c>
      <c r="E11" s="2" t="s">
        <v>1250</v>
      </c>
      <c r="F11" s="2" t="s">
        <v>1251</v>
      </c>
      <c r="G11" s="2" t="s">
        <v>20</v>
      </c>
      <c r="H11" s="2" t="s">
        <v>1252</v>
      </c>
      <c r="I11" s="2" t="s">
        <v>1246</v>
      </c>
      <c r="J11" s="2" t="n">
        <v>3</v>
      </c>
    </row>
    <row r="12" customFormat="false" ht="61.15" hidden="false" customHeight="false" outlineLevel="0" collapsed="false">
      <c r="A12" s="2" t="s">
        <v>1253</v>
      </c>
      <c r="B12" s="2" t="s">
        <v>8068</v>
      </c>
      <c r="C12" s="2" t="s">
        <v>1254</v>
      </c>
      <c r="D12" s="2" t="s">
        <v>1255</v>
      </c>
      <c r="E12" s="2" t="s">
        <v>1256</v>
      </c>
      <c r="F12" s="2" t="s">
        <v>1257</v>
      </c>
      <c r="G12" s="2" t="s">
        <v>20</v>
      </c>
      <c r="H12" s="2" t="s">
        <v>1258</v>
      </c>
      <c r="I12" s="2" t="s">
        <v>1246</v>
      </c>
      <c r="J12" s="2" t="n">
        <v>3</v>
      </c>
    </row>
    <row r="13" customFormat="false" ht="61.15" hidden="false" customHeight="false" outlineLevel="0" collapsed="false">
      <c r="A13" s="2" t="s">
        <v>1259</v>
      </c>
      <c r="B13" s="2" t="s">
        <v>8068</v>
      </c>
      <c r="C13" s="2" t="s">
        <v>1260</v>
      </c>
      <c r="D13" s="2" t="s">
        <v>1261</v>
      </c>
      <c r="E13" s="2" t="s">
        <v>1262</v>
      </c>
      <c r="F13" s="2" t="s">
        <v>1263</v>
      </c>
      <c r="G13" s="2" t="s">
        <v>20</v>
      </c>
      <c r="H13" s="2" t="s">
        <v>1264</v>
      </c>
      <c r="I13" s="2" t="s">
        <v>1265</v>
      </c>
      <c r="J13" s="2" t="n">
        <v>3</v>
      </c>
    </row>
    <row r="14" customFormat="false" ht="31.3" hidden="false" customHeight="false" outlineLevel="0" collapsed="false">
      <c r="A14" s="2" t="s">
        <v>1266</v>
      </c>
      <c r="B14" s="2" t="s">
        <v>8069</v>
      </c>
      <c r="C14" s="2" t="s">
        <v>1267</v>
      </c>
      <c r="D14" s="2" t="s">
        <v>135</v>
      </c>
      <c r="E14" s="2" t="s">
        <v>1268</v>
      </c>
      <c r="F14" s="2" t="s">
        <v>151</v>
      </c>
      <c r="G14" s="2" t="s">
        <v>28</v>
      </c>
      <c r="H14" s="2" t="s">
        <v>1269</v>
      </c>
      <c r="I14" s="2" t="s">
        <v>1265</v>
      </c>
      <c r="J14" s="2" t="n">
        <v>1</v>
      </c>
    </row>
    <row r="15" customFormat="false" ht="31.3" hidden="false" customHeight="false" outlineLevel="0" collapsed="false">
      <c r="A15" s="2" t="s">
        <v>1270</v>
      </c>
      <c r="B15" s="2" t="s">
        <v>8069</v>
      </c>
      <c r="C15" s="2" t="s">
        <v>1271</v>
      </c>
      <c r="D15" s="2" t="s">
        <v>1272</v>
      </c>
      <c r="E15" s="2" t="s">
        <v>1273</v>
      </c>
      <c r="F15" s="2" t="s">
        <v>1274</v>
      </c>
      <c r="G15" s="2" t="s">
        <v>20</v>
      </c>
      <c r="H15" s="2" t="s">
        <v>1275</v>
      </c>
      <c r="I15" s="2" t="s">
        <v>1265</v>
      </c>
      <c r="J15" s="2" t="n">
        <v>2</v>
      </c>
    </row>
    <row r="16" customFormat="false" ht="61.15" hidden="false" customHeight="false" outlineLevel="0" collapsed="false">
      <c r="A16" s="2" t="s">
        <v>1276</v>
      </c>
      <c r="B16" s="2" t="s">
        <v>8068</v>
      </c>
      <c r="C16" s="2" t="s">
        <v>1277</v>
      </c>
      <c r="D16" s="2" t="s">
        <v>1278</v>
      </c>
      <c r="E16" s="2" t="s">
        <v>1279</v>
      </c>
      <c r="F16" s="2" t="s">
        <v>1280</v>
      </c>
      <c r="G16" s="2" t="s">
        <v>20</v>
      </c>
      <c r="H16" s="2" t="s">
        <v>1281</v>
      </c>
      <c r="I16" s="2" t="s">
        <v>1265</v>
      </c>
      <c r="J16" s="2" t="n">
        <v>3</v>
      </c>
    </row>
    <row r="17" customFormat="false" ht="46.25" hidden="false" customHeight="false" outlineLevel="0" collapsed="false">
      <c r="A17" s="2" t="s">
        <v>1282</v>
      </c>
      <c r="B17" s="2" t="s">
        <v>8069</v>
      </c>
      <c r="C17" s="2" t="s">
        <v>1283</v>
      </c>
      <c r="D17" s="2" t="s">
        <v>1284</v>
      </c>
      <c r="E17" s="2" t="s">
        <v>1285</v>
      </c>
      <c r="F17" s="2" t="s">
        <v>1286</v>
      </c>
      <c r="G17" s="2" t="s">
        <v>20</v>
      </c>
      <c r="H17" s="2" t="s">
        <v>1287</v>
      </c>
      <c r="I17" s="2" t="s">
        <v>1265</v>
      </c>
      <c r="J17" s="2" t="n">
        <v>2</v>
      </c>
    </row>
    <row r="18" customFormat="false" ht="46.25" hidden="false" customHeight="false" outlineLevel="0" collapsed="false">
      <c r="A18" s="2" t="s">
        <v>1288</v>
      </c>
      <c r="B18" s="2" t="s">
        <v>8069</v>
      </c>
      <c r="C18" s="2" t="s">
        <v>1289</v>
      </c>
      <c r="D18" s="2" t="s">
        <v>1290</v>
      </c>
      <c r="E18" s="2" t="s">
        <v>1291</v>
      </c>
      <c r="F18" s="2" t="s">
        <v>1292</v>
      </c>
      <c r="G18" s="2" t="s">
        <v>20</v>
      </c>
      <c r="H18" s="2" t="s">
        <v>1293</v>
      </c>
      <c r="I18" s="2" t="s">
        <v>1294</v>
      </c>
      <c r="J18" s="2" t="n">
        <v>1</v>
      </c>
    </row>
    <row r="19" customFormat="false" ht="46.25" hidden="false" customHeight="false" outlineLevel="0" collapsed="false">
      <c r="A19" s="2" t="s">
        <v>1295</v>
      </c>
      <c r="B19" s="2" t="s">
        <v>8069</v>
      </c>
      <c r="C19" s="2" t="s">
        <v>1296</v>
      </c>
      <c r="D19" s="2" t="s">
        <v>1292</v>
      </c>
      <c r="E19" s="2" t="s">
        <v>1297</v>
      </c>
      <c r="F19" s="2" t="s">
        <v>1298</v>
      </c>
      <c r="G19" s="2" t="s">
        <v>20</v>
      </c>
      <c r="H19" s="2" t="s">
        <v>1299</v>
      </c>
      <c r="I19" s="2" t="s">
        <v>1294</v>
      </c>
      <c r="J19" s="2" t="n">
        <v>1</v>
      </c>
    </row>
    <row r="20" customFormat="false" ht="61.15" hidden="false" customHeight="false" outlineLevel="0" collapsed="false">
      <c r="A20" s="2" t="s">
        <v>1300</v>
      </c>
      <c r="B20" s="2" t="s">
        <v>8068</v>
      </c>
      <c r="C20" s="2" t="s">
        <v>1301</v>
      </c>
      <c r="D20" s="2" t="s">
        <v>1302</v>
      </c>
      <c r="E20" s="2" t="s">
        <v>1303</v>
      </c>
      <c r="F20" s="2" t="s">
        <v>1304</v>
      </c>
      <c r="G20" s="2" t="s">
        <v>20</v>
      </c>
      <c r="H20" s="2" t="s">
        <v>1305</v>
      </c>
      <c r="I20" s="2" t="s">
        <v>1294</v>
      </c>
      <c r="J20" s="2" t="n">
        <v>4</v>
      </c>
    </row>
    <row r="21" customFormat="false" ht="46.25" hidden="false" customHeight="false" outlineLevel="0" collapsed="false">
      <c r="A21" s="2" t="s">
        <v>1306</v>
      </c>
      <c r="B21" s="2" t="s">
        <v>8069</v>
      </c>
      <c r="C21" s="2" t="s">
        <v>1307</v>
      </c>
      <c r="D21" s="2" t="s">
        <v>1291</v>
      </c>
      <c r="E21" s="2" t="s">
        <v>1290</v>
      </c>
      <c r="F21" s="2" t="s">
        <v>1308</v>
      </c>
      <c r="G21" s="2" t="s">
        <v>20</v>
      </c>
      <c r="H21" s="2" t="s">
        <v>1309</v>
      </c>
      <c r="I21" s="2" t="s">
        <v>1310</v>
      </c>
      <c r="J21" s="2" t="n">
        <v>1</v>
      </c>
    </row>
    <row r="22" customFormat="false" ht="46.25" hidden="false" customHeight="false" outlineLevel="0" collapsed="false">
      <c r="A22" s="2" t="s">
        <v>1311</v>
      </c>
      <c r="B22" s="2" t="s">
        <v>8069</v>
      </c>
      <c r="C22" s="2" t="s">
        <v>1312</v>
      </c>
      <c r="D22" s="2" t="s">
        <v>1297</v>
      </c>
      <c r="E22" s="2" t="s">
        <v>1292</v>
      </c>
      <c r="F22" s="2" t="s">
        <v>1313</v>
      </c>
      <c r="G22" s="2" t="s">
        <v>20</v>
      </c>
      <c r="H22" s="2" t="s">
        <v>1314</v>
      </c>
      <c r="I22" s="2" t="s">
        <v>1310</v>
      </c>
      <c r="J22" s="2" t="n">
        <v>1</v>
      </c>
    </row>
    <row r="23" customFormat="false" ht="46.25" hidden="false" customHeight="false" outlineLevel="0" collapsed="false">
      <c r="A23" s="2" t="s">
        <v>1315</v>
      </c>
      <c r="B23" s="2" t="s">
        <v>8069</v>
      </c>
      <c r="C23" s="2" t="s">
        <v>1316</v>
      </c>
      <c r="D23" s="2" t="s">
        <v>1317</v>
      </c>
      <c r="E23" s="2" t="s">
        <v>1318</v>
      </c>
      <c r="F23" s="2" t="s">
        <v>1319</v>
      </c>
      <c r="G23" s="2" t="s">
        <v>20</v>
      </c>
      <c r="H23" s="2" t="s">
        <v>1320</v>
      </c>
      <c r="I23" s="2" t="s">
        <v>1294</v>
      </c>
      <c r="J23" s="2" t="n">
        <v>3</v>
      </c>
    </row>
    <row r="24" customFormat="false" ht="46.25" hidden="false" customHeight="false" outlineLevel="0" collapsed="false">
      <c r="A24" s="2" t="s">
        <v>1321</v>
      </c>
      <c r="B24" s="2" t="s">
        <v>8069</v>
      </c>
      <c r="C24" s="2" t="s">
        <v>1322</v>
      </c>
      <c r="D24" s="2" t="s">
        <v>1323</v>
      </c>
      <c r="E24" s="2" t="s">
        <v>1324</v>
      </c>
      <c r="F24" s="2" t="s">
        <v>1325</v>
      </c>
      <c r="G24" s="2" t="s">
        <v>20</v>
      </c>
      <c r="H24" s="2" t="s">
        <v>1326</v>
      </c>
      <c r="I24" s="2" t="s">
        <v>1294</v>
      </c>
      <c r="J24" s="2" t="n">
        <v>3</v>
      </c>
    </row>
    <row r="25" customFormat="false" ht="46.25" hidden="false" customHeight="false" outlineLevel="0" collapsed="false">
      <c r="A25" s="2" t="s">
        <v>1327</v>
      </c>
      <c r="B25" s="2" t="s">
        <v>8069</v>
      </c>
      <c r="C25" s="2" t="s">
        <v>1328</v>
      </c>
      <c r="D25" s="2" t="s">
        <v>1329</v>
      </c>
      <c r="E25" s="2" t="s">
        <v>1330</v>
      </c>
      <c r="F25" s="2" t="s">
        <v>1331</v>
      </c>
      <c r="G25" s="2" t="s">
        <v>20</v>
      </c>
      <c r="H25" s="2" t="s">
        <v>1332</v>
      </c>
      <c r="I25" s="2" t="s">
        <v>1333</v>
      </c>
      <c r="J25" s="2" t="n">
        <v>1</v>
      </c>
    </row>
    <row r="26" customFormat="false" ht="46.25" hidden="false" customHeight="false" outlineLevel="0" collapsed="false">
      <c r="A26" s="2" t="s">
        <v>1334</v>
      </c>
      <c r="B26" s="2" t="s">
        <v>8069</v>
      </c>
      <c r="C26" s="2" t="s">
        <v>1335</v>
      </c>
      <c r="D26" s="2" t="s">
        <v>1336</v>
      </c>
      <c r="E26" s="2" t="s">
        <v>1337</v>
      </c>
      <c r="F26" s="2" t="s">
        <v>1338</v>
      </c>
      <c r="G26" s="2" t="s">
        <v>20</v>
      </c>
      <c r="H26" s="2" t="s">
        <v>1339</v>
      </c>
      <c r="I26" s="2" t="s">
        <v>1333</v>
      </c>
      <c r="J26" s="2" t="n">
        <v>2</v>
      </c>
    </row>
    <row r="27" customFormat="false" ht="46.25" hidden="false" customHeight="false" outlineLevel="0" collapsed="false">
      <c r="A27" s="2" t="s">
        <v>1340</v>
      </c>
      <c r="B27" s="2" t="s">
        <v>8069</v>
      </c>
      <c r="C27" s="2" t="s">
        <v>1341</v>
      </c>
      <c r="D27" s="2" t="s">
        <v>1330</v>
      </c>
      <c r="E27" s="2" t="s">
        <v>1329</v>
      </c>
      <c r="F27" s="2" t="s">
        <v>1342</v>
      </c>
      <c r="G27" s="2" t="s">
        <v>20</v>
      </c>
      <c r="H27" s="2" t="s">
        <v>1343</v>
      </c>
      <c r="I27" s="2" t="s">
        <v>1344</v>
      </c>
      <c r="J27" s="2" t="n">
        <v>1</v>
      </c>
    </row>
    <row r="28" customFormat="false" ht="31.3" hidden="false" customHeight="false" outlineLevel="0" collapsed="false">
      <c r="A28" s="2" t="s">
        <v>1345</v>
      </c>
      <c r="B28" s="2" t="s">
        <v>8069</v>
      </c>
      <c r="C28" s="2" t="s">
        <v>1346</v>
      </c>
      <c r="D28" s="2" t="s">
        <v>1347</v>
      </c>
      <c r="E28" s="2" t="s">
        <v>1348</v>
      </c>
      <c r="F28" s="2" t="s">
        <v>1349</v>
      </c>
      <c r="G28" s="2" t="s">
        <v>20</v>
      </c>
      <c r="H28" s="2" t="s">
        <v>1350</v>
      </c>
      <c r="I28" s="2" t="s">
        <v>1344</v>
      </c>
      <c r="J28" s="2" t="n">
        <v>1</v>
      </c>
    </row>
    <row r="29" customFormat="false" ht="46.25" hidden="false" customHeight="false" outlineLevel="0" collapsed="false">
      <c r="A29" s="2" t="s">
        <v>1351</v>
      </c>
      <c r="B29" s="2" t="s">
        <v>8069</v>
      </c>
      <c r="C29" s="2" t="s">
        <v>1352</v>
      </c>
      <c r="D29" s="2" t="s">
        <v>1338</v>
      </c>
      <c r="E29" s="2" t="s">
        <v>1353</v>
      </c>
      <c r="F29" s="2" t="s">
        <v>1336</v>
      </c>
      <c r="G29" s="2" t="s">
        <v>20</v>
      </c>
      <c r="H29" s="2" t="s">
        <v>1354</v>
      </c>
      <c r="I29" s="2" t="s">
        <v>1344</v>
      </c>
      <c r="J29" s="2" t="n">
        <v>2</v>
      </c>
    </row>
    <row r="30" customFormat="false" ht="61.15" hidden="false" customHeight="false" outlineLevel="0" collapsed="false">
      <c r="A30" s="2" t="s">
        <v>1355</v>
      </c>
      <c r="B30" s="2" t="s">
        <v>8069</v>
      </c>
      <c r="C30" s="2" t="s">
        <v>1356</v>
      </c>
      <c r="D30" s="2" t="s">
        <v>1357</v>
      </c>
      <c r="E30" s="2" t="s">
        <v>1358</v>
      </c>
      <c r="F30" s="2" t="s">
        <v>1359</v>
      </c>
      <c r="G30" s="2" t="s">
        <v>20</v>
      </c>
      <c r="H30" s="2" t="s">
        <v>1360</v>
      </c>
      <c r="I30" s="2" t="s">
        <v>1361</v>
      </c>
      <c r="J30" s="2" t="n">
        <v>1</v>
      </c>
    </row>
    <row r="31" customFormat="false" ht="46.25" hidden="false" customHeight="false" outlineLevel="0" collapsed="false">
      <c r="A31" s="2" t="s">
        <v>1362</v>
      </c>
      <c r="B31" s="2" t="s">
        <v>8069</v>
      </c>
      <c r="C31" s="2" t="s">
        <v>1363</v>
      </c>
      <c r="D31" s="2" t="s">
        <v>1364</v>
      </c>
      <c r="E31" s="2" t="s">
        <v>1365</v>
      </c>
      <c r="F31" s="2" t="s">
        <v>1366</v>
      </c>
      <c r="G31" s="2" t="s">
        <v>20</v>
      </c>
      <c r="H31" s="2" t="s">
        <v>1367</v>
      </c>
      <c r="I31" s="2" t="s">
        <v>1368</v>
      </c>
      <c r="J31" s="2" t="n">
        <v>1</v>
      </c>
    </row>
    <row r="32" customFormat="false" ht="46.25" hidden="false" customHeight="false" outlineLevel="0" collapsed="false">
      <c r="A32" s="2" t="s">
        <v>1369</v>
      </c>
      <c r="B32" s="2" t="s">
        <v>8068</v>
      </c>
      <c r="C32" s="2" t="s">
        <v>1370</v>
      </c>
      <c r="D32" s="2" t="s">
        <v>1371</v>
      </c>
      <c r="E32" s="2" t="s">
        <v>1372</v>
      </c>
      <c r="F32" s="2" t="s">
        <v>1373</v>
      </c>
      <c r="G32" s="2" t="s">
        <v>20</v>
      </c>
      <c r="H32" s="2" t="s">
        <v>1374</v>
      </c>
      <c r="I32" s="2" t="s">
        <v>1368</v>
      </c>
      <c r="J32" s="2" t="n">
        <v>2</v>
      </c>
    </row>
    <row r="33" customFormat="false" ht="46.25" hidden="false" customHeight="false" outlineLevel="0" collapsed="false">
      <c r="A33" s="2" t="s">
        <v>1375</v>
      </c>
      <c r="B33" s="2" t="s">
        <v>8069</v>
      </c>
      <c r="C33" s="2" t="s">
        <v>1376</v>
      </c>
      <c r="D33" s="2" t="s">
        <v>1377</v>
      </c>
      <c r="E33" s="2" t="s">
        <v>1378</v>
      </c>
      <c r="F33" s="2" t="s">
        <v>1379</v>
      </c>
      <c r="G33" s="2" t="s">
        <v>20</v>
      </c>
      <c r="H33" s="2" t="s">
        <v>1380</v>
      </c>
      <c r="I33" s="2" t="s">
        <v>1368</v>
      </c>
      <c r="J33" s="2" t="n">
        <v>2</v>
      </c>
    </row>
    <row r="34" customFormat="false" ht="61.15" hidden="false" customHeight="false" outlineLevel="0" collapsed="false">
      <c r="A34" s="2" t="s">
        <v>1381</v>
      </c>
      <c r="B34" s="2" t="s">
        <v>8068</v>
      </c>
      <c r="C34" s="2" t="s">
        <v>1382</v>
      </c>
      <c r="D34" s="2" t="s">
        <v>1383</v>
      </c>
      <c r="E34" s="2" t="s">
        <v>1384</v>
      </c>
      <c r="F34" s="2" t="s">
        <v>1385</v>
      </c>
      <c r="G34" s="2" t="s">
        <v>20</v>
      </c>
      <c r="H34" s="2" t="s">
        <v>1386</v>
      </c>
      <c r="I34" s="2" t="s">
        <v>1368</v>
      </c>
      <c r="J34" s="2" t="n">
        <v>3</v>
      </c>
    </row>
    <row r="35" customFormat="false" ht="46.25" hidden="false" customHeight="false" outlineLevel="0" collapsed="false">
      <c r="A35" s="2" t="s">
        <v>1387</v>
      </c>
      <c r="B35" s="2" t="s">
        <v>8069</v>
      </c>
      <c r="C35" s="2" t="s">
        <v>1388</v>
      </c>
      <c r="D35" s="2" t="s">
        <v>1338</v>
      </c>
      <c r="E35" s="2" t="s">
        <v>1353</v>
      </c>
      <c r="F35" s="2" t="s">
        <v>1337</v>
      </c>
      <c r="G35" s="2" t="s">
        <v>20</v>
      </c>
      <c r="H35" s="2" t="s">
        <v>1389</v>
      </c>
      <c r="I35" s="2" t="s">
        <v>1265</v>
      </c>
      <c r="J35" s="2" t="n">
        <v>1</v>
      </c>
    </row>
    <row r="36" customFormat="false" ht="61.15" hidden="false" customHeight="false" outlineLevel="0" collapsed="false">
      <c r="A36" s="2" t="s">
        <v>1390</v>
      </c>
      <c r="B36" s="2" t="s">
        <v>8069</v>
      </c>
      <c r="C36" s="2" t="s">
        <v>1391</v>
      </c>
      <c r="D36" s="2" t="s">
        <v>1338</v>
      </c>
      <c r="E36" s="2" t="s">
        <v>1392</v>
      </c>
      <c r="F36" s="2" t="s">
        <v>1336</v>
      </c>
      <c r="G36" s="2" t="s">
        <v>20</v>
      </c>
      <c r="H36" s="2" t="s">
        <v>1393</v>
      </c>
      <c r="I36" s="2" t="s">
        <v>1265</v>
      </c>
      <c r="J36" s="2" t="n">
        <v>3</v>
      </c>
    </row>
    <row r="37" customFormat="false" ht="31.3" hidden="false" customHeight="false" outlineLevel="0" collapsed="false">
      <c r="A37" s="2" t="s">
        <v>1394</v>
      </c>
      <c r="B37" s="2" t="s">
        <v>8069</v>
      </c>
      <c r="C37" s="2" t="s">
        <v>1395</v>
      </c>
      <c r="D37" s="2" t="s">
        <v>1396</v>
      </c>
      <c r="E37" s="2" t="s">
        <v>1397</v>
      </c>
      <c r="F37" s="2" t="s">
        <v>1398</v>
      </c>
      <c r="G37" s="2" t="s">
        <v>20</v>
      </c>
      <c r="H37" s="2" t="s">
        <v>1399</v>
      </c>
      <c r="I37" s="2" t="s">
        <v>1239</v>
      </c>
      <c r="J37" s="2" t="n">
        <v>2</v>
      </c>
    </row>
    <row r="38" customFormat="false" ht="31.3" hidden="false" customHeight="false" outlineLevel="0" collapsed="false">
      <c r="A38" s="2" t="s">
        <v>1400</v>
      </c>
      <c r="B38" s="2" t="s">
        <v>8069</v>
      </c>
      <c r="C38" s="2" t="s">
        <v>1401</v>
      </c>
      <c r="D38" s="2" t="s">
        <v>1402</v>
      </c>
      <c r="E38" s="2" t="s">
        <v>1403</v>
      </c>
      <c r="F38" s="2" t="s">
        <v>1404</v>
      </c>
      <c r="G38" s="2" t="s">
        <v>20</v>
      </c>
      <c r="H38" s="2" t="s">
        <v>1405</v>
      </c>
      <c r="I38" s="2" t="s">
        <v>1239</v>
      </c>
      <c r="J38" s="2" t="n">
        <v>2</v>
      </c>
    </row>
    <row r="39" customFormat="false" ht="46.25" hidden="false" customHeight="false" outlineLevel="0" collapsed="false">
      <c r="A39" s="2" t="s">
        <v>1406</v>
      </c>
      <c r="B39" s="2" t="s">
        <v>8069</v>
      </c>
      <c r="C39" s="2" t="s">
        <v>1407</v>
      </c>
      <c r="D39" s="2" t="s">
        <v>1408</v>
      </c>
      <c r="E39" s="2" t="s">
        <v>1409</v>
      </c>
      <c r="F39" s="2" t="s">
        <v>1410</v>
      </c>
      <c r="G39" s="2" t="s">
        <v>20</v>
      </c>
      <c r="H39" s="2" t="s">
        <v>1411</v>
      </c>
      <c r="I39" s="2" t="s">
        <v>1239</v>
      </c>
      <c r="J39" s="2" t="n">
        <v>2</v>
      </c>
    </row>
    <row r="40" customFormat="false" ht="91" hidden="false" customHeight="false" outlineLevel="0" collapsed="false">
      <c r="A40" s="2" t="s">
        <v>1412</v>
      </c>
      <c r="B40" s="2" t="s">
        <v>8068</v>
      </c>
      <c r="C40" s="2" t="s">
        <v>1413</v>
      </c>
      <c r="D40" s="2" t="s">
        <v>1414</v>
      </c>
      <c r="E40" s="2" t="s">
        <v>1415</v>
      </c>
      <c r="F40" s="2" t="s">
        <v>1416</v>
      </c>
      <c r="G40" s="2" t="s">
        <v>20</v>
      </c>
      <c r="H40" s="2" t="s">
        <v>1417</v>
      </c>
      <c r="I40" s="2" t="s">
        <v>1239</v>
      </c>
      <c r="J40" s="2" t="n">
        <v>3</v>
      </c>
    </row>
    <row r="41" customFormat="false" ht="61.15" hidden="false" customHeight="false" outlineLevel="0" collapsed="false">
      <c r="A41" s="2" t="s">
        <v>1418</v>
      </c>
      <c r="B41" s="2" t="s">
        <v>8068</v>
      </c>
      <c r="C41" s="2" t="s">
        <v>1419</v>
      </c>
      <c r="D41" s="2" t="s">
        <v>1420</v>
      </c>
      <c r="E41" s="2" t="s">
        <v>1421</v>
      </c>
      <c r="F41" s="2" t="s">
        <v>1422</v>
      </c>
      <c r="G41" s="2" t="s">
        <v>20</v>
      </c>
      <c r="H41" s="2" t="s">
        <v>1423</v>
      </c>
      <c r="I41" s="2" t="s">
        <v>1239</v>
      </c>
      <c r="J41" s="2" t="n">
        <v>3</v>
      </c>
    </row>
    <row r="42" customFormat="false" ht="61.15" hidden="false" customHeight="false" outlineLevel="0" collapsed="false">
      <c r="A42" s="2" t="s">
        <v>1424</v>
      </c>
      <c r="B42" s="2" t="s">
        <v>8069</v>
      </c>
      <c r="C42" s="2" t="s">
        <v>1425</v>
      </c>
      <c r="D42" s="2" t="s">
        <v>1426</v>
      </c>
      <c r="E42" s="2" t="s">
        <v>1427</v>
      </c>
      <c r="F42" s="2" t="s">
        <v>1428</v>
      </c>
      <c r="G42" s="2" t="s">
        <v>20</v>
      </c>
      <c r="H42" s="2" t="s">
        <v>1429</v>
      </c>
      <c r="I42" s="2" t="s">
        <v>1239</v>
      </c>
      <c r="J42" s="2" t="n">
        <v>2</v>
      </c>
    </row>
    <row r="43" customFormat="false" ht="31.3" hidden="false" customHeight="false" outlineLevel="0" collapsed="false">
      <c r="A43" s="2" t="s">
        <v>1430</v>
      </c>
      <c r="B43" s="2" t="s">
        <v>8069</v>
      </c>
      <c r="C43" s="2" t="s">
        <v>1431</v>
      </c>
      <c r="D43" s="2" t="s">
        <v>1432</v>
      </c>
      <c r="E43" s="2" t="s">
        <v>1433</v>
      </c>
      <c r="F43" s="2" t="s">
        <v>1434</v>
      </c>
      <c r="G43" s="2" t="s">
        <v>20</v>
      </c>
      <c r="H43" s="2" t="s">
        <v>1435</v>
      </c>
      <c r="I43" s="2" t="s">
        <v>1200</v>
      </c>
      <c r="J43" s="2" t="n">
        <v>1</v>
      </c>
    </row>
    <row r="44" customFormat="false" ht="31.3" hidden="false" customHeight="false" outlineLevel="0" collapsed="false">
      <c r="A44" s="2" t="s">
        <v>1436</v>
      </c>
      <c r="B44" s="2" t="s">
        <v>8069</v>
      </c>
      <c r="C44" s="2" t="s">
        <v>1437</v>
      </c>
      <c r="D44" s="2" t="s">
        <v>1438</v>
      </c>
      <c r="E44" s="2" t="s">
        <v>1439</v>
      </c>
      <c r="F44" s="2" t="s">
        <v>1440</v>
      </c>
      <c r="G44" s="2" t="s">
        <v>20</v>
      </c>
      <c r="H44" s="2" t="s">
        <v>1441</v>
      </c>
      <c r="I44" s="2" t="s">
        <v>1200</v>
      </c>
      <c r="J44" s="2" t="n">
        <v>1</v>
      </c>
    </row>
    <row r="45" customFormat="false" ht="46.25" hidden="false" customHeight="false" outlineLevel="0" collapsed="false">
      <c r="A45" s="2" t="s">
        <v>1442</v>
      </c>
      <c r="B45" s="2" t="s">
        <v>8069</v>
      </c>
      <c r="C45" s="2" t="s">
        <v>1443</v>
      </c>
      <c r="D45" s="2" t="s">
        <v>1268</v>
      </c>
      <c r="E45" s="2" t="s">
        <v>135</v>
      </c>
      <c r="F45" s="2" t="s">
        <v>151</v>
      </c>
      <c r="G45" s="2" t="s">
        <v>20</v>
      </c>
      <c r="H45" s="2" t="s">
        <v>1444</v>
      </c>
      <c r="I45" s="2" t="s">
        <v>1200</v>
      </c>
      <c r="J45" s="2" t="n">
        <v>2</v>
      </c>
    </row>
    <row r="46" customFormat="false" ht="61.15" hidden="false" customHeight="false" outlineLevel="0" collapsed="false">
      <c r="A46" s="2" t="s">
        <v>1445</v>
      </c>
      <c r="B46" s="2" t="s">
        <v>8069</v>
      </c>
      <c r="C46" s="2" t="s">
        <v>1446</v>
      </c>
      <c r="D46" s="2" t="s">
        <v>1447</v>
      </c>
      <c r="E46" s="2" t="s">
        <v>1448</v>
      </c>
      <c r="F46" s="2" t="s">
        <v>1449</v>
      </c>
      <c r="G46" s="2" t="s">
        <v>20</v>
      </c>
      <c r="H46" s="2" t="s">
        <v>1450</v>
      </c>
      <c r="I46" s="2" t="s">
        <v>1200</v>
      </c>
      <c r="J46" s="2" t="n">
        <v>3</v>
      </c>
    </row>
    <row r="47" customFormat="false" ht="46.25" hidden="false" customHeight="false" outlineLevel="0" collapsed="false">
      <c r="A47" s="2" t="s">
        <v>1451</v>
      </c>
      <c r="B47" s="2" t="s">
        <v>8068</v>
      </c>
      <c r="C47" s="2" t="s">
        <v>1452</v>
      </c>
      <c r="D47" s="2" t="s">
        <v>1453</v>
      </c>
      <c r="E47" s="2" t="s">
        <v>1454</v>
      </c>
      <c r="F47" s="2" t="s">
        <v>1455</v>
      </c>
      <c r="G47" s="2" t="s">
        <v>20</v>
      </c>
      <c r="H47" s="2" t="s">
        <v>1456</v>
      </c>
      <c r="I47" s="2" t="s">
        <v>1200</v>
      </c>
      <c r="J47" s="2" t="n">
        <v>2</v>
      </c>
    </row>
    <row r="48" customFormat="false" ht="46.25" hidden="false" customHeight="false" outlineLevel="0" collapsed="false">
      <c r="A48" s="2" t="s">
        <v>1457</v>
      </c>
      <c r="B48" s="2" t="s">
        <v>8068</v>
      </c>
      <c r="C48" s="2" t="s">
        <v>1458</v>
      </c>
      <c r="D48" s="2" t="s">
        <v>1459</v>
      </c>
      <c r="E48" s="2" t="s">
        <v>1460</v>
      </c>
      <c r="F48" s="2" t="s">
        <v>1461</v>
      </c>
      <c r="G48" s="2" t="s">
        <v>20</v>
      </c>
      <c r="H48" s="2" t="s">
        <v>1462</v>
      </c>
      <c r="I48" s="2" t="s">
        <v>1200</v>
      </c>
      <c r="J48" s="2" t="n">
        <v>2</v>
      </c>
    </row>
    <row r="49" customFormat="false" ht="61.15" hidden="false" customHeight="false" outlineLevel="0" collapsed="false">
      <c r="A49" s="2" t="s">
        <v>1463</v>
      </c>
      <c r="B49" s="2" t="s">
        <v>8068</v>
      </c>
      <c r="C49" s="2" t="s">
        <v>1464</v>
      </c>
      <c r="D49" s="2" t="s">
        <v>1465</v>
      </c>
      <c r="E49" s="2" t="s">
        <v>1466</v>
      </c>
      <c r="F49" s="2" t="s">
        <v>1467</v>
      </c>
      <c r="G49" s="2" t="s">
        <v>20</v>
      </c>
      <c r="H49" s="2" t="s">
        <v>1468</v>
      </c>
      <c r="I49" s="2" t="s">
        <v>1200</v>
      </c>
      <c r="J49" s="2" t="n">
        <v>3</v>
      </c>
    </row>
    <row r="50" customFormat="false" ht="61.15" hidden="false" customHeight="false" outlineLevel="0" collapsed="false">
      <c r="A50" s="2" t="s">
        <v>1469</v>
      </c>
      <c r="B50" s="2" t="s">
        <v>8068</v>
      </c>
      <c r="C50" s="2" t="s">
        <v>1470</v>
      </c>
      <c r="D50" s="2" t="s">
        <v>1471</v>
      </c>
      <c r="E50" s="2" t="s">
        <v>1472</v>
      </c>
      <c r="F50" s="2" t="s">
        <v>1473</v>
      </c>
      <c r="G50" s="2" t="s">
        <v>20</v>
      </c>
      <c r="H50" s="2" t="s">
        <v>1474</v>
      </c>
      <c r="I50" s="2" t="s">
        <v>1200</v>
      </c>
      <c r="J50" s="2" t="n">
        <v>2</v>
      </c>
    </row>
    <row r="51" customFormat="false" ht="91" hidden="false" customHeight="false" outlineLevel="0" collapsed="false">
      <c r="A51" s="2" t="s">
        <v>1475</v>
      </c>
      <c r="B51" s="2" t="s">
        <v>8069</v>
      </c>
      <c r="C51" s="2" t="s">
        <v>1476</v>
      </c>
      <c r="D51" s="2" t="s">
        <v>1477</v>
      </c>
      <c r="E51" s="2" t="s">
        <v>1478</v>
      </c>
      <c r="F51" s="2" t="s">
        <v>1479</v>
      </c>
      <c r="G51" s="2" t="s">
        <v>20</v>
      </c>
      <c r="H51" s="2" t="s">
        <v>1480</v>
      </c>
      <c r="I51" s="2" t="s">
        <v>1200</v>
      </c>
      <c r="J51" s="2" t="n">
        <v>2</v>
      </c>
    </row>
    <row r="52" customFormat="false" ht="61.15" hidden="false" customHeight="false" outlineLevel="0" collapsed="false">
      <c r="A52" s="2" t="s">
        <v>1481</v>
      </c>
      <c r="B52" s="2" t="s">
        <v>8068</v>
      </c>
      <c r="C52" s="2" t="s">
        <v>1482</v>
      </c>
      <c r="D52" s="2" t="s">
        <v>1483</v>
      </c>
      <c r="E52" s="2" t="s">
        <v>1484</v>
      </c>
      <c r="F52" s="2" t="s">
        <v>1485</v>
      </c>
      <c r="G52" s="2" t="s">
        <v>20</v>
      </c>
      <c r="H52" s="2" t="s">
        <v>1486</v>
      </c>
      <c r="I52" s="2" t="s">
        <v>1200</v>
      </c>
      <c r="J52" s="2" t="n">
        <v>2</v>
      </c>
    </row>
    <row r="53" customFormat="false" ht="46.25" hidden="false" customHeight="false" outlineLevel="0" collapsed="false">
      <c r="A53" s="2" t="s">
        <v>1487</v>
      </c>
      <c r="B53" s="2" t="s">
        <v>8069</v>
      </c>
      <c r="C53" s="2" t="s">
        <v>1488</v>
      </c>
      <c r="D53" s="2" t="s">
        <v>1489</v>
      </c>
      <c r="E53" s="2" t="s">
        <v>1490</v>
      </c>
      <c r="F53" s="2" t="s">
        <v>1491</v>
      </c>
      <c r="G53" s="2" t="s">
        <v>20</v>
      </c>
      <c r="H53" s="2" t="s">
        <v>1492</v>
      </c>
      <c r="I53" s="2" t="s">
        <v>1200</v>
      </c>
      <c r="J53" s="2" t="n">
        <v>1</v>
      </c>
    </row>
    <row r="54" customFormat="false" ht="61.15" hidden="false" customHeight="false" outlineLevel="0" collapsed="false">
      <c r="A54" s="2" t="s">
        <v>1493</v>
      </c>
      <c r="B54" s="2" t="s">
        <v>8069</v>
      </c>
      <c r="C54" s="2" t="s">
        <v>1494</v>
      </c>
      <c r="D54" s="2" t="s">
        <v>1495</v>
      </c>
      <c r="E54" s="2" t="s">
        <v>1496</v>
      </c>
      <c r="F54" s="2" t="s">
        <v>1497</v>
      </c>
      <c r="G54" s="2" t="s">
        <v>20</v>
      </c>
      <c r="H54" s="2" t="s">
        <v>1498</v>
      </c>
      <c r="I54" s="2" t="s">
        <v>1219</v>
      </c>
      <c r="J54" s="2" t="n">
        <v>1</v>
      </c>
    </row>
    <row r="55" customFormat="false" ht="46.25" hidden="false" customHeight="false" outlineLevel="0" collapsed="false">
      <c r="A55" s="2" t="s">
        <v>1499</v>
      </c>
      <c r="B55" s="2" t="s">
        <v>8069</v>
      </c>
      <c r="C55" s="2" t="s">
        <v>1500</v>
      </c>
      <c r="D55" s="2" t="s">
        <v>1501</v>
      </c>
      <c r="E55" s="2" t="s">
        <v>1502</v>
      </c>
      <c r="F55" s="2" t="s">
        <v>1503</v>
      </c>
      <c r="G55" s="2" t="s">
        <v>20</v>
      </c>
      <c r="H55" s="2" t="s">
        <v>1504</v>
      </c>
      <c r="I55" s="2" t="s">
        <v>1219</v>
      </c>
      <c r="J55" s="2" t="n">
        <v>2</v>
      </c>
    </row>
    <row r="56" customFormat="false" ht="46.25" hidden="false" customHeight="false" outlineLevel="0" collapsed="false">
      <c r="A56" s="2" t="s">
        <v>1505</v>
      </c>
      <c r="B56" s="2" t="s">
        <v>8069</v>
      </c>
      <c r="C56" s="2" t="s">
        <v>1506</v>
      </c>
      <c r="D56" s="2" t="s">
        <v>1507</v>
      </c>
      <c r="E56" s="2" t="s">
        <v>1508</v>
      </c>
      <c r="F56" s="2" t="s">
        <v>1509</v>
      </c>
      <c r="G56" s="2" t="s">
        <v>20</v>
      </c>
      <c r="H56" s="2" t="s">
        <v>1510</v>
      </c>
      <c r="I56" s="2" t="s">
        <v>1219</v>
      </c>
      <c r="J56" s="2" t="n">
        <v>1</v>
      </c>
    </row>
    <row r="57" customFormat="false" ht="61.15" hidden="false" customHeight="false" outlineLevel="0" collapsed="false">
      <c r="A57" s="2" t="s">
        <v>1511</v>
      </c>
      <c r="B57" s="2" t="s">
        <v>8069</v>
      </c>
      <c r="C57" s="2" t="s">
        <v>1512</v>
      </c>
      <c r="D57" s="2" t="s">
        <v>1513</v>
      </c>
      <c r="E57" s="2" t="s">
        <v>1514</v>
      </c>
      <c r="F57" s="2" t="s">
        <v>1515</v>
      </c>
      <c r="G57" s="2" t="s">
        <v>20</v>
      </c>
      <c r="H57" s="2" t="s">
        <v>1516</v>
      </c>
      <c r="I57" s="2" t="s">
        <v>1219</v>
      </c>
      <c r="J57" s="2" t="n">
        <v>3</v>
      </c>
    </row>
    <row r="58" customFormat="false" ht="61.15" hidden="false" customHeight="false" outlineLevel="0" collapsed="false">
      <c r="A58" s="2" t="s">
        <v>1517</v>
      </c>
      <c r="B58" s="2" t="s">
        <v>8068</v>
      </c>
      <c r="C58" s="2" t="s">
        <v>1518</v>
      </c>
      <c r="D58" s="2" t="s">
        <v>1519</v>
      </c>
      <c r="E58" s="2" t="s">
        <v>1520</v>
      </c>
      <c r="F58" s="2" t="s">
        <v>1521</v>
      </c>
      <c r="G58" s="2" t="s">
        <v>20</v>
      </c>
      <c r="H58" s="2" t="s">
        <v>1522</v>
      </c>
      <c r="I58" s="2" t="s">
        <v>1219</v>
      </c>
      <c r="J58" s="2" t="n">
        <v>3</v>
      </c>
    </row>
    <row r="59" customFormat="false" ht="61.15" hidden="false" customHeight="false" outlineLevel="0" collapsed="false">
      <c r="A59" s="2" t="s">
        <v>1523</v>
      </c>
      <c r="B59" s="2" t="s">
        <v>8069</v>
      </c>
      <c r="C59" s="2" t="s">
        <v>1524</v>
      </c>
      <c r="D59" s="2" t="s">
        <v>1525</v>
      </c>
      <c r="E59" s="2" t="s">
        <v>1526</v>
      </c>
      <c r="F59" s="2" t="s">
        <v>1527</v>
      </c>
      <c r="G59" s="2" t="s">
        <v>20</v>
      </c>
      <c r="H59" s="2" t="s">
        <v>1528</v>
      </c>
      <c r="I59" s="2" t="s">
        <v>1219</v>
      </c>
      <c r="J59" s="2" t="n">
        <v>2</v>
      </c>
    </row>
    <row r="60" customFormat="false" ht="61.15" hidden="false" customHeight="false" outlineLevel="0" collapsed="false">
      <c r="A60" s="2" t="s">
        <v>1529</v>
      </c>
      <c r="B60" s="2" t="s">
        <v>8069</v>
      </c>
      <c r="C60" s="2" t="s">
        <v>1530</v>
      </c>
      <c r="D60" s="2" t="s">
        <v>1531</v>
      </c>
      <c r="E60" s="2" t="s">
        <v>1532</v>
      </c>
      <c r="F60" s="2" t="s">
        <v>1533</v>
      </c>
      <c r="G60" s="2" t="s">
        <v>20</v>
      </c>
      <c r="H60" s="2" t="s">
        <v>1534</v>
      </c>
      <c r="I60" s="2" t="s">
        <v>1232</v>
      </c>
      <c r="J60" s="2" t="n">
        <v>1</v>
      </c>
    </row>
    <row r="61" customFormat="false" ht="61.15" hidden="false" customHeight="false" outlineLevel="0" collapsed="false">
      <c r="A61" s="2" t="s">
        <v>1535</v>
      </c>
      <c r="B61" s="2" t="s">
        <v>8069</v>
      </c>
      <c r="C61" s="2" t="s">
        <v>1536</v>
      </c>
      <c r="D61" s="2" t="s">
        <v>1537</v>
      </c>
      <c r="E61" s="2" t="s">
        <v>1538</v>
      </c>
      <c r="F61" s="2" t="s">
        <v>1539</v>
      </c>
      <c r="G61" s="2" t="s">
        <v>20</v>
      </c>
      <c r="H61" s="2" t="s">
        <v>1540</v>
      </c>
      <c r="I61" s="2" t="s">
        <v>1232</v>
      </c>
      <c r="J61" s="2" t="n">
        <v>2</v>
      </c>
    </row>
    <row r="62" customFormat="false" ht="61.15" hidden="false" customHeight="false" outlineLevel="0" collapsed="false">
      <c r="A62" s="2" t="s">
        <v>1541</v>
      </c>
      <c r="B62" s="2" t="s">
        <v>8069</v>
      </c>
      <c r="C62" s="2" t="s">
        <v>1542</v>
      </c>
      <c r="D62" s="2" t="s">
        <v>1543</v>
      </c>
      <c r="E62" s="2" t="s">
        <v>1544</v>
      </c>
      <c r="F62" s="2" t="s">
        <v>1545</v>
      </c>
      <c r="G62" s="2" t="s">
        <v>20</v>
      </c>
      <c r="H62" s="2" t="s">
        <v>1546</v>
      </c>
      <c r="I62" s="2" t="s">
        <v>1232</v>
      </c>
      <c r="J62" s="2" t="n">
        <v>3</v>
      </c>
    </row>
    <row r="63" customFormat="false" ht="46.25" hidden="false" customHeight="false" outlineLevel="0" collapsed="false">
      <c r="A63" s="2" t="s">
        <v>1547</v>
      </c>
      <c r="B63" s="2" t="s">
        <v>8069</v>
      </c>
      <c r="C63" s="2" t="s">
        <v>1548</v>
      </c>
      <c r="D63" s="2" t="s">
        <v>1392</v>
      </c>
      <c r="E63" s="2" t="s">
        <v>1336</v>
      </c>
      <c r="F63" s="2" t="s">
        <v>1338</v>
      </c>
      <c r="G63" s="2" t="s">
        <v>20</v>
      </c>
      <c r="H63" s="2" t="s">
        <v>1549</v>
      </c>
      <c r="I63" s="2" t="s">
        <v>1232</v>
      </c>
      <c r="J63" s="2" t="n">
        <v>2</v>
      </c>
    </row>
    <row r="64" customFormat="false" ht="46.25" hidden="false" customHeight="false" outlineLevel="0" collapsed="false">
      <c r="A64" s="2" t="s">
        <v>1550</v>
      </c>
      <c r="B64" s="2" t="s">
        <v>8069</v>
      </c>
      <c r="C64" s="2" t="s">
        <v>1551</v>
      </c>
      <c r="D64" s="2" t="s">
        <v>1552</v>
      </c>
      <c r="E64" s="2" t="s">
        <v>1553</v>
      </c>
      <c r="F64" s="2" t="s">
        <v>1554</v>
      </c>
      <c r="G64" s="2" t="s">
        <v>20</v>
      </c>
      <c r="H64" s="2" t="s">
        <v>1555</v>
      </c>
      <c r="I64" s="2" t="s">
        <v>1232</v>
      </c>
      <c r="J64" s="2" t="n">
        <v>2</v>
      </c>
    </row>
    <row r="65" customFormat="false" ht="61.15" hidden="false" customHeight="false" outlineLevel="0" collapsed="false">
      <c r="A65" s="2" t="s">
        <v>1556</v>
      </c>
      <c r="B65" s="2" t="s">
        <v>8069</v>
      </c>
      <c r="C65" s="2" t="s">
        <v>1557</v>
      </c>
      <c r="D65" s="2" t="s">
        <v>1558</v>
      </c>
      <c r="E65" s="2" t="s">
        <v>1559</v>
      </c>
      <c r="F65" s="2" t="s">
        <v>1560</v>
      </c>
      <c r="G65" s="2" t="s">
        <v>20</v>
      </c>
      <c r="H65" s="2" t="s">
        <v>1561</v>
      </c>
      <c r="I65" s="2" t="s">
        <v>1232</v>
      </c>
      <c r="J65" s="2" t="n">
        <v>3</v>
      </c>
    </row>
    <row r="66" customFormat="false" ht="46.25" hidden="false" customHeight="false" outlineLevel="0" collapsed="false">
      <c r="A66" s="2" t="s">
        <v>1562</v>
      </c>
      <c r="B66" s="2" t="s">
        <v>8069</v>
      </c>
      <c r="C66" s="2" t="s">
        <v>1563</v>
      </c>
      <c r="D66" s="2" t="s">
        <v>1564</v>
      </c>
      <c r="E66" s="2" t="s">
        <v>1565</v>
      </c>
      <c r="F66" s="2" t="s">
        <v>1566</v>
      </c>
      <c r="G66" s="2" t="s">
        <v>20</v>
      </c>
      <c r="H66" s="2" t="s">
        <v>1567</v>
      </c>
      <c r="I66" s="2" t="s">
        <v>1232</v>
      </c>
      <c r="J66" s="2" t="n">
        <v>2</v>
      </c>
    </row>
    <row r="67" customFormat="false" ht="91" hidden="false" customHeight="false" outlineLevel="0" collapsed="false">
      <c r="A67" s="2" t="s">
        <v>1568</v>
      </c>
      <c r="B67" s="2" t="s">
        <v>8068</v>
      </c>
      <c r="C67" s="2" t="s">
        <v>1569</v>
      </c>
      <c r="D67" s="2" t="s">
        <v>1570</v>
      </c>
      <c r="E67" s="2" t="s">
        <v>1571</v>
      </c>
      <c r="F67" s="2" t="s">
        <v>1572</v>
      </c>
      <c r="G67" s="2" t="s">
        <v>20</v>
      </c>
      <c r="H67" s="2" t="s">
        <v>1573</v>
      </c>
      <c r="I67" s="2" t="s">
        <v>1574</v>
      </c>
      <c r="J67" s="2" t="n">
        <v>2</v>
      </c>
    </row>
    <row r="68" customFormat="false" ht="76.1" hidden="false" customHeight="false" outlineLevel="0" collapsed="false">
      <c r="A68" s="2" t="s">
        <v>1575</v>
      </c>
      <c r="B68" s="2" t="s">
        <v>8069</v>
      </c>
      <c r="C68" s="2" t="s">
        <v>1576</v>
      </c>
      <c r="D68" s="2" t="s">
        <v>1577</v>
      </c>
      <c r="E68" s="2" t="s">
        <v>1578</v>
      </c>
      <c r="F68" s="2" t="s">
        <v>1579</v>
      </c>
      <c r="G68" s="2" t="s">
        <v>20</v>
      </c>
      <c r="H68" s="2" t="s">
        <v>1580</v>
      </c>
      <c r="I68" s="2" t="s">
        <v>1574</v>
      </c>
      <c r="J68" s="2" t="n">
        <v>2</v>
      </c>
    </row>
    <row r="69" customFormat="false" ht="46.25" hidden="false" customHeight="false" outlineLevel="0" collapsed="false">
      <c r="A69" s="2" t="s">
        <v>1581</v>
      </c>
      <c r="B69" s="2" t="s">
        <v>8068</v>
      </c>
      <c r="C69" s="2" t="s">
        <v>1582</v>
      </c>
      <c r="D69" s="2" t="s">
        <v>1583</v>
      </c>
      <c r="E69" s="2" t="s">
        <v>1584</v>
      </c>
      <c r="F69" s="2" t="s">
        <v>1585</v>
      </c>
      <c r="G69" s="2" t="s">
        <v>20</v>
      </c>
      <c r="H69" s="2" t="s">
        <v>1586</v>
      </c>
      <c r="I69" s="2" t="s">
        <v>1192</v>
      </c>
      <c r="J69" s="2" t="n">
        <v>1</v>
      </c>
    </row>
    <row r="70" customFormat="false" ht="46.25" hidden="false" customHeight="false" outlineLevel="0" collapsed="false">
      <c r="A70" s="2" t="s">
        <v>1587</v>
      </c>
      <c r="B70" s="2" t="s">
        <v>8069</v>
      </c>
      <c r="C70" s="2" t="s">
        <v>1588</v>
      </c>
      <c r="D70" s="2" t="s">
        <v>1589</v>
      </c>
      <c r="E70" s="2" t="s">
        <v>1590</v>
      </c>
      <c r="F70" s="2" t="s">
        <v>1591</v>
      </c>
      <c r="G70" s="2" t="s">
        <v>20</v>
      </c>
      <c r="H70" s="2" t="s">
        <v>1592</v>
      </c>
      <c r="I70" s="2" t="s">
        <v>1192</v>
      </c>
      <c r="J70" s="2" t="n">
        <v>2</v>
      </c>
    </row>
    <row r="71" customFormat="false" ht="76.1" hidden="false" customHeight="false" outlineLevel="0" collapsed="false">
      <c r="A71" s="2" t="s">
        <v>1593</v>
      </c>
      <c r="B71" s="2" t="s">
        <v>8068</v>
      </c>
      <c r="C71" s="2" t="s">
        <v>1594</v>
      </c>
      <c r="D71" s="2" t="s">
        <v>1595</v>
      </c>
      <c r="E71" s="2" t="s">
        <v>1596</v>
      </c>
      <c r="F71" s="2" t="s">
        <v>1597</v>
      </c>
      <c r="G71" s="2" t="s">
        <v>20</v>
      </c>
      <c r="H71" s="2" t="s">
        <v>1598</v>
      </c>
      <c r="I71" s="2" t="s">
        <v>1192</v>
      </c>
      <c r="J71" s="2" t="n">
        <v>2</v>
      </c>
    </row>
    <row r="72" customFormat="false" ht="46.25" hidden="false" customHeight="false" outlineLevel="0" collapsed="false">
      <c r="A72" s="2" t="s">
        <v>1599</v>
      </c>
      <c r="B72" s="2" t="s">
        <v>8069</v>
      </c>
      <c r="C72" s="2" t="s">
        <v>1600</v>
      </c>
      <c r="D72" s="2" t="s">
        <v>1601</v>
      </c>
      <c r="E72" s="2" t="s">
        <v>1602</v>
      </c>
      <c r="F72" s="2" t="s">
        <v>1603</v>
      </c>
      <c r="G72" s="2" t="s">
        <v>20</v>
      </c>
      <c r="H72" s="2" t="s">
        <v>1604</v>
      </c>
      <c r="I72" s="2" t="s">
        <v>1192</v>
      </c>
      <c r="J72" s="2" t="n">
        <v>2</v>
      </c>
    </row>
    <row r="73" customFormat="false" ht="61.15" hidden="false" customHeight="false" outlineLevel="0" collapsed="false">
      <c r="A73" s="2" t="s">
        <v>1605</v>
      </c>
      <c r="B73" s="2" t="s">
        <v>8068</v>
      </c>
      <c r="C73" s="2" t="s">
        <v>1606</v>
      </c>
      <c r="D73" s="2" t="s">
        <v>1607</v>
      </c>
      <c r="E73" s="2" t="s">
        <v>1608</v>
      </c>
      <c r="F73" s="2" t="s">
        <v>1609</v>
      </c>
      <c r="G73" s="2" t="s">
        <v>20</v>
      </c>
      <c r="H73" s="2" t="s">
        <v>1610</v>
      </c>
      <c r="I73" s="2" t="s">
        <v>1192</v>
      </c>
      <c r="J73" s="2" t="n">
        <v>3</v>
      </c>
    </row>
    <row r="74" customFormat="false" ht="46.25" hidden="false" customHeight="false" outlineLevel="0" collapsed="false">
      <c r="A74" s="2" t="s">
        <v>1611</v>
      </c>
      <c r="B74" s="2" t="s">
        <v>8068</v>
      </c>
      <c r="C74" s="2" t="s">
        <v>1612</v>
      </c>
      <c r="D74" s="2" t="s">
        <v>1613</v>
      </c>
      <c r="E74" s="2" t="s">
        <v>1614</v>
      </c>
      <c r="F74" s="2" t="s">
        <v>1615</v>
      </c>
      <c r="G74" s="2" t="s">
        <v>20</v>
      </c>
      <c r="H74" s="2" t="s">
        <v>1616</v>
      </c>
      <c r="I74" s="2" t="s">
        <v>1617</v>
      </c>
      <c r="J74" s="2" t="n">
        <v>2</v>
      </c>
    </row>
    <row r="75" customFormat="false" ht="46.25" hidden="false" customHeight="false" outlineLevel="0" collapsed="false">
      <c r="A75" s="2" t="s">
        <v>1618</v>
      </c>
      <c r="B75" s="2" t="s">
        <v>8069</v>
      </c>
      <c r="C75" s="2" t="s">
        <v>1619</v>
      </c>
      <c r="D75" s="2" t="s">
        <v>1620</v>
      </c>
      <c r="E75" s="2" t="s">
        <v>1621</v>
      </c>
      <c r="F75" s="2" t="s">
        <v>1622</v>
      </c>
      <c r="G75" s="2" t="s">
        <v>20</v>
      </c>
      <c r="H75" s="2" t="s">
        <v>1623</v>
      </c>
      <c r="I75" s="2" t="s">
        <v>1617</v>
      </c>
      <c r="J75" s="2" t="n">
        <v>1</v>
      </c>
    </row>
    <row r="76" customFormat="false" ht="46.25" hidden="false" customHeight="false" outlineLevel="0" collapsed="false">
      <c r="A76" s="2" t="s">
        <v>1624</v>
      </c>
      <c r="B76" s="2" t="s">
        <v>8069</v>
      </c>
      <c r="C76" s="2" t="s">
        <v>1625</v>
      </c>
      <c r="D76" s="2" t="s">
        <v>1626</v>
      </c>
      <c r="E76" s="2" t="s">
        <v>1627</v>
      </c>
      <c r="F76" s="2" t="s">
        <v>1628</v>
      </c>
      <c r="G76" s="2" t="s">
        <v>28</v>
      </c>
      <c r="H76" s="2" t="s">
        <v>1629</v>
      </c>
      <c r="I76" s="2" t="s">
        <v>1186</v>
      </c>
      <c r="J76" s="2" t="n">
        <v>1</v>
      </c>
    </row>
    <row r="77" customFormat="false" ht="120.85" hidden="false" customHeight="false" outlineLevel="0" collapsed="false">
      <c r="A77" s="2" t="s">
        <v>1630</v>
      </c>
      <c r="B77" s="2" t="s">
        <v>8068</v>
      </c>
      <c r="C77" s="2" t="s">
        <v>1631</v>
      </c>
      <c r="D77" s="2" t="s">
        <v>1632</v>
      </c>
      <c r="E77" s="2" t="s">
        <v>1633</v>
      </c>
      <c r="F77" s="2" t="s">
        <v>1634</v>
      </c>
      <c r="G77" s="2" t="s">
        <v>28</v>
      </c>
      <c r="H77" s="2" t="s">
        <v>1635</v>
      </c>
      <c r="I77" s="2" t="s">
        <v>1186</v>
      </c>
      <c r="J77" s="2" t="n">
        <v>2</v>
      </c>
    </row>
    <row r="78" customFormat="false" ht="46.25" hidden="false" customHeight="false" outlineLevel="0" collapsed="false">
      <c r="A78" s="2" t="s">
        <v>1636</v>
      </c>
      <c r="B78" s="2" t="s">
        <v>8069</v>
      </c>
      <c r="C78" s="2" t="s">
        <v>1637</v>
      </c>
      <c r="D78" s="2" t="s">
        <v>1638</v>
      </c>
      <c r="E78" s="2" t="s">
        <v>1639</v>
      </c>
      <c r="F78" s="2" t="s">
        <v>1640</v>
      </c>
      <c r="G78" s="2" t="s">
        <v>20</v>
      </c>
      <c r="H78" s="2" t="s">
        <v>1641</v>
      </c>
      <c r="I78" s="2" t="s">
        <v>1186</v>
      </c>
      <c r="J78" s="2" t="n">
        <v>1</v>
      </c>
    </row>
    <row r="79" customFormat="false" ht="46.25" hidden="false" customHeight="false" outlineLevel="0" collapsed="false">
      <c r="A79" s="2" t="s">
        <v>1642</v>
      </c>
      <c r="B79" s="2" t="s">
        <v>8069</v>
      </c>
      <c r="C79" s="2" t="s">
        <v>1643</v>
      </c>
      <c r="D79" s="2" t="s">
        <v>1644</v>
      </c>
      <c r="E79" s="2" t="s">
        <v>1645</v>
      </c>
      <c r="F79" s="2" t="s">
        <v>1646</v>
      </c>
      <c r="G79" s="2" t="s">
        <v>20</v>
      </c>
      <c r="H79" s="2" t="s">
        <v>1647</v>
      </c>
      <c r="I79" s="2" t="s">
        <v>1186</v>
      </c>
      <c r="J79" s="2" t="n">
        <v>1</v>
      </c>
    </row>
    <row r="80" customFormat="false" ht="61.15" hidden="false" customHeight="false" outlineLevel="0" collapsed="false">
      <c r="A80" s="2" t="s">
        <v>1648</v>
      </c>
      <c r="B80" s="2" t="s">
        <v>8069</v>
      </c>
      <c r="C80" s="2" t="s">
        <v>1649</v>
      </c>
      <c r="D80" s="2" t="s">
        <v>1650</v>
      </c>
      <c r="E80" s="2" t="s">
        <v>1651</v>
      </c>
      <c r="F80" s="2" t="s">
        <v>1652</v>
      </c>
      <c r="G80" s="2" t="s">
        <v>20</v>
      </c>
      <c r="H80" s="2" t="s">
        <v>1653</v>
      </c>
      <c r="I80" s="2" t="s">
        <v>1186</v>
      </c>
      <c r="J80" s="2" t="n">
        <v>1</v>
      </c>
    </row>
    <row r="81" customFormat="false" ht="61.15" hidden="false" customHeight="false" outlineLevel="0" collapsed="false">
      <c r="A81" s="2" t="s">
        <v>1654</v>
      </c>
      <c r="B81" s="2" t="s">
        <v>8068</v>
      </c>
      <c r="C81" s="2" t="s">
        <v>1655</v>
      </c>
      <c r="D81" s="2" t="s">
        <v>1656</v>
      </c>
      <c r="E81" s="2" t="s">
        <v>1657</v>
      </c>
      <c r="F81" s="2" t="s">
        <v>1658</v>
      </c>
      <c r="G81" s="2" t="s">
        <v>20</v>
      </c>
      <c r="H81" s="2" t="s">
        <v>1659</v>
      </c>
      <c r="I81" s="2" t="s">
        <v>1186</v>
      </c>
      <c r="J81" s="2" t="n">
        <v>2</v>
      </c>
    </row>
    <row r="82" customFormat="false" ht="61.15" hidden="false" customHeight="false" outlineLevel="0" collapsed="false">
      <c r="A82" s="2" t="s">
        <v>1660</v>
      </c>
      <c r="B82" s="2" t="s">
        <v>8069</v>
      </c>
      <c r="C82" s="2" t="s">
        <v>1661</v>
      </c>
      <c r="D82" s="2" t="s">
        <v>1662</v>
      </c>
      <c r="E82" s="2" t="s">
        <v>1663</v>
      </c>
      <c r="F82" s="2" t="s">
        <v>1664</v>
      </c>
      <c r="G82" s="2" t="s">
        <v>20</v>
      </c>
      <c r="H82" s="2" t="s">
        <v>1665</v>
      </c>
      <c r="I82" s="2" t="s">
        <v>1186</v>
      </c>
      <c r="J82" s="2" t="n">
        <v>3</v>
      </c>
    </row>
    <row r="83" customFormat="false" ht="61.15" hidden="false" customHeight="false" outlineLevel="0" collapsed="false">
      <c r="A83" s="2" t="s">
        <v>1666</v>
      </c>
      <c r="B83" s="2" t="s">
        <v>8068</v>
      </c>
      <c r="C83" s="2" t="s">
        <v>1667</v>
      </c>
      <c r="D83" s="2" t="s">
        <v>1668</v>
      </c>
      <c r="E83" s="2" t="s">
        <v>1669</v>
      </c>
      <c r="F83" s="2" t="s">
        <v>1670</v>
      </c>
      <c r="G83" s="2" t="s">
        <v>20</v>
      </c>
      <c r="H83" s="2" t="s">
        <v>1671</v>
      </c>
      <c r="I83" s="2" t="s">
        <v>1186</v>
      </c>
      <c r="J83" s="2" t="n">
        <v>2</v>
      </c>
    </row>
    <row r="84" customFormat="false" ht="61.15" hidden="false" customHeight="false" outlineLevel="0" collapsed="false">
      <c r="A84" s="2" t="s">
        <v>1672</v>
      </c>
      <c r="B84" s="2" t="s">
        <v>8068</v>
      </c>
      <c r="C84" s="2" t="s">
        <v>1673</v>
      </c>
      <c r="D84" s="2" t="s">
        <v>1674</v>
      </c>
      <c r="E84" s="2" t="s">
        <v>1675</v>
      </c>
      <c r="F84" s="2" t="s">
        <v>1676</v>
      </c>
      <c r="G84" s="2" t="s">
        <v>20</v>
      </c>
      <c r="H84" s="2" t="s">
        <v>1677</v>
      </c>
      <c r="I84" s="2" t="s">
        <v>1186</v>
      </c>
      <c r="J84" s="2" t="n">
        <v>2</v>
      </c>
    </row>
    <row r="85" customFormat="false" ht="61.15" hidden="false" customHeight="false" outlineLevel="0" collapsed="false">
      <c r="A85" s="2" t="s">
        <v>1678</v>
      </c>
      <c r="B85" s="2" t="s">
        <v>8069</v>
      </c>
      <c r="C85" s="2" t="s">
        <v>1679</v>
      </c>
      <c r="D85" s="2" t="s">
        <v>1680</v>
      </c>
      <c r="E85" s="2" t="s">
        <v>1681</v>
      </c>
      <c r="F85" s="2" t="s">
        <v>1682</v>
      </c>
      <c r="G85" s="2" t="s">
        <v>20</v>
      </c>
      <c r="H85" s="2" t="s">
        <v>1683</v>
      </c>
      <c r="I85" s="2" t="s">
        <v>1186</v>
      </c>
      <c r="J85" s="2" t="n">
        <v>2</v>
      </c>
    </row>
    <row r="86" customFormat="false" ht="61.15" hidden="false" customHeight="false" outlineLevel="0" collapsed="false">
      <c r="A86" s="2" t="s">
        <v>1684</v>
      </c>
      <c r="B86" s="2" t="s">
        <v>8068</v>
      </c>
      <c r="C86" s="2" t="s">
        <v>1685</v>
      </c>
      <c r="D86" s="2" t="s">
        <v>1686</v>
      </c>
      <c r="E86" s="2" t="s">
        <v>1687</v>
      </c>
      <c r="F86" s="2" t="s">
        <v>1688</v>
      </c>
      <c r="G86" s="2" t="s">
        <v>20</v>
      </c>
      <c r="H86" s="2" t="s">
        <v>1689</v>
      </c>
      <c r="I86" s="2" t="s">
        <v>1186</v>
      </c>
      <c r="J86" s="2" t="n">
        <v>2</v>
      </c>
    </row>
    <row r="87" customFormat="false" ht="61.15" hidden="false" customHeight="false" outlineLevel="0" collapsed="false">
      <c r="A87" s="2" t="s">
        <v>1690</v>
      </c>
      <c r="B87" s="2" t="s">
        <v>8069</v>
      </c>
      <c r="C87" s="2" t="s">
        <v>1691</v>
      </c>
      <c r="D87" s="2" t="s">
        <v>1692</v>
      </c>
      <c r="E87" s="2" t="s">
        <v>1693</v>
      </c>
      <c r="F87" s="2" t="s">
        <v>1694</v>
      </c>
      <c r="G87" s="2" t="s">
        <v>20</v>
      </c>
      <c r="H87" s="2" t="s">
        <v>1695</v>
      </c>
      <c r="I87" s="2" t="s">
        <v>1186</v>
      </c>
      <c r="J87" s="2" t="n">
        <v>3</v>
      </c>
    </row>
    <row r="88" customFormat="false" ht="46.25" hidden="false" customHeight="false" outlineLevel="0" collapsed="false">
      <c r="A88" s="2" t="s">
        <v>1696</v>
      </c>
      <c r="B88" s="2" t="s">
        <v>8068</v>
      </c>
      <c r="C88" s="2" t="s">
        <v>1697</v>
      </c>
      <c r="D88" s="2" t="s">
        <v>1698</v>
      </c>
      <c r="E88" s="2" t="s">
        <v>1699</v>
      </c>
      <c r="F88" s="2" t="s">
        <v>1700</v>
      </c>
      <c r="G88" s="2" t="s">
        <v>20</v>
      </c>
      <c r="H88" s="2" t="s">
        <v>1701</v>
      </c>
      <c r="I88" s="2" t="s">
        <v>1186</v>
      </c>
      <c r="J88" s="2" t="n">
        <v>2</v>
      </c>
    </row>
    <row r="89" customFormat="false" ht="46.25" hidden="false" customHeight="false" outlineLevel="0" collapsed="false">
      <c r="A89" s="2" t="s">
        <v>1702</v>
      </c>
      <c r="B89" s="2" t="s">
        <v>8069</v>
      </c>
      <c r="C89" s="2" t="s">
        <v>1703</v>
      </c>
      <c r="D89" s="2" t="s">
        <v>1704</v>
      </c>
      <c r="E89" s="2" t="s">
        <v>1705</v>
      </c>
      <c r="F89" s="2" t="s">
        <v>1706</v>
      </c>
      <c r="G89" s="2" t="s">
        <v>20</v>
      </c>
      <c r="H89" s="2" t="s">
        <v>1707</v>
      </c>
      <c r="I89" s="2" t="s">
        <v>1186</v>
      </c>
      <c r="J89" s="2" t="n">
        <v>2</v>
      </c>
    </row>
    <row r="90" customFormat="false" ht="46.25" hidden="false" customHeight="false" outlineLevel="0" collapsed="false">
      <c r="A90" s="2" t="s">
        <v>1708</v>
      </c>
      <c r="B90" s="2" t="s">
        <v>8068</v>
      </c>
      <c r="C90" s="2" t="s">
        <v>1709</v>
      </c>
      <c r="D90" s="2" t="s">
        <v>1710</v>
      </c>
      <c r="E90" s="2" t="s">
        <v>1711</v>
      </c>
      <c r="F90" s="2" t="s">
        <v>1712</v>
      </c>
      <c r="G90" s="2" t="s">
        <v>20</v>
      </c>
      <c r="H90" s="2" t="s">
        <v>1713</v>
      </c>
      <c r="I90" s="2" t="s">
        <v>1186</v>
      </c>
      <c r="J90" s="2" t="n">
        <v>2</v>
      </c>
    </row>
    <row r="91" customFormat="false" ht="61.15" hidden="false" customHeight="false" outlineLevel="0" collapsed="false">
      <c r="A91" s="2" t="s">
        <v>1714</v>
      </c>
      <c r="B91" s="2" t="s">
        <v>8069</v>
      </c>
      <c r="C91" s="2" t="s">
        <v>1715</v>
      </c>
      <c r="D91" s="2" t="s">
        <v>1716</v>
      </c>
      <c r="E91" s="2" t="s">
        <v>1717</v>
      </c>
      <c r="F91" s="2" t="s">
        <v>1718</v>
      </c>
      <c r="G91" s="2" t="s">
        <v>20</v>
      </c>
      <c r="H91" s="2" t="s">
        <v>1360</v>
      </c>
      <c r="I91" s="2" t="s">
        <v>1186</v>
      </c>
      <c r="J91" s="2" t="n">
        <v>2</v>
      </c>
    </row>
    <row r="92" customFormat="false" ht="76.1" hidden="false" customHeight="false" outlineLevel="0" collapsed="false">
      <c r="A92" s="2" t="s">
        <v>1719</v>
      </c>
      <c r="B92" s="2" t="s">
        <v>8068</v>
      </c>
      <c r="C92" s="2" t="s">
        <v>1720</v>
      </c>
      <c r="D92" s="2" t="s">
        <v>1721</v>
      </c>
      <c r="E92" s="2" t="s">
        <v>1722</v>
      </c>
      <c r="F92" s="2" t="s">
        <v>1723</v>
      </c>
      <c r="G92" s="2" t="s">
        <v>20</v>
      </c>
      <c r="H92" s="2" t="s">
        <v>1724</v>
      </c>
      <c r="I92" s="2" t="s">
        <v>1186</v>
      </c>
      <c r="J92" s="2" t="n">
        <v>2</v>
      </c>
    </row>
    <row r="93" customFormat="false" ht="61.15" hidden="false" customHeight="false" outlineLevel="0" collapsed="false">
      <c r="A93" s="2" t="s">
        <v>1725</v>
      </c>
      <c r="B93" s="2" t="s">
        <v>8069</v>
      </c>
      <c r="C93" s="2" t="s">
        <v>1726</v>
      </c>
      <c r="D93" s="2" t="s">
        <v>1727</v>
      </c>
      <c r="E93" s="2" t="s">
        <v>1728</v>
      </c>
      <c r="F93" s="2" t="s">
        <v>1729</v>
      </c>
      <c r="G93" s="2" t="s">
        <v>20</v>
      </c>
      <c r="H93" s="2" t="s">
        <v>1730</v>
      </c>
      <c r="I93" s="2" t="s">
        <v>1186</v>
      </c>
      <c r="J93" s="2" t="n">
        <v>2</v>
      </c>
    </row>
    <row r="94" customFormat="false" ht="61.15" hidden="false" customHeight="false" outlineLevel="0" collapsed="false">
      <c r="A94" s="2" t="s">
        <v>1731</v>
      </c>
      <c r="B94" s="2" t="s">
        <v>8068</v>
      </c>
      <c r="C94" s="2" t="s">
        <v>1732</v>
      </c>
      <c r="D94" s="2" t="s">
        <v>1733</v>
      </c>
      <c r="E94" s="2" t="s">
        <v>1734</v>
      </c>
      <c r="F94" s="2" t="s">
        <v>1735</v>
      </c>
      <c r="G94" s="2" t="s">
        <v>20</v>
      </c>
      <c r="H94" s="2" t="s">
        <v>1736</v>
      </c>
      <c r="I94" s="2" t="s">
        <v>1186</v>
      </c>
      <c r="J94" s="2" t="n">
        <v>2</v>
      </c>
    </row>
    <row r="95" customFormat="false" ht="76.1" hidden="false" customHeight="false" outlineLevel="0" collapsed="false">
      <c r="A95" s="2" t="s">
        <v>1737</v>
      </c>
      <c r="B95" s="2" t="s">
        <v>8068</v>
      </c>
      <c r="C95" s="2" t="s">
        <v>1738</v>
      </c>
      <c r="D95" s="2" t="s">
        <v>1739</v>
      </c>
      <c r="E95" s="2" t="s">
        <v>1740</v>
      </c>
      <c r="F95" s="2" t="s">
        <v>1741</v>
      </c>
      <c r="G95" s="2" t="s">
        <v>20</v>
      </c>
      <c r="H95" s="2" t="s">
        <v>1742</v>
      </c>
      <c r="I95" s="2" t="s">
        <v>1186</v>
      </c>
      <c r="J95" s="2" t="n">
        <v>3</v>
      </c>
    </row>
    <row r="96" customFormat="false" ht="76.1" hidden="false" customHeight="false" outlineLevel="0" collapsed="false">
      <c r="A96" s="2" t="s">
        <v>1743</v>
      </c>
      <c r="B96" s="2" t="s">
        <v>8068</v>
      </c>
      <c r="C96" s="2" t="s">
        <v>1744</v>
      </c>
      <c r="D96" s="2" t="s">
        <v>1745</v>
      </c>
      <c r="E96" s="2" t="s">
        <v>1746</v>
      </c>
      <c r="F96" s="2" t="s">
        <v>1747</v>
      </c>
      <c r="G96" s="2" t="s">
        <v>20</v>
      </c>
      <c r="H96" s="2" t="s">
        <v>1748</v>
      </c>
      <c r="I96" s="2" t="s">
        <v>1186</v>
      </c>
      <c r="J96" s="2" t="n">
        <v>3</v>
      </c>
    </row>
    <row r="97" customFormat="false" ht="76.1" hidden="false" customHeight="false" outlineLevel="0" collapsed="false">
      <c r="A97" s="2" t="s">
        <v>1749</v>
      </c>
      <c r="B97" s="2" t="s">
        <v>8068</v>
      </c>
      <c r="C97" s="2" t="s">
        <v>1750</v>
      </c>
      <c r="D97" s="2" t="s">
        <v>1751</v>
      </c>
      <c r="E97" s="2" t="s">
        <v>1752</v>
      </c>
      <c r="F97" s="2" t="s">
        <v>1753</v>
      </c>
      <c r="G97" s="2" t="s">
        <v>20</v>
      </c>
      <c r="H97" s="2" t="s">
        <v>1754</v>
      </c>
      <c r="I97" s="2" t="s">
        <v>1186</v>
      </c>
      <c r="J97" s="2" t="n">
        <v>3</v>
      </c>
    </row>
    <row r="98" customFormat="false" ht="91" hidden="false" customHeight="false" outlineLevel="0" collapsed="false">
      <c r="A98" s="2" t="s">
        <v>1755</v>
      </c>
      <c r="B98" s="2" t="s">
        <v>8068</v>
      </c>
      <c r="C98" s="2" t="s">
        <v>1756</v>
      </c>
      <c r="D98" s="2" t="s">
        <v>1757</v>
      </c>
      <c r="E98" s="2" t="s">
        <v>1758</v>
      </c>
      <c r="F98" s="2" t="s">
        <v>1759</v>
      </c>
      <c r="G98" s="2" t="s">
        <v>20</v>
      </c>
      <c r="H98" s="2" t="s">
        <v>1760</v>
      </c>
      <c r="I98" s="2" t="s">
        <v>1186</v>
      </c>
      <c r="J98" s="2" t="n">
        <v>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customHeight="false"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45"/>
    <col collapsed="false" customWidth="true" hidden="false" outlineLevel="0" max="6" min="4" style="0" width="32"/>
    <col collapsed="false" customWidth="true" hidden="false" outlineLevel="0" max="7" min="7" style="0" width="9"/>
    <col collapsed="false" customWidth="true" hidden="false" outlineLevel="0" max="8" min="8" style="0" width="42"/>
    <col collapsed="false" customWidth="true" hidden="false" outlineLevel="0" max="9" min="9" style="0" width="20"/>
    <col collapsed="false" customWidth="true" hidden="false" outlineLevel="0" max="10" min="10" style="0" width="10"/>
  </cols>
  <sheetData>
    <row r="1" customFormat="false" ht="16.4" hidden="false" customHeight="false" outlineLevel="0" collapsed="false">
      <c r="A1" s="1" t="s">
        <v>0</v>
      </c>
      <c r="B1" s="1" t="s">
        <v>8067</v>
      </c>
      <c r="C1" s="1" t="s">
        <v>3</v>
      </c>
      <c r="D1" s="1" t="s">
        <v>4</v>
      </c>
      <c r="E1" s="1" t="s">
        <v>5</v>
      </c>
      <c r="F1" s="1" t="s">
        <v>6</v>
      </c>
      <c r="G1" s="1" t="s">
        <v>7</v>
      </c>
      <c r="H1" s="1" t="s">
        <v>8</v>
      </c>
      <c r="I1" s="1" t="s">
        <v>9</v>
      </c>
      <c r="J1" s="1" t="s">
        <v>11</v>
      </c>
    </row>
    <row r="2" customFormat="false" ht="46.25" hidden="false" customHeight="false" outlineLevel="0" collapsed="false">
      <c r="A2" s="2" t="s">
        <v>1761</v>
      </c>
      <c r="B2" s="2" t="s">
        <v>8069</v>
      </c>
      <c r="C2" s="2" t="s">
        <v>1763</v>
      </c>
      <c r="D2" s="2" t="s">
        <v>1764</v>
      </c>
      <c r="E2" s="2" t="s">
        <v>1765</v>
      </c>
      <c r="F2" s="2" t="s">
        <v>1766</v>
      </c>
      <c r="G2" s="2" t="s">
        <v>20</v>
      </c>
      <c r="H2" s="2" t="s">
        <v>1767</v>
      </c>
      <c r="I2" s="2" t="s">
        <v>1762</v>
      </c>
      <c r="J2" s="2" t="n">
        <v>1</v>
      </c>
    </row>
    <row r="3" customFormat="false" ht="46.25" hidden="false" customHeight="false" outlineLevel="0" collapsed="false">
      <c r="A3" s="2" t="s">
        <v>1768</v>
      </c>
      <c r="B3" s="2" t="s">
        <v>8069</v>
      </c>
      <c r="C3" s="2" t="s">
        <v>1769</v>
      </c>
      <c r="D3" s="2" t="s">
        <v>1770</v>
      </c>
      <c r="E3" s="2" t="s">
        <v>1771</v>
      </c>
      <c r="F3" s="2" t="s">
        <v>1772</v>
      </c>
      <c r="G3" s="2" t="s">
        <v>20</v>
      </c>
      <c r="H3" s="2" t="s">
        <v>1773</v>
      </c>
      <c r="I3" s="2" t="s">
        <v>1774</v>
      </c>
      <c r="J3" s="2" t="n">
        <v>1</v>
      </c>
    </row>
    <row r="4" customFormat="false" ht="46.25" hidden="false" customHeight="false" outlineLevel="0" collapsed="false">
      <c r="A4" s="2" t="s">
        <v>1775</v>
      </c>
      <c r="B4" s="2" t="s">
        <v>8069</v>
      </c>
      <c r="C4" s="2" t="s">
        <v>1776</v>
      </c>
      <c r="D4" s="2" t="s">
        <v>1777</v>
      </c>
      <c r="E4" s="2" t="s">
        <v>1778</v>
      </c>
      <c r="F4" s="2" t="s">
        <v>1779</v>
      </c>
      <c r="G4" s="2" t="s">
        <v>20</v>
      </c>
      <c r="H4" s="2" t="s">
        <v>1780</v>
      </c>
      <c r="I4" s="2" t="s">
        <v>1774</v>
      </c>
      <c r="J4" s="2" t="n">
        <v>1</v>
      </c>
    </row>
    <row r="5" customFormat="false" ht="46.25" hidden="false" customHeight="false" outlineLevel="0" collapsed="false">
      <c r="A5" s="2" t="s">
        <v>1781</v>
      </c>
      <c r="B5" s="2" t="s">
        <v>8069</v>
      </c>
      <c r="C5" s="2" t="s">
        <v>1782</v>
      </c>
      <c r="D5" s="2" t="s">
        <v>1783</v>
      </c>
      <c r="E5" s="2" t="s">
        <v>1784</v>
      </c>
      <c r="F5" s="2" t="s">
        <v>1785</v>
      </c>
      <c r="G5" s="2" t="s">
        <v>20</v>
      </c>
      <c r="H5" s="2" t="s">
        <v>1786</v>
      </c>
      <c r="I5" s="2" t="s">
        <v>1774</v>
      </c>
      <c r="J5" s="2" t="n">
        <v>2</v>
      </c>
    </row>
    <row r="6" customFormat="false" ht="46.25" hidden="false" customHeight="false" outlineLevel="0" collapsed="false">
      <c r="A6" s="2" t="s">
        <v>1787</v>
      </c>
      <c r="B6" s="2" t="s">
        <v>8068</v>
      </c>
      <c r="C6" s="2" t="s">
        <v>1788</v>
      </c>
      <c r="D6" s="2" t="s">
        <v>1789</v>
      </c>
      <c r="E6" s="2" t="s">
        <v>1790</v>
      </c>
      <c r="F6" s="2" t="s">
        <v>1791</v>
      </c>
      <c r="G6" s="2" t="s">
        <v>20</v>
      </c>
      <c r="H6" s="2" t="s">
        <v>1792</v>
      </c>
      <c r="I6" s="2" t="s">
        <v>1774</v>
      </c>
      <c r="J6" s="2" t="n">
        <v>3</v>
      </c>
    </row>
    <row r="7" customFormat="false" ht="76.1" hidden="false" customHeight="false" outlineLevel="0" collapsed="false">
      <c r="A7" s="2" t="s">
        <v>1793</v>
      </c>
      <c r="B7" s="2" t="s">
        <v>8068</v>
      </c>
      <c r="C7" s="2" t="s">
        <v>1794</v>
      </c>
      <c r="D7" s="2" t="s">
        <v>1795</v>
      </c>
      <c r="E7" s="2" t="s">
        <v>1796</v>
      </c>
      <c r="F7" s="2" t="s">
        <v>1797</v>
      </c>
      <c r="G7" s="2" t="s">
        <v>20</v>
      </c>
      <c r="H7" s="2" t="s">
        <v>1798</v>
      </c>
      <c r="I7" s="2" t="s">
        <v>1774</v>
      </c>
      <c r="J7" s="2" t="n">
        <v>3</v>
      </c>
    </row>
    <row r="8" customFormat="false" ht="61.15" hidden="false" customHeight="false" outlineLevel="0" collapsed="false">
      <c r="A8" s="2" t="s">
        <v>1799</v>
      </c>
      <c r="B8" s="2" t="s">
        <v>8069</v>
      </c>
      <c r="C8" s="2" t="s">
        <v>1800</v>
      </c>
      <c r="D8" s="2" t="s">
        <v>1801</v>
      </c>
      <c r="E8" s="2" t="s">
        <v>1802</v>
      </c>
      <c r="F8" s="2" t="s">
        <v>1803</v>
      </c>
      <c r="G8" s="2" t="s">
        <v>20</v>
      </c>
      <c r="H8" s="2" t="s">
        <v>1804</v>
      </c>
      <c r="I8" s="2" t="s">
        <v>1774</v>
      </c>
      <c r="J8" s="2" t="n">
        <v>3</v>
      </c>
    </row>
    <row r="9" customFormat="false" ht="61.15" hidden="false" customHeight="false" outlineLevel="0" collapsed="false">
      <c r="A9" s="2" t="s">
        <v>1805</v>
      </c>
      <c r="B9" s="2" t="s">
        <v>8069</v>
      </c>
      <c r="C9" s="2" t="s">
        <v>1806</v>
      </c>
      <c r="D9" s="2" t="s">
        <v>1807</v>
      </c>
      <c r="E9" s="2" t="s">
        <v>1808</v>
      </c>
      <c r="F9" s="2" t="s">
        <v>1809</v>
      </c>
      <c r="G9" s="2" t="s">
        <v>20</v>
      </c>
      <c r="H9" s="2" t="s">
        <v>1810</v>
      </c>
      <c r="I9" s="2" t="s">
        <v>1774</v>
      </c>
      <c r="J9" s="2" t="n">
        <v>2</v>
      </c>
    </row>
    <row r="10" customFormat="false" ht="61.15" hidden="false" customHeight="false" outlineLevel="0" collapsed="false">
      <c r="A10" s="2" t="s">
        <v>1811</v>
      </c>
      <c r="B10" s="2" t="s">
        <v>8068</v>
      </c>
      <c r="C10" s="2" t="s">
        <v>1812</v>
      </c>
      <c r="D10" s="2" t="s">
        <v>1813</v>
      </c>
      <c r="E10" s="2" t="s">
        <v>1814</v>
      </c>
      <c r="F10" s="2" t="s">
        <v>1815</v>
      </c>
      <c r="G10" s="2" t="s">
        <v>20</v>
      </c>
      <c r="H10" s="2" t="s">
        <v>1816</v>
      </c>
      <c r="I10" s="2" t="s">
        <v>1774</v>
      </c>
      <c r="J10" s="2" t="n">
        <v>3</v>
      </c>
    </row>
    <row r="11" customFormat="false" ht="46.25" hidden="false" customHeight="false" outlineLevel="0" collapsed="false">
      <c r="A11" s="2" t="s">
        <v>1817</v>
      </c>
      <c r="B11" s="2" t="s">
        <v>8069</v>
      </c>
      <c r="C11" s="2" t="s">
        <v>1818</v>
      </c>
      <c r="D11" s="2" t="s">
        <v>1408</v>
      </c>
      <c r="E11" s="2" t="s">
        <v>1819</v>
      </c>
      <c r="F11" s="2" t="s">
        <v>1820</v>
      </c>
      <c r="G11" s="2" t="s">
        <v>20</v>
      </c>
      <c r="H11" s="2" t="s">
        <v>1821</v>
      </c>
      <c r="I11" s="2" t="s">
        <v>1774</v>
      </c>
      <c r="J11" s="2" t="n">
        <v>2</v>
      </c>
    </row>
    <row r="12" customFormat="false" ht="46.25" hidden="false" customHeight="false" outlineLevel="0" collapsed="false">
      <c r="A12" s="2" t="s">
        <v>1822</v>
      </c>
      <c r="B12" s="2" t="s">
        <v>8068</v>
      </c>
      <c r="C12" s="2" t="s">
        <v>1823</v>
      </c>
      <c r="D12" s="2" t="s">
        <v>1824</v>
      </c>
      <c r="E12" s="2" t="s">
        <v>1825</v>
      </c>
      <c r="F12" s="2" t="s">
        <v>1826</v>
      </c>
      <c r="G12" s="2" t="s">
        <v>20</v>
      </c>
      <c r="H12" s="2" t="s">
        <v>1827</v>
      </c>
      <c r="I12" s="2" t="s">
        <v>1828</v>
      </c>
      <c r="J12" s="2" t="n">
        <v>1</v>
      </c>
    </row>
    <row r="13" customFormat="false" ht="105.95" hidden="false" customHeight="false" outlineLevel="0" collapsed="false">
      <c r="A13" s="2" t="s">
        <v>1829</v>
      </c>
      <c r="B13" s="2" t="s">
        <v>8068</v>
      </c>
      <c r="C13" s="2" t="s">
        <v>1830</v>
      </c>
      <c r="D13" s="2" t="s">
        <v>1831</v>
      </c>
      <c r="E13" s="2" t="s">
        <v>1832</v>
      </c>
      <c r="F13" s="2" t="s">
        <v>1833</v>
      </c>
      <c r="G13" s="2" t="s">
        <v>20</v>
      </c>
      <c r="H13" s="2" t="s">
        <v>1834</v>
      </c>
      <c r="I13" s="2" t="s">
        <v>1828</v>
      </c>
      <c r="J13" s="2" t="n">
        <v>3</v>
      </c>
    </row>
    <row r="14" customFormat="false" ht="61.15" hidden="false" customHeight="false" outlineLevel="0" collapsed="false">
      <c r="A14" s="2" t="s">
        <v>1835</v>
      </c>
      <c r="B14" s="2" t="s">
        <v>8069</v>
      </c>
      <c r="C14" s="2" t="s">
        <v>1836</v>
      </c>
      <c r="D14" s="2" t="s">
        <v>1837</v>
      </c>
      <c r="E14" s="2" t="s">
        <v>1838</v>
      </c>
      <c r="F14" s="2" t="s">
        <v>1839</v>
      </c>
      <c r="G14" s="2" t="s">
        <v>20</v>
      </c>
      <c r="H14" s="2" t="s">
        <v>1840</v>
      </c>
      <c r="I14" s="2" t="s">
        <v>1828</v>
      </c>
      <c r="J14" s="2" t="n">
        <v>2</v>
      </c>
    </row>
    <row r="15" customFormat="false" ht="61.15" hidden="false" customHeight="false" outlineLevel="0" collapsed="false">
      <c r="A15" s="2" t="s">
        <v>1841</v>
      </c>
      <c r="B15" s="2" t="s">
        <v>8069</v>
      </c>
      <c r="C15" s="2" t="s">
        <v>1842</v>
      </c>
      <c r="D15" s="2" t="s">
        <v>1843</v>
      </c>
      <c r="E15" s="2" t="s">
        <v>1844</v>
      </c>
      <c r="F15" s="2" t="s">
        <v>1845</v>
      </c>
      <c r="G15" s="2" t="s">
        <v>20</v>
      </c>
      <c r="H15" s="2" t="s">
        <v>1846</v>
      </c>
      <c r="I15" s="2" t="s">
        <v>1847</v>
      </c>
      <c r="J15" s="2" t="n">
        <v>2</v>
      </c>
    </row>
    <row r="16" customFormat="false" ht="61.15" hidden="false" customHeight="false" outlineLevel="0" collapsed="false">
      <c r="A16" s="2" t="s">
        <v>1848</v>
      </c>
      <c r="B16" s="2" t="s">
        <v>8068</v>
      </c>
      <c r="C16" s="2" t="s">
        <v>1849</v>
      </c>
      <c r="D16" s="2" t="s">
        <v>1850</v>
      </c>
      <c r="E16" s="2" t="s">
        <v>1851</v>
      </c>
      <c r="F16" s="2" t="s">
        <v>1852</v>
      </c>
      <c r="G16" s="2" t="s">
        <v>20</v>
      </c>
      <c r="H16" s="2" t="s">
        <v>1853</v>
      </c>
      <c r="I16" s="2" t="s">
        <v>1854</v>
      </c>
      <c r="J16" s="2" t="n">
        <v>2</v>
      </c>
    </row>
    <row r="17" customFormat="false" ht="105.95" hidden="false" customHeight="false" outlineLevel="0" collapsed="false">
      <c r="A17" s="2" t="s">
        <v>1855</v>
      </c>
      <c r="B17" s="2" t="s">
        <v>8069</v>
      </c>
      <c r="C17" s="2" t="s">
        <v>1856</v>
      </c>
      <c r="D17" s="2" t="s">
        <v>1857</v>
      </c>
      <c r="E17" s="2" t="s">
        <v>1858</v>
      </c>
      <c r="F17" s="2" t="s">
        <v>1859</v>
      </c>
      <c r="G17" s="2" t="s">
        <v>20</v>
      </c>
      <c r="H17" s="2" t="s">
        <v>1860</v>
      </c>
      <c r="I17" s="2" t="s">
        <v>1774</v>
      </c>
      <c r="J17" s="2" t="n">
        <v>2</v>
      </c>
    </row>
    <row r="18" customFormat="false" ht="61.15" hidden="false" customHeight="false" outlineLevel="0" collapsed="false">
      <c r="A18" s="2" t="s">
        <v>1861</v>
      </c>
      <c r="B18" s="2" t="s">
        <v>8068</v>
      </c>
      <c r="C18" s="2" t="s">
        <v>1862</v>
      </c>
      <c r="D18" s="2" t="s">
        <v>1863</v>
      </c>
      <c r="E18" s="2" t="s">
        <v>1864</v>
      </c>
      <c r="F18" s="2" t="s">
        <v>1865</v>
      </c>
      <c r="G18" s="2" t="s">
        <v>20</v>
      </c>
      <c r="H18" s="2" t="s">
        <v>1866</v>
      </c>
      <c r="I18" s="2" t="s">
        <v>1762</v>
      </c>
      <c r="J18" s="2" t="n">
        <v>1</v>
      </c>
    </row>
    <row r="19" customFormat="false" ht="61.15" hidden="false" customHeight="false" outlineLevel="0" collapsed="false">
      <c r="A19" s="2" t="s">
        <v>1867</v>
      </c>
      <c r="B19" s="2" t="s">
        <v>8069</v>
      </c>
      <c r="C19" s="2" t="s">
        <v>1868</v>
      </c>
      <c r="D19" s="2" t="s">
        <v>1869</v>
      </c>
      <c r="E19" s="2" t="s">
        <v>1870</v>
      </c>
      <c r="F19" s="2" t="s">
        <v>1871</v>
      </c>
      <c r="G19" s="2" t="s">
        <v>20</v>
      </c>
      <c r="H19" s="2" t="s">
        <v>1872</v>
      </c>
      <c r="I19" s="2" t="s">
        <v>1762</v>
      </c>
      <c r="J19" s="2" t="n">
        <v>2</v>
      </c>
    </row>
    <row r="20" customFormat="false" ht="46.25" hidden="false" customHeight="false" outlineLevel="0" collapsed="false">
      <c r="A20" s="2" t="s">
        <v>1873</v>
      </c>
      <c r="B20" s="2" t="s">
        <v>8068</v>
      </c>
      <c r="C20" s="2" t="s">
        <v>1874</v>
      </c>
      <c r="D20" s="2" t="s">
        <v>1875</v>
      </c>
      <c r="E20" s="2" t="s">
        <v>1876</v>
      </c>
      <c r="F20" s="2" t="s">
        <v>1877</v>
      </c>
      <c r="G20" s="2" t="s">
        <v>20</v>
      </c>
      <c r="H20" s="2" t="s">
        <v>1878</v>
      </c>
      <c r="I20" s="2" t="s">
        <v>1762</v>
      </c>
      <c r="J20" s="2" t="n">
        <v>2</v>
      </c>
    </row>
    <row r="21" customFormat="false" ht="46.25" hidden="false" customHeight="false" outlineLevel="0" collapsed="false">
      <c r="A21" s="2" t="s">
        <v>1879</v>
      </c>
      <c r="B21" s="2" t="s">
        <v>8068</v>
      </c>
      <c r="C21" s="2" t="s">
        <v>1880</v>
      </c>
      <c r="D21" s="2" t="s">
        <v>1881</v>
      </c>
      <c r="E21" s="2" t="s">
        <v>1882</v>
      </c>
      <c r="F21" s="2" t="s">
        <v>1883</v>
      </c>
      <c r="G21" s="2" t="s">
        <v>20</v>
      </c>
      <c r="H21" s="2" t="s">
        <v>1884</v>
      </c>
      <c r="I21" s="2" t="s">
        <v>1762</v>
      </c>
      <c r="J21" s="2" t="n">
        <v>1</v>
      </c>
    </row>
    <row r="22" customFormat="false" ht="46.25" hidden="false" customHeight="false" outlineLevel="0" collapsed="false">
      <c r="A22" s="2" t="s">
        <v>1885</v>
      </c>
      <c r="B22" s="2" t="s">
        <v>8068</v>
      </c>
      <c r="C22" s="2" t="s">
        <v>1886</v>
      </c>
      <c r="D22" s="2" t="s">
        <v>1887</v>
      </c>
      <c r="E22" s="2" t="s">
        <v>1888</v>
      </c>
      <c r="F22" s="2" t="s">
        <v>1889</v>
      </c>
      <c r="G22" s="2" t="s">
        <v>20</v>
      </c>
      <c r="H22" s="2" t="s">
        <v>1890</v>
      </c>
      <c r="I22" s="2" t="s">
        <v>1762</v>
      </c>
      <c r="J22" s="2" t="n">
        <v>1</v>
      </c>
    </row>
    <row r="23" customFormat="false" ht="61.15" hidden="false" customHeight="false" outlineLevel="0" collapsed="false">
      <c r="A23" s="2" t="s">
        <v>1891</v>
      </c>
      <c r="B23" s="2" t="s">
        <v>8069</v>
      </c>
      <c r="C23" s="2" t="s">
        <v>1892</v>
      </c>
      <c r="D23" s="2" t="s">
        <v>1893</v>
      </c>
      <c r="E23" s="2" t="s">
        <v>1894</v>
      </c>
      <c r="F23" s="2" t="s">
        <v>1895</v>
      </c>
      <c r="G23" s="2" t="s">
        <v>20</v>
      </c>
      <c r="H23" s="2" t="s">
        <v>1896</v>
      </c>
      <c r="I23" s="2" t="s">
        <v>1762</v>
      </c>
      <c r="J23" s="2" t="n">
        <v>2</v>
      </c>
    </row>
    <row r="24" customFormat="false" ht="46.25" hidden="false" customHeight="false" outlineLevel="0" collapsed="false">
      <c r="A24" s="2" t="s">
        <v>1897</v>
      </c>
      <c r="B24" s="2" t="s">
        <v>8068</v>
      </c>
      <c r="C24" s="2" t="s">
        <v>1898</v>
      </c>
      <c r="D24" s="2" t="s">
        <v>1899</v>
      </c>
      <c r="E24" s="2" t="s">
        <v>1900</v>
      </c>
      <c r="F24" s="2" t="s">
        <v>1901</v>
      </c>
      <c r="G24" s="2" t="s">
        <v>20</v>
      </c>
      <c r="H24" s="2" t="s">
        <v>1902</v>
      </c>
      <c r="I24" s="2" t="s">
        <v>1762</v>
      </c>
      <c r="J24" s="2" t="n">
        <v>2</v>
      </c>
    </row>
    <row r="25" customFormat="false" ht="46.25" hidden="false" customHeight="false" outlineLevel="0" collapsed="false">
      <c r="A25" s="2" t="s">
        <v>1903</v>
      </c>
      <c r="B25" s="2" t="s">
        <v>8069</v>
      </c>
      <c r="C25" s="2" t="s">
        <v>1904</v>
      </c>
      <c r="D25" s="2" t="s">
        <v>1905</v>
      </c>
      <c r="E25" s="2" t="s">
        <v>1906</v>
      </c>
      <c r="F25" s="2" t="s">
        <v>1907</v>
      </c>
      <c r="G25" s="2" t="s">
        <v>20</v>
      </c>
      <c r="H25" s="2" t="s">
        <v>1908</v>
      </c>
      <c r="I25" s="2" t="s">
        <v>1762</v>
      </c>
      <c r="J25" s="2" t="n">
        <v>2</v>
      </c>
    </row>
    <row r="26" customFormat="false" ht="46.25" hidden="false" customHeight="false" outlineLevel="0" collapsed="false">
      <c r="A26" s="2" t="s">
        <v>1909</v>
      </c>
      <c r="B26" s="2" t="s">
        <v>8068</v>
      </c>
      <c r="C26" s="2" t="s">
        <v>1910</v>
      </c>
      <c r="D26" s="2" t="s">
        <v>1911</v>
      </c>
      <c r="E26" s="2" t="s">
        <v>1912</v>
      </c>
      <c r="F26" s="2" t="s">
        <v>1913</v>
      </c>
      <c r="G26" s="2" t="s">
        <v>20</v>
      </c>
      <c r="H26" s="2" t="s">
        <v>1914</v>
      </c>
      <c r="I26" s="2" t="s">
        <v>1762</v>
      </c>
      <c r="J26" s="2" t="n">
        <v>1</v>
      </c>
    </row>
    <row r="27" customFormat="false" ht="61.15" hidden="false" customHeight="false" outlineLevel="0" collapsed="false">
      <c r="A27" s="2" t="s">
        <v>1915</v>
      </c>
      <c r="B27" s="2" t="s">
        <v>8069</v>
      </c>
      <c r="C27" s="2" t="s">
        <v>1916</v>
      </c>
      <c r="D27" s="2" t="s">
        <v>1917</v>
      </c>
      <c r="E27" s="2" t="s">
        <v>1918</v>
      </c>
      <c r="F27" s="2" t="s">
        <v>1919</v>
      </c>
      <c r="G27" s="2" t="s">
        <v>20</v>
      </c>
      <c r="H27" s="2" t="s">
        <v>1920</v>
      </c>
      <c r="I27" s="2" t="s">
        <v>1762</v>
      </c>
      <c r="J27" s="2" t="n">
        <v>2</v>
      </c>
    </row>
    <row r="28" customFormat="false" ht="76.1" hidden="false" customHeight="false" outlineLevel="0" collapsed="false">
      <c r="A28" s="2" t="s">
        <v>1921</v>
      </c>
      <c r="B28" s="2" t="s">
        <v>8068</v>
      </c>
      <c r="C28" s="2" t="s">
        <v>1922</v>
      </c>
      <c r="D28" s="2" t="s">
        <v>1923</v>
      </c>
      <c r="E28" s="2" t="s">
        <v>1924</v>
      </c>
      <c r="F28" s="2" t="s">
        <v>1925</v>
      </c>
      <c r="G28" s="2" t="s">
        <v>20</v>
      </c>
      <c r="H28" s="2" t="s">
        <v>1926</v>
      </c>
      <c r="I28" s="2" t="s">
        <v>1927</v>
      </c>
      <c r="J28" s="2" t="n">
        <v>2</v>
      </c>
    </row>
    <row r="29" customFormat="false" ht="61.15" hidden="false" customHeight="false" outlineLevel="0" collapsed="false">
      <c r="A29" s="2" t="s">
        <v>1928</v>
      </c>
      <c r="B29" s="2" t="s">
        <v>8068</v>
      </c>
      <c r="C29" s="2" t="s">
        <v>1929</v>
      </c>
      <c r="D29" s="2" t="s">
        <v>1930</v>
      </c>
      <c r="E29" s="2" t="s">
        <v>1931</v>
      </c>
      <c r="F29" s="2" t="s">
        <v>1932</v>
      </c>
      <c r="G29" s="2" t="s">
        <v>20</v>
      </c>
      <c r="H29" s="2" t="s">
        <v>1933</v>
      </c>
      <c r="I29" s="2" t="s">
        <v>1762</v>
      </c>
      <c r="J29" s="2" t="n">
        <v>2</v>
      </c>
    </row>
    <row r="30" customFormat="false" ht="61.15" hidden="false" customHeight="false" outlineLevel="0" collapsed="false">
      <c r="A30" s="2" t="s">
        <v>1934</v>
      </c>
      <c r="B30" s="2" t="s">
        <v>8068</v>
      </c>
      <c r="C30" s="2" t="s">
        <v>1935</v>
      </c>
      <c r="D30" s="2" t="s">
        <v>1936</v>
      </c>
      <c r="E30" s="2" t="s">
        <v>1937</v>
      </c>
      <c r="F30" s="2" t="s">
        <v>1938</v>
      </c>
      <c r="G30" s="2" t="s">
        <v>20</v>
      </c>
      <c r="H30" s="2" t="s">
        <v>1939</v>
      </c>
      <c r="I30" s="2" t="s">
        <v>1762</v>
      </c>
      <c r="J30" s="2" t="n">
        <v>3</v>
      </c>
    </row>
    <row r="31" customFormat="false" ht="76.1" hidden="false" customHeight="false" outlineLevel="0" collapsed="false">
      <c r="A31" s="2" t="s">
        <v>1940</v>
      </c>
      <c r="B31" s="2" t="s">
        <v>8068</v>
      </c>
      <c r="C31" s="2" t="s">
        <v>1941</v>
      </c>
      <c r="D31" s="2" t="s">
        <v>1942</v>
      </c>
      <c r="E31" s="2" t="s">
        <v>1943</v>
      </c>
      <c r="F31" s="2" t="s">
        <v>1944</v>
      </c>
      <c r="G31" s="2" t="s">
        <v>20</v>
      </c>
      <c r="H31" s="2" t="s">
        <v>1945</v>
      </c>
      <c r="I31" s="2" t="s">
        <v>1762</v>
      </c>
      <c r="J31" s="2" t="n">
        <v>3</v>
      </c>
    </row>
    <row r="32" customFormat="false" ht="61.15" hidden="false" customHeight="false" outlineLevel="0" collapsed="false">
      <c r="A32" s="2" t="s">
        <v>1946</v>
      </c>
      <c r="B32" s="2" t="s">
        <v>8068</v>
      </c>
      <c r="C32" s="2" t="s">
        <v>1947</v>
      </c>
      <c r="D32" s="2" t="s">
        <v>1948</v>
      </c>
      <c r="E32" s="2" t="s">
        <v>1949</v>
      </c>
      <c r="F32" s="2" t="s">
        <v>1950</v>
      </c>
      <c r="G32" s="2" t="s">
        <v>20</v>
      </c>
      <c r="H32" s="2" t="s">
        <v>1951</v>
      </c>
      <c r="I32" s="2" t="s">
        <v>1762</v>
      </c>
      <c r="J32" s="2" t="n">
        <v>3</v>
      </c>
    </row>
    <row r="33" customFormat="false" ht="91" hidden="false" customHeight="false" outlineLevel="0" collapsed="false">
      <c r="A33" s="2" t="s">
        <v>1952</v>
      </c>
      <c r="B33" s="2" t="s">
        <v>8068</v>
      </c>
      <c r="C33" s="2" t="s">
        <v>1953</v>
      </c>
      <c r="D33" s="2" t="s">
        <v>1954</v>
      </c>
      <c r="E33" s="2" t="s">
        <v>1955</v>
      </c>
      <c r="F33" s="2" t="s">
        <v>1956</v>
      </c>
      <c r="G33" s="2" t="s">
        <v>20</v>
      </c>
      <c r="H33" s="2" t="s">
        <v>1957</v>
      </c>
      <c r="I33" s="2" t="s">
        <v>1762</v>
      </c>
      <c r="J33" s="2" t="n">
        <v>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8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customHeight="false"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45"/>
    <col collapsed="false" customWidth="true" hidden="false" outlineLevel="0" max="6" min="4" style="0" width="32"/>
    <col collapsed="false" customWidth="true" hidden="false" outlineLevel="0" max="7" min="7" style="0" width="9"/>
    <col collapsed="false" customWidth="true" hidden="false" outlineLevel="0" max="8" min="8" style="0" width="42"/>
    <col collapsed="false" customWidth="true" hidden="false" outlineLevel="0" max="9" min="9" style="0" width="20"/>
    <col collapsed="false" customWidth="true" hidden="false" outlineLevel="0" max="10" min="10" style="0" width="10"/>
  </cols>
  <sheetData>
    <row r="1" customFormat="false" ht="16.4" hidden="false" customHeight="false" outlineLevel="0" collapsed="false">
      <c r="A1" s="1" t="s">
        <v>0</v>
      </c>
      <c r="B1" s="1" t="s">
        <v>8067</v>
      </c>
      <c r="C1" s="1" t="s">
        <v>3</v>
      </c>
      <c r="D1" s="1" t="s">
        <v>4</v>
      </c>
      <c r="E1" s="1" t="s">
        <v>5</v>
      </c>
      <c r="F1" s="1" t="s">
        <v>6</v>
      </c>
      <c r="G1" s="1" t="s">
        <v>7</v>
      </c>
      <c r="H1" s="1" t="s">
        <v>8</v>
      </c>
      <c r="I1" s="1" t="s">
        <v>9</v>
      </c>
      <c r="J1" s="1" t="s">
        <v>11</v>
      </c>
    </row>
    <row r="2" customFormat="false" ht="76.1" hidden="false" customHeight="false" outlineLevel="0" collapsed="false">
      <c r="A2" s="2" t="s">
        <v>1958</v>
      </c>
      <c r="B2" s="2" t="s">
        <v>8068</v>
      </c>
      <c r="C2" s="2" t="s">
        <v>1960</v>
      </c>
      <c r="D2" s="2" t="s">
        <v>1961</v>
      </c>
      <c r="E2" s="2" t="s">
        <v>1962</v>
      </c>
      <c r="F2" s="2" t="s">
        <v>1963</v>
      </c>
      <c r="G2" s="2" t="s">
        <v>20</v>
      </c>
      <c r="H2" s="2" t="s">
        <v>1964</v>
      </c>
      <c r="I2" s="2" t="s">
        <v>1959</v>
      </c>
      <c r="J2" s="2" t="n">
        <v>4</v>
      </c>
    </row>
    <row r="3" customFormat="false" ht="46.25" hidden="false" customHeight="false" outlineLevel="0" collapsed="false">
      <c r="A3" s="2" t="s">
        <v>1965</v>
      </c>
      <c r="B3" s="2" t="s">
        <v>8068</v>
      </c>
      <c r="C3" s="2" t="s">
        <v>1966</v>
      </c>
      <c r="D3" s="2" t="s">
        <v>1967</v>
      </c>
      <c r="E3" s="2" t="s">
        <v>1968</v>
      </c>
      <c r="F3" s="2" t="s">
        <v>1969</v>
      </c>
      <c r="G3" s="2" t="s">
        <v>226</v>
      </c>
      <c r="H3" s="2" t="s">
        <v>1970</v>
      </c>
      <c r="I3" s="2" t="s">
        <v>1959</v>
      </c>
      <c r="J3" s="2" t="n">
        <v>2</v>
      </c>
    </row>
    <row r="4" customFormat="false" ht="76.1" hidden="false" customHeight="false" outlineLevel="0" collapsed="false">
      <c r="A4" s="2" t="s">
        <v>1971</v>
      </c>
      <c r="B4" s="2" t="s">
        <v>8068</v>
      </c>
      <c r="C4" s="2" t="s">
        <v>1972</v>
      </c>
      <c r="D4" s="2" t="s">
        <v>1973</v>
      </c>
      <c r="E4" s="2" t="s">
        <v>1974</v>
      </c>
      <c r="F4" s="2" t="s">
        <v>1975</v>
      </c>
      <c r="G4" s="2" t="s">
        <v>28</v>
      </c>
      <c r="H4" s="2" t="s">
        <v>1976</v>
      </c>
      <c r="I4" s="2" t="s">
        <v>1977</v>
      </c>
      <c r="J4" s="2" t="n">
        <v>4</v>
      </c>
    </row>
    <row r="5" customFormat="false" ht="61.15" hidden="false" customHeight="false" outlineLevel="0" collapsed="false">
      <c r="A5" s="2" t="s">
        <v>1978</v>
      </c>
      <c r="B5" s="2" t="s">
        <v>8068</v>
      </c>
      <c r="C5" s="2" t="s">
        <v>1979</v>
      </c>
      <c r="D5" s="2" t="s">
        <v>1980</v>
      </c>
      <c r="E5" s="2" t="s">
        <v>1981</v>
      </c>
      <c r="F5" s="2" t="s">
        <v>1982</v>
      </c>
      <c r="G5" s="2" t="s">
        <v>20</v>
      </c>
      <c r="H5" s="2" t="s">
        <v>1983</v>
      </c>
      <c r="I5" s="2" t="s">
        <v>1959</v>
      </c>
      <c r="J5" s="2" t="n">
        <v>3</v>
      </c>
    </row>
    <row r="6" customFormat="false" ht="61.15" hidden="false" customHeight="false" outlineLevel="0" collapsed="false">
      <c r="A6" s="2" t="s">
        <v>1984</v>
      </c>
      <c r="B6" s="2" t="s">
        <v>8068</v>
      </c>
      <c r="C6" s="2" t="s">
        <v>1985</v>
      </c>
      <c r="D6" s="2" t="s">
        <v>1986</v>
      </c>
      <c r="E6" s="2" t="s">
        <v>1987</v>
      </c>
      <c r="F6" s="2" t="s">
        <v>1988</v>
      </c>
      <c r="G6" s="2" t="s">
        <v>226</v>
      </c>
      <c r="H6" s="2" t="s">
        <v>1989</v>
      </c>
      <c r="I6" s="2" t="s">
        <v>1959</v>
      </c>
      <c r="J6" s="2" t="n">
        <v>3</v>
      </c>
    </row>
    <row r="7" customFormat="false" ht="61.15" hidden="false" customHeight="false" outlineLevel="0" collapsed="false">
      <c r="A7" s="2" t="s">
        <v>1990</v>
      </c>
      <c r="B7" s="2" t="s">
        <v>8068</v>
      </c>
      <c r="C7" s="2" t="s">
        <v>1991</v>
      </c>
      <c r="D7" s="2" t="s">
        <v>1992</v>
      </c>
      <c r="E7" s="2" t="s">
        <v>1993</v>
      </c>
      <c r="F7" s="2" t="s">
        <v>1994</v>
      </c>
      <c r="G7" s="2" t="s">
        <v>28</v>
      </c>
      <c r="H7" s="2" t="s">
        <v>1995</v>
      </c>
      <c r="I7" s="2" t="s">
        <v>1977</v>
      </c>
      <c r="J7" s="2" t="n">
        <v>2</v>
      </c>
    </row>
    <row r="8" customFormat="false" ht="46.25" hidden="false" customHeight="false" outlineLevel="0" collapsed="false">
      <c r="A8" s="2" t="s">
        <v>1996</v>
      </c>
      <c r="B8" s="2" t="s">
        <v>8069</v>
      </c>
      <c r="C8" s="2" t="s">
        <v>1997</v>
      </c>
      <c r="D8" s="2" t="s">
        <v>1998</v>
      </c>
      <c r="E8" s="2" t="s">
        <v>1999</v>
      </c>
      <c r="F8" s="2" t="s">
        <v>2000</v>
      </c>
      <c r="G8" s="2" t="s">
        <v>20</v>
      </c>
      <c r="H8" s="2" t="s">
        <v>2001</v>
      </c>
      <c r="I8" s="2" t="s">
        <v>1959</v>
      </c>
      <c r="J8" s="2" t="n">
        <v>1</v>
      </c>
    </row>
    <row r="9" customFormat="false" ht="76.1" hidden="false" customHeight="false" outlineLevel="0" collapsed="false">
      <c r="A9" s="2" t="s">
        <v>2002</v>
      </c>
      <c r="B9" s="2" t="s">
        <v>8068</v>
      </c>
      <c r="C9" s="2" t="s">
        <v>2003</v>
      </c>
      <c r="D9" s="2" t="s">
        <v>2004</v>
      </c>
      <c r="E9" s="2" t="s">
        <v>2005</v>
      </c>
      <c r="F9" s="2" t="s">
        <v>2006</v>
      </c>
      <c r="G9" s="2" t="s">
        <v>28</v>
      </c>
      <c r="H9" s="2" t="s">
        <v>2007</v>
      </c>
      <c r="I9" s="2" t="s">
        <v>1959</v>
      </c>
      <c r="J9" s="2" t="n">
        <v>3</v>
      </c>
    </row>
    <row r="10" customFormat="false" ht="61.15" hidden="false" customHeight="false" outlineLevel="0" collapsed="false">
      <c r="A10" s="2" t="s">
        <v>2008</v>
      </c>
      <c r="B10" s="2" t="s">
        <v>8069</v>
      </c>
      <c r="C10" s="2" t="s">
        <v>2009</v>
      </c>
      <c r="D10" s="2" t="s">
        <v>2010</v>
      </c>
      <c r="E10" s="2" t="s">
        <v>2011</v>
      </c>
      <c r="F10" s="2" t="s">
        <v>2012</v>
      </c>
      <c r="G10" s="2" t="s">
        <v>28</v>
      </c>
      <c r="H10" s="2" t="s">
        <v>2013</v>
      </c>
      <c r="I10" s="2" t="s">
        <v>1959</v>
      </c>
      <c r="J10" s="2" t="n">
        <v>2</v>
      </c>
    </row>
    <row r="11" customFormat="false" ht="91" hidden="false" customHeight="false" outlineLevel="0" collapsed="false">
      <c r="A11" s="2" t="s">
        <v>2014</v>
      </c>
      <c r="B11" s="2" t="s">
        <v>8068</v>
      </c>
      <c r="C11" s="2" t="s">
        <v>2015</v>
      </c>
      <c r="D11" s="2" t="s">
        <v>2016</v>
      </c>
      <c r="E11" s="2" t="s">
        <v>2017</v>
      </c>
      <c r="F11" s="2" t="s">
        <v>2018</v>
      </c>
      <c r="G11" s="2" t="s">
        <v>20</v>
      </c>
      <c r="H11" s="2" t="s">
        <v>2019</v>
      </c>
      <c r="I11" s="2" t="s">
        <v>2020</v>
      </c>
      <c r="J11" s="2" t="n">
        <v>3</v>
      </c>
    </row>
    <row r="12" customFormat="false" ht="61.15" hidden="false" customHeight="false" outlineLevel="0" collapsed="false">
      <c r="A12" s="2" t="s">
        <v>2021</v>
      </c>
      <c r="B12" s="2" t="s">
        <v>8068</v>
      </c>
      <c r="C12" s="2" t="s">
        <v>2022</v>
      </c>
      <c r="D12" s="2" t="s">
        <v>2023</v>
      </c>
      <c r="E12" s="2" t="s">
        <v>2024</v>
      </c>
      <c r="F12" s="2" t="s">
        <v>2025</v>
      </c>
      <c r="G12" s="2" t="s">
        <v>20</v>
      </c>
      <c r="H12" s="2" t="s">
        <v>2026</v>
      </c>
      <c r="I12" s="2" t="s">
        <v>2020</v>
      </c>
      <c r="J12" s="2" t="n">
        <v>3</v>
      </c>
    </row>
    <row r="13" customFormat="false" ht="76.1" hidden="false" customHeight="false" outlineLevel="0" collapsed="false">
      <c r="A13" s="2" t="s">
        <v>2034</v>
      </c>
      <c r="B13" s="2" t="s">
        <v>8068</v>
      </c>
      <c r="C13" s="2" t="s">
        <v>2035</v>
      </c>
      <c r="D13" s="2" t="s">
        <v>2036</v>
      </c>
      <c r="E13" s="2" t="s">
        <v>2037</v>
      </c>
      <c r="F13" s="2" t="s">
        <v>2038</v>
      </c>
      <c r="G13" s="2" t="s">
        <v>20</v>
      </c>
      <c r="H13" s="2" t="s">
        <v>2039</v>
      </c>
      <c r="I13" s="2" t="s">
        <v>1959</v>
      </c>
      <c r="J13" s="2" t="n">
        <v>2</v>
      </c>
    </row>
    <row r="14" customFormat="false" ht="76.1" hidden="false" customHeight="false" outlineLevel="0" collapsed="false">
      <c r="A14" s="2" t="s">
        <v>2040</v>
      </c>
      <c r="B14" s="2" t="s">
        <v>8068</v>
      </c>
      <c r="C14" s="2" t="s">
        <v>2041</v>
      </c>
      <c r="D14" s="2" t="s">
        <v>2042</v>
      </c>
      <c r="E14" s="2" t="s">
        <v>2043</v>
      </c>
      <c r="F14" s="2" t="s">
        <v>2044</v>
      </c>
      <c r="G14" s="2" t="s">
        <v>20</v>
      </c>
      <c r="H14" s="2" t="s">
        <v>2045</v>
      </c>
      <c r="I14" s="2" t="s">
        <v>2046</v>
      </c>
      <c r="J14" s="2" t="n">
        <v>3</v>
      </c>
    </row>
    <row r="15" customFormat="false" ht="76.1" hidden="false" customHeight="false" outlineLevel="0" collapsed="false">
      <c r="A15" s="2" t="s">
        <v>2047</v>
      </c>
      <c r="B15" s="2" t="s">
        <v>8068</v>
      </c>
      <c r="C15" s="2" t="s">
        <v>2048</v>
      </c>
      <c r="D15" s="2" t="s">
        <v>2049</v>
      </c>
      <c r="E15" s="2" t="s">
        <v>2050</v>
      </c>
      <c r="F15" s="2" t="s">
        <v>2051</v>
      </c>
      <c r="G15" s="2" t="s">
        <v>20</v>
      </c>
      <c r="H15" s="2" t="s">
        <v>2052</v>
      </c>
      <c r="I15" s="2" t="s">
        <v>2053</v>
      </c>
      <c r="J15" s="2" t="n">
        <v>3</v>
      </c>
    </row>
    <row r="16" customFormat="false" ht="105.95" hidden="false" customHeight="false" outlineLevel="0" collapsed="false">
      <c r="A16" s="2" t="s">
        <v>2054</v>
      </c>
      <c r="B16" s="2" t="s">
        <v>8068</v>
      </c>
      <c r="C16" s="2" t="s">
        <v>2055</v>
      </c>
      <c r="D16" s="2" t="s">
        <v>2056</v>
      </c>
      <c r="E16" s="2" t="s">
        <v>2057</v>
      </c>
      <c r="F16" s="2" t="s">
        <v>2058</v>
      </c>
      <c r="G16" s="2" t="s">
        <v>20</v>
      </c>
      <c r="H16" s="2" t="s">
        <v>2059</v>
      </c>
      <c r="I16" s="2" t="s">
        <v>2060</v>
      </c>
      <c r="J16" s="2" t="n">
        <v>4</v>
      </c>
    </row>
    <row r="17" customFormat="false" ht="76.1" hidden="false" customHeight="false" outlineLevel="0" collapsed="false">
      <c r="A17" s="2" t="s">
        <v>2061</v>
      </c>
      <c r="B17" s="2" t="s">
        <v>8068</v>
      </c>
      <c r="C17" s="2" t="s">
        <v>2062</v>
      </c>
      <c r="D17" s="2" t="s">
        <v>2063</v>
      </c>
      <c r="E17" s="2" t="s">
        <v>2064</v>
      </c>
      <c r="F17" s="2" t="s">
        <v>2065</v>
      </c>
      <c r="G17" s="2" t="s">
        <v>20</v>
      </c>
      <c r="H17" s="2" t="s">
        <v>2066</v>
      </c>
      <c r="I17" s="2" t="s">
        <v>2060</v>
      </c>
      <c r="J17" s="2" t="n">
        <v>3</v>
      </c>
    </row>
    <row r="18" customFormat="false" ht="61.15" hidden="false" customHeight="false" outlineLevel="0" collapsed="false">
      <c r="A18" s="2" t="s">
        <v>2067</v>
      </c>
      <c r="B18" s="2" t="s">
        <v>8068</v>
      </c>
      <c r="C18" s="2" t="s">
        <v>2068</v>
      </c>
      <c r="D18" s="2" t="s">
        <v>2069</v>
      </c>
      <c r="E18" s="2" t="s">
        <v>2070</v>
      </c>
      <c r="F18" s="2" t="s">
        <v>2071</v>
      </c>
      <c r="G18" s="2" t="s">
        <v>20</v>
      </c>
      <c r="H18" s="2" t="s">
        <v>2072</v>
      </c>
      <c r="I18" s="2" t="s">
        <v>2053</v>
      </c>
      <c r="J18" s="2" t="n">
        <v>3</v>
      </c>
    </row>
    <row r="19" customFormat="false" ht="76.1" hidden="false" customHeight="false" outlineLevel="0" collapsed="false">
      <c r="A19" s="2" t="s">
        <v>2073</v>
      </c>
      <c r="B19" s="2" t="s">
        <v>8068</v>
      </c>
      <c r="C19" s="2" t="s">
        <v>2074</v>
      </c>
      <c r="D19" s="2" t="s">
        <v>2075</v>
      </c>
      <c r="E19" s="2" t="s">
        <v>2076</v>
      </c>
      <c r="F19" s="2" t="s">
        <v>2077</v>
      </c>
      <c r="G19" s="2" t="s">
        <v>20</v>
      </c>
      <c r="H19" s="2" t="s">
        <v>2078</v>
      </c>
      <c r="I19" s="2" t="s">
        <v>2079</v>
      </c>
      <c r="J19" s="2" t="n">
        <v>2</v>
      </c>
    </row>
    <row r="20" customFormat="false" ht="61.15" hidden="false" customHeight="false" outlineLevel="0" collapsed="false">
      <c r="A20" s="2" t="s">
        <v>2080</v>
      </c>
      <c r="B20" s="2" t="s">
        <v>8068</v>
      </c>
      <c r="C20" s="2" t="s">
        <v>2081</v>
      </c>
      <c r="D20" s="2" t="s">
        <v>2082</v>
      </c>
      <c r="E20" s="2" t="s">
        <v>2083</v>
      </c>
      <c r="F20" s="2" t="s">
        <v>2084</v>
      </c>
      <c r="G20" s="2" t="s">
        <v>20</v>
      </c>
      <c r="H20" s="2" t="s">
        <v>2085</v>
      </c>
      <c r="I20" s="2" t="s">
        <v>2079</v>
      </c>
      <c r="J20" s="2" t="n">
        <v>3</v>
      </c>
    </row>
    <row r="21" customFormat="false" ht="61.15" hidden="false" customHeight="false" outlineLevel="0" collapsed="false">
      <c r="A21" s="2" t="s">
        <v>2086</v>
      </c>
      <c r="B21" s="2" t="s">
        <v>8068</v>
      </c>
      <c r="C21" s="2" t="s">
        <v>2087</v>
      </c>
      <c r="D21" s="2" t="s">
        <v>2088</v>
      </c>
      <c r="E21" s="2" t="s">
        <v>2089</v>
      </c>
      <c r="F21" s="2" t="s">
        <v>2090</v>
      </c>
      <c r="G21" s="2" t="s">
        <v>20</v>
      </c>
      <c r="H21" s="2" t="s">
        <v>2091</v>
      </c>
      <c r="I21" s="2" t="s">
        <v>2079</v>
      </c>
      <c r="J21" s="2" t="n">
        <v>3</v>
      </c>
    </row>
    <row r="22" customFormat="false" ht="76.1" hidden="false" customHeight="false" outlineLevel="0" collapsed="false">
      <c r="A22" s="2" t="s">
        <v>2092</v>
      </c>
      <c r="B22" s="2" t="s">
        <v>8068</v>
      </c>
      <c r="C22" s="2" t="s">
        <v>2093</v>
      </c>
      <c r="D22" s="2" t="s">
        <v>2094</v>
      </c>
      <c r="E22" s="2" t="s">
        <v>2095</v>
      </c>
      <c r="F22" s="2" t="s">
        <v>2096</v>
      </c>
      <c r="G22" s="2" t="s">
        <v>20</v>
      </c>
      <c r="H22" s="2" t="s">
        <v>2097</v>
      </c>
      <c r="I22" s="2" t="s">
        <v>2079</v>
      </c>
      <c r="J22" s="2" t="n">
        <v>3</v>
      </c>
    </row>
    <row r="23" customFormat="false" ht="61.15" hidden="false" customHeight="false" outlineLevel="0" collapsed="false">
      <c r="A23" s="2" t="s">
        <v>2098</v>
      </c>
      <c r="B23" s="2" t="s">
        <v>8068</v>
      </c>
      <c r="C23" s="2" t="s">
        <v>2099</v>
      </c>
      <c r="D23" s="2" t="s">
        <v>2100</v>
      </c>
      <c r="E23" s="2" t="s">
        <v>2101</v>
      </c>
      <c r="F23" s="2" t="s">
        <v>2102</v>
      </c>
      <c r="G23" s="2" t="s">
        <v>20</v>
      </c>
      <c r="H23" s="2" t="s">
        <v>2103</v>
      </c>
      <c r="I23" s="2" t="s">
        <v>2079</v>
      </c>
      <c r="J23" s="2" t="n">
        <v>2</v>
      </c>
    </row>
    <row r="24" customFormat="false" ht="76.1" hidden="false" customHeight="false" outlineLevel="0" collapsed="false">
      <c r="A24" s="2" t="s">
        <v>2104</v>
      </c>
      <c r="B24" s="2" t="s">
        <v>8069</v>
      </c>
      <c r="C24" s="2" t="s">
        <v>2105</v>
      </c>
      <c r="D24" s="2" t="s">
        <v>2106</v>
      </c>
      <c r="E24" s="2" t="s">
        <v>2107</v>
      </c>
      <c r="F24" s="2" t="s">
        <v>2108</v>
      </c>
      <c r="G24" s="2" t="s">
        <v>20</v>
      </c>
      <c r="H24" s="2" t="s">
        <v>2109</v>
      </c>
      <c r="I24" s="2" t="s">
        <v>2079</v>
      </c>
      <c r="J24" s="2" t="n">
        <v>3</v>
      </c>
    </row>
    <row r="25" customFormat="false" ht="61.15" hidden="false" customHeight="false" outlineLevel="0" collapsed="false">
      <c r="A25" s="2" t="s">
        <v>2110</v>
      </c>
      <c r="B25" s="2" t="s">
        <v>8069</v>
      </c>
      <c r="C25" s="2" t="s">
        <v>2111</v>
      </c>
      <c r="D25" s="2" t="s">
        <v>2112</v>
      </c>
      <c r="E25" s="2" t="s">
        <v>2113</v>
      </c>
      <c r="F25" s="2" t="s">
        <v>2114</v>
      </c>
      <c r="G25" s="2" t="s">
        <v>20</v>
      </c>
      <c r="H25" s="2" t="s">
        <v>2115</v>
      </c>
      <c r="I25" s="2" t="s">
        <v>2079</v>
      </c>
      <c r="J25" s="2" t="n">
        <v>2</v>
      </c>
    </row>
    <row r="26" customFormat="false" ht="61.15" hidden="false" customHeight="false" outlineLevel="0" collapsed="false">
      <c r="A26" s="2" t="s">
        <v>2116</v>
      </c>
      <c r="B26" s="2" t="s">
        <v>8068</v>
      </c>
      <c r="C26" s="2" t="s">
        <v>2117</v>
      </c>
      <c r="D26" s="2" t="s">
        <v>2118</v>
      </c>
      <c r="E26" s="2" t="s">
        <v>2119</v>
      </c>
      <c r="F26" s="2" t="s">
        <v>2120</v>
      </c>
      <c r="G26" s="2" t="s">
        <v>20</v>
      </c>
      <c r="H26" s="2" t="s">
        <v>2121</v>
      </c>
      <c r="I26" s="2" t="s">
        <v>2079</v>
      </c>
      <c r="J26" s="2" t="n">
        <v>3</v>
      </c>
    </row>
    <row r="27" customFormat="false" ht="61.15" hidden="false" customHeight="false" outlineLevel="0" collapsed="false">
      <c r="A27" s="2" t="s">
        <v>2122</v>
      </c>
      <c r="B27" s="2" t="s">
        <v>8068</v>
      </c>
      <c r="C27" s="2" t="s">
        <v>2123</v>
      </c>
      <c r="D27" s="2" t="s">
        <v>2124</v>
      </c>
      <c r="E27" s="2" t="s">
        <v>2125</v>
      </c>
      <c r="F27" s="2" t="s">
        <v>2126</v>
      </c>
      <c r="G27" s="2" t="s">
        <v>20</v>
      </c>
      <c r="H27" s="2" t="s">
        <v>2127</v>
      </c>
      <c r="I27" s="2" t="s">
        <v>2079</v>
      </c>
      <c r="J27" s="2" t="n">
        <v>3</v>
      </c>
    </row>
    <row r="28" customFormat="false" ht="91" hidden="false" customHeight="false" outlineLevel="0" collapsed="false">
      <c r="A28" s="2" t="s">
        <v>2128</v>
      </c>
      <c r="B28" s="2" t="s">
        <v>8068</v>
      </c>
      <c r="C28" s="2" t="s">
        <v>2129</v>
      </c>
      <c r="D28" s="2" t="s">
        <v>2130</v>
      </c>
      <c r="E28" s="2" t="s">
        <v>2131</v>
      </c>
      <c r="F28" s="2" t="s">
        <v>2132</v>
      </c>
      <c r="G28" s="2" t="s">
        <v>20</v>
      </c>
      <c r="H28" s="2" t="s">
        <v>2133</v>
      </c>
      <c r="I28" s="2" t="s">
        <v>2079</v>
      </c>
      <c r="J28" s="2" t="n">
        <v>3</v>
      </c>
    </row>
    <row r="29" customFormat="false" ht="76.1" hidden="false" customHeight="false" outlineLevel="0" collapsed="false">
      <c r="A29" s="2" t="s">
        <v>2134</v>
      </c>
      <c r="B29" s="2" t="s">
        <v>8069</v>
      </c>
      <c r="C29" s="2" t="s">
        <v>2135</v>
      </c>
      <c r="D29" s="2" t="s">
        <v>2136</v>
      </c>
      <c r="E29" s="2" t="s">
        <v>2137</v>
      </c>
      <c r="F29" s="2" t="s">
        <v>2138</v>
      </c>
      <c r="G29" s="2" t="s">
        <v>20</v>
      </c>
      <c r="H29" s="2" t="s">
        <v>2139</v>
      </c>
      <c r="I29" s="2" t="s">
        <v>2079</v>
      </c>
      <c r="J29" s="2" t="n">
        <v>3</v>
      </c>
    </row>
    <row r="30" customFormat="false" ht="61.15" hidden="false" customHeight="false" outlineLevel="0" collapsed="false">
      <c r="A30" s="2" t="s">
        <v>2140</v>
      </c>
      <c r="B30" s="2" t="s">
        <v>8069</v>
      </c>
      <c r="C30" s="2" t="s">
        <v>2141</v>
      </c>
      <c r="D30" s="2" t="s">
        <v>2142</v>
      </c>
      <c r="E30" s="2" t="s">
        <v>2143</v>
      </c>
      <c r="F30" s="2" t="s">
        <v>2144</v>
      </c>
      <c r="G30" s="2" t="s">
        <v>20</v>
      </c>
      <c r="H30" s="2" t="s">
        <v>2145</v>
      </c>
      <c r="I30" s="2" t="s">
        <v>2079</v>
      </c>
      <c r="J30" s="2" t="n">
        <v>2</v>
      </c>
    </row>
    <row r="31" customFormat="false" ht="46.25" hidden="false" customHeight="false" outlineLevel="0" collapsed="false">
      <c r="A31" s="2" t="s">
        <v>2146</v>
      </c>
      <c r="B31" s="2" t="s">
        <v>8068</v>
      </c>
      <c r="C31" s="2" t="s">
        <v>2147</v>
      </c>
      <c r="D31" s="2" t="s">
        <v>2148</v>
      </c>
      <c r="E31" s="2" t="s">
        <v>2149</v>
      </c>
      <c r="F31" s="2" t="s">
        <v>2150</v>
      </c>
      <c r="G31" s="2" t="s">
        <v>20</v>
      </c>
      <c r="H31" s="2" t="s">
        <v>2151</v>
      </c>
      <c r="I31" s="2" t="s">
        <v>2152</v>
      </c>
      <c r="J31" s="2" t="n">
        <v>1</v>
      </c>
    </row>
    <row r="32" customFormat="false" ht="61.15" hidden="false" customHeight="false" outlineLevel="0" collapsed="false">
      <c r="A32" s="2" t="s">
        <v>2153</v>
      </c>
      <c r="B32" s="2" t="s">
        <v>8068</v>
      </c>
      <c r="C32" s="2" t="s">
        <v>2154</v>
      </c>
      <c r="D32" s="2" t="s">
        <v>2155</v>
      </c>
      <c r="E32" s="2" t="s">
        <v>2156</v>
      </c>
      <c r="F32" s="2" t="s">
        <v>2157</v>
      </c>
      <c r="G32" s="2" t="s">
        <v>20</v>
      </c>
      <c r="H32" s="2" t="s">
        <v>2158</v>
      </c>
      <c r="I32" s="2" t="s">
        <v>2152</v>
      </c>
      <c r="J32" s="2" t="n">
        <v>2</v>
      </c>
    </row>
    <row r="33" customFormat="false" ht="76.1" hidden="false" customHeight="false" outlineLevel="0" collapsed="false">
      <c r="A33" s="2" t="s">
        <v>2159</v>
      </c>
      <c r="B33" s="2" t="s">
        <v>8069</v>
      </c>
      <c r="C33" s="2" t="s">
        <v>2160</v>
      </c>
      <c r="D33" s="2" t="s">
        <v>2161</v>
      </c>
      <c r="E33" s="2" t="s">
        <v>2162</v>
      </c>
      <c r="F33" s="2" t="s">
        <v>2163</v>
      </c>
      <c r="G33" s="2" t="s">
        <v>20</v>
      </c>
      <c r="H33" s="2" t="s">
        <v>2164</v>
      </c>
      <c r="I33" s="2" t="s">
        <v>2152</v>
      </c>
      <c r="J33" s="2" t="n">
        <v>2</v>
      </c>
    </row>
    <row r="34" customFormat="false" ht="76.1" hidden="false" customHeight="false" outlineLevel="0" collapsed="false">
      <c r="A34" s="2" t="s">
        <v>2165</v>
      </c>
      <c r="B34" s="2" t="s">
        <v>8069</v>
      </c>
      <c r="C34" s="2" t="s">
        <v>2166</v>
      </c>
      <c r="D34" s="2" t="s">
        <v>2167</v>
      </c>
      <c r="E34" s="2" t="s">
        <v>2168</v>
      </c>
      <c r="F34" s="2" t="s">
        <v>1509</v>
      </c>
      <c r="G34" s="2" t="s">
        <v>20</v>
      </c>
      <c r="H34" s="2" t="s">
        <v>2169</v>
      </c>
      <c r="I34" s="2" t="s">
        <v>2152</v>
      </c>
      <c r="J34" s="2" t="n">
        <v>2</v>
      </c>
    </row>
    <row r="35" customFormat="false" ht="76.1" hidden="false" customHeight="false" outlineLevel="0" collapsed="false">
      <c r="A35" s="2" t="s">
        <v>2170</v>
      </c>
      <c r="B35" s="2" t="s">
        <v>8068</v>
      </c>
      <c r="C35" s="2" t="s">
        <v>2171</v>
      </c>
      <c r="D35" s="2" t="s">
        <v>2172</v>
      </c>
      <c r="E35" s="2" t="s">
        <v>2173</v>
      </c>
      <c r="F35" s="2" t="s">
        <v>2174</v>
      </c>
      <c r="G35" s="2" t="s">
        <v>20</v>
      </c>
      <c r="H35" s="2" t="s">
        <v>2175</v>
      </c>
      <c r="I35" s="2" t="s">
        <v>2152</v>
      </c>
      <c r="J35" s="2" t="n">
        <v>3</v>
      </c>
    </row>
    <row r="36" customFormat="false" ht="46.25" hidden="false" customHeight="false" outlineLevel="0" collapsed="false">
      <c r="A36" s="2" t="s">
        <v>2176</v>
      </c>
      <c r="B36" s="2" t="s">
        <v>8068</v>
      </c>
      <c r="C36" s="2" t="s">
        <v>2177</v>
      </c>
      <c r="D36" s="2" t="s">
        <v>2178</v>
      </c>
      <c r="E36" s="2" t="s">
        <v>2179</v>
      </c>
      <c r="F36" s="2" t="s">
        <v>2180</v>
      </c>
      <c r="G36" s="2" t="s">
        <v>20</v>
      </c>
      <c r="H36" s="2" t="s">
        <v>2181</v>
      </c>
      <c r="I36" s="2" t="s">
        <v>2152</v>
      </c>
      <c r="J36" s="2" t="n">
        <v>2</v>
      </c>
    </row>
    <row r="37" customFormat="false" ht="76.1" hidden="false" customHeight="false" outlineLevel="0" collapsed="false">
      <c r="A37" s="2" t="s">
        <v>2182</v>
      </c>
      <c r="B37" s="2" t="s">
        <v>8069</v>
      </c>
      <c r="C37" s="2" t="s">
        <v>2183</v>
      </c>
      <c r="D37" s="2" t="s">
        <v>2184</v>
      </c>
      <c r="E37" s="2" t="s">
        <v>2185</v>
      </c>
      <c r="F37" s="2" t="s">
        <v>2186</v>
      </c>
      <c r="G37" s="2" t="s">
        <v>20</v>
      </c>
      <c r="H37" s="2" t="s">
        <v>2187</v>
      </c>
      <c r="I37" s="2" t="s">
        <v>2152</v>
      </c>
      <c r="J37" s="2" t="n">
        <v>2</v>
      </c>
    </row>
    <row r="38" customFormat="false" ht="61.15" hidden="false" customHeight="false" outlineLevel="0" collapsed="false">
      <c r="A38" s="2" t="s">
        <v>2188</v>
      </c>
      <c r="B38" s="2" t="s">
        <v>8068</v>
      </c>
      <c r="C38" s="2" t="s">
        <v>2189</v>
      </c>
      <c r="D38" s="2" t="s">
        <v>2190</v>
      </c>
      <c r="E38" s="2" t="s">
        <v>2191</v>
      </c>
      <c r="F38" s="2" t="s">
        <v>2192</v>
      </c>
      <c r="G38" s="2" t="s">
        <v>20</v>
      </c>
      <c r="H38" s="2" t="s">
        <v>2193</v>
      </c>
      <c r="I38" s="2" t="s">
        <v>2152</v>
      </c>
      <c r="J38" s="2" t="n">
        <v>2</v>
      </c>
    </row>
    <row r="39" customFormat="false" ht="76.1" hidden="false" customHeight="false" outlineLevel="0" collapsed="false">
      <c r="A39" s="2" t="s">
        <v>2194</v>
      </c>
      <c r="B39" s="2" t="s">
        <v>8068</v>
      </c>
      <c r="C39" s="2" t="s">
        <v>2195</v>
      </c>
      <c r="D39" s="2" t="s">
        <v>2196</v>
      </c>
      <c r="E39" s="2" t="s">
        <v>2197</v>
      </c>
      <c r="F39" s="2" t="s">
        <v>2198</v>
      </c>
      <c r="G39" s="2" t="s">
        <v>20</v>
      </c>
      <c r="H39" s="2" t="s">
        <v>2199</v>
      </c>
      <c r="I39" s="2" t="s">
        <v>2152</v>
      </c>
      <c r="J39" s="2" t="n">
        <v>4</v>
      </c>
    </row>
    <row r="40" customFormat="false" ht="91" hidden="false" customHeight="false" outlineLevel="0" collapsed="false">
      <c r="A40" s="2" t="s">
        <v>2200</v>
      </c>
      <c r="B40" s="2" t="s">
        <v>8068</v>
      </c>
      <c r="C40" s="2" t="s">
        <v>2201</v>
      </c>
      <c r="D40" s="2" t="s">
        <v>2202</v>
      </c>
      <c r="E40" s="2" t="s">
        <v>2203</v>
      </c>
      <c r="F40" s="2" t="s">
        <v>2204</v>
      </c>
      <c r="G40" s="2" t="s">
        <v>20</v>
      </c>
      <c r="H40" s="2" t="s">
        <v>2205</v>
      </c>
      <c r="I40" s="2" t="s">
        <v>2152</v>
      </c>
      <c r="J40" s="2" t="n">
        <v>4</v>
      </c>
    </row>
    <row r="41" customFormat="false" ht="76.1" hidden="false" customHeight="false" outlineLevel="0" collapsed="false">
      <c r="A41" s="2" t="s">
        <v>2206</v>
      </c>
      <c r="B41" s="2" t="s">
        <v>8068</v>
      </c>
      <c r="C41" s="2" t="s">
        <v>2207</v>
      </c>
      <c r="D41" s="2" t="s">
        <v>2208</v>
      </c>
      <c r="E41" s="2" t="s">
        <v>2209</v>
      </c>
      <c r="F41" s="2" t="s">
        <v>2210</v>
      </c>
      <c r="G41" s="2" t="s">
        <v>20</v>
      </c>
      <c r="H41" s="2" t="s">
        <v>2211</v>
      </c>
      <c r="I41" s="2" t="s">
        <v>2152</v>
      </c>
      <c r="J41" s="2" t="n">
        <v>4</v>
      </c>
    </row>
    <row r="42" customFormat="false" ht="46.25" hidden="false" customHeight="false" outlineLevel="0" collapsed="false">
      <c r="A42" s="2" t="s">
        <v>2212</v>
      </c>
      <c r="B42" s="2" t="s">
        <v>8069</v>
      </c>
      <c r="C42" s="2" t="s">
        <v>2213</v>
      </c>
      <c r="D42" s="2" t="s">
        <v>2214</v>
      </c>
      <c r="E42" s="2" t="s">
        <v>2215</v>
      </c>
      <c r="F42" s="2" t="s">
        <v>2216</v>
      </c>
      <c r="G42" s="2" t="s">
        <v>20</v>
      </c>
      <c r="H42" s="2" t="s">
        <v>2217</v>
      </c>
      <c r="I42" s="2" t="s">
        <v>2218</v>
      </c>
      <c r="J42" s="2" t="n">
        <v>2</v>
      </c>
    </row>
    <row r="43" customFormat="false" ht="76.1" hidden="false" customHeight="false" outlineLevel="0" collapsed="false">
      <c r="A43" s="2" t="s">
        <v>2219</v>
      </c>
      <c r="B43" s="2" t="s">
        <v>8068</v>
      </c>
      <c r="C43" s="2" t="s">
        <v>2220</v>
      </c>
      <c r="D43" s="2" t="s">
        <v>2221</v>
      </c>
      <c r="E43" s="2" t="s">
        <v>2222</v>
      </c>
      <c r="F43" s="2" t="s">
        <v>2223</v>
      </c>
      <c r="G43" s="2" t="s">
        <v>20</v>
      </c>
      <c r="H43" s="2" t="s">
        <v>2224</v>
      </c>
      <c r="I43" s="2" t="s">
        <v>2218</v>
      </c>
      <c r="J43" s="2" t="n">
        <v>3</v>
      </c>
    </row>
    <row r="44" customFormat="false" ht="91" hidden="false" customHeight="false" outlineLevel="0" collapsed="false">
      <c r="A44" s="2" t="s">
        <v>2225</v>
      </c>
      <c r="B44" s="2" t="s">
        <v>8068</v>
      </c>
      <c r="C44" s="2" t="s">
        <v>2226</v>
      </c>
      <c r="D44" s="2" t="s">
        <v>1609</v>
      </c>
      <c r="E44" s="2" t="s">
        <v>2227</v>
      </c>
      <c r="F44" s="2" t="s">
        <v>2228</v>
      </c>
      <c r="G44" s="2" t="s">
        <v>20</v>
      </c>
      <c r="H44" s="2" t="s">
        <v>2229</v>
      </c>
      <c r="I44" s="2" t="s">
        <v>2218</v>
      </c>
      <c r="J44" s="2" t="n">
        <v>4</v>
      </c>
    </row>
    <row r="45" customFormat="false" ht="76.1" hidden="false" customHeight="false" outlineLevel="0" collapsed="false">
      <c r="A45" s="2" t="s">
        <v>2230</v>
      </c>
      <c r="B45" s="2" t="s">
        <v>8068</v>
      </c>
      <c r="C45" s="2" t="s">
        <v>2231</v>
      </c>
      <c r="D45" s="2" t="s">
        <v>2232</v>
      </c>
      <c r="E45" s="2" t="s">
        <v>2233</v>
      </c>
      <c r="F45" s="2" t="s">
        <v>2234</v>
      </c>
      <c r="G45" s="2" t="s">
        <v>20</v>
      </c>
      <c r="H45" s="2" t="s">
        <v>2235</v>
      </c>
      <c r="I45" s="2" t="s">
        <v>2236</v>
      </c>
      <c r="J45" s="2" t="n">
        <v>4</v>
      </c>
    </row>
    <row r="46" customFormat="false" ht="76.1" hidden="false" customHeight="false" outlineLevel="0" collapsed="false">
      <c r="A46" s="2" t="s">
        <v>2237</v>
      </c>
      <c r="B46" s="2" t="s">
        <v>8068</v>
      </c>
      <c r="C46" s="2" t="s">
        <v>2238</v>
      </c>
      <c r="D46" s="2" t="s">
        <v>2239</v>
      </c>
      <c r="E46" s="2" t="s">
        <v>2240</v>
      </c>
      <c r="F46" s="2" t="s">
        <v>2241</v>
      </c>
      <c r="G46" s="2" t="s">
        <v>20</v>
      </c>
      <c r="H46" s="2" t="s">
        <v>2242</v>
      </c>
      <c r="I46" s="2" t="s">
        <v>2236</v>
      </c>
      <c r="J46" s="2" t="n">
        <v>3</v>
      </c>
    </row>
    <row r="47" customFormat="false" ht="46.25" hidden="false" customHeight="false" outlineLevel="0" collapsed="false">
      <c r="A47" s="2" t="s">
        <v>2243</v>
      </c>
      <c r="B47" s="2" t="s">
        <v>8068</v>
      </c>
      <c r="C47" s="2" t="s">
        <v>2244</v>
      </c>
      <c r="D47" s="2" t="s">
        <v>2245</v>
      </c>
      <c r="E47" s="2" t="s">
        <v>2246</v>
      </c>
      <c r="F47" s="2" t="s">
        <v>2247</v>
      </c>
      <c r="G47" s="2" t="s">
        <v>20</v>
      </c>
      <c r="H47" s="2" t="s">
        <v>2248</v>
      </c>
      <c r="I47" s="2" t="s">
        <v>2249</v>
      </c>
      <c r="J47" s="2" t="n">
        <v>2</v>
      </c>
    </row>
    <row r="48" customFormat="false" ht="76.1" hidden="false" customHeight="false" outlineLevel="0" collapsed="false">
      <c r="A48" s="2" t="s">
        <v>2250</v>
      </c>
      <c r="B48" s="2" t="s">
        <v>8068</v>
      </c>
      <c r="C48" s="2" t="s">
        <v>2251</v>
      </c>
      <c r="D48" s="2" t="s">
        <v>2252</v>
      </c>
      <c r="E48" s="2" t="s">
        <v>2253</v>
      </c>
      <c r="F48" s="2" t="s">
        <v>2254</v>
      </c>
      <c r="G48" s="2" t="s">
        <v>20</v>
      </c>
      <c r="H48" s="2" t="s">
        <v>2255</v>
      </c>
      <c r="I48" s="2" t="s">
        <v>2249</v>
      </c>
      <c r="J48" s="2" t="n">
        <v>3</v>
      </c>
    </row>
    <row r="49" customFormat="false" ht="46.25" hidden="false" customHeight="false" outlineLevel="0" collapsed="false">
      <c r="A49" s="2" t="s">
        <v>2256</v>
      </c>
      <c r="B49" s="2" t="s">
        <v>8068</v>
      </c>
      <c r="C49" s="2" t="s">
        <v>2257</v>
      </c>
      <c r="D49" s="2" t="s">
        <v>2258</v>
      </c>
      <c r="E49" s="2" t="s">
        <v>2259</v>
      </c>
      <c r="F49" s="2" t="s">
        <v>2260</v>
      </c>
      <c r="G49" s="2" t="s">
        <v>20</v>
      </c>
      <c r="H49" s="2" t="s">
        <v>2261</v>
      </c>
      <c r="I49" s="2" t="s">
        <v>2249</v>
      </c>
      <c r="J49" s="2" t="n">
        <v>2</v>
      </c>
    </row>
    <row r="50" customFormat="false" ht="46.25" hidden="false" customHeight="false" outlineLevel="0" collapsed="false">
      <c r="A50" s="2" t="s">
        <v>2262</v>
      </c>
      <c r="B50" s="2" t="s">
        <v>8068</v>
      </c>
      <c r="C50" s="2" t="s">
        <v>2263</v>
      </c>
      <c r="D50" s="2" t="s">
        <v>2264</v>
      </c>
      <c r="E50" s="2" t="s">
        <v>2265</v>
      </c>
      <c r="F50" s="2" t="s">
        <v>2266</v>
      </c>
      <c r="G50" s="2" t="s">
        <v>20</v>
      </c>
      <c r="H50" s="2" t="s">
        <v>2267</v>
      </c>
      <c r="I50" s="2" t="s">
        <v>2249</v>
      </c>
      <c r="J50" s="2" t="n">
        <v>3</v>
      </c>
    </row>
    <row r="51" customFormat="false" ht="61.15" hidden="false" customHeight="false" outlineLevel="0" collapsed="false">
      <c r="A51" s="2" t="s">
        <v>2268</v>
      </c>
      <c r="B51" s="2" t="s">
        <v>8069</v>
      </c>
      <c r="C51" s="2" t="s">
        <v>2269</v>
      </c>
      <c r="D51" s="2" t="s">
        <v>2270</v>
      </c>
      <c r="E51" s="2" t="s">
        <v>2271</v>
      </c>
      <c r="F51" s="2" t="s">
        <v>2272</v>
      </c>
      <c r="G51" s="2" t="s">
        <v>20</v>
      </c>
      <c r="H51" s="2" t="s">
        <v>2273</v>
      </c>
      <c r="I51" s="2" t="s">
        <v>2274</v>
      </c>
      <c r="J51" s="2" t="n">
        <v>2</v>
      </c>
    </row>
    <row r="52" customFormat="false" ht="46.25" hidden="false" customHeight="false" outlineLevel="0" collapsed="false">
      <c r="A52" s="2" t="s">
        <v>2275</v>
      </c>
      <c r="B52" s="2" t="s">
        <v>8069</v>
      </c>
      <c r="C52" s="2" t="s">
        <v>2276</v>
      </c>
      <c r="D52" s="2" t="s">
        <v>2277</v>
      </c>
      <c r="E52" s="2" t="s">
        <v>2278</v>
      </c>
      <c r="F52" s="2" t="s">
        <v>2279</v>
      </c>
      <c r="G52" s="2" t="s">
        <v>20</v>
      </c>
      <c r="H52" s="2" t="s">
        <v>2280</v>
      </c>
      <c r="I52" s="2" t="s">
        <v>2274</v>
      </c>
      <c r="J52" s="2" t="n">
        <v>2</v>
      </c>
    </row>
    <row r="53" customFormat="false" ht="61.15" hidden="false" customHeight="false" outlineLevel="0" collapsed="false">
      <c r="A53" s="2" t="s">
        <v>2281</v>
      </c>
      <c r="B53" s="2" t="s">
        <v>8068</v>
      </c>
      <c r="C53" s="2" t="s">
        <v>2282</v>
      </c>
      <c r="D53" s="2" t="s">
        <v>2283</v>
      </c>
      <c r="E53" s="2" t="s">
        <v>2284</v>
      </c>
      <c r="F53" s="2" t="s">
        <v>2285</v>
      </c>
      <c r="G53" s="2" t="s">
        <v>20</v>
      </c>
      <c r="H53" s="2" t="s">
        <v>2286</v>
      </c>
      <c r="I53" s="2" t="s">
        <v>2274</v>
      </c>
      <c r="J53" s="2" t="n">
        <v>3</v>
      </c>
    </row>
    <row r="54" customFormat="false" ht="61.15" hidden="false" customHeight="false" outlineLevel="0" collapsed="false">
      <c r="A54" s="2" t="s">
        <v>2287</v>
      </c>
      <c r="B54" s="2" t="s">
        <v>8068</v>
      </c>
      <c r="C54" s="2" t="s">
        <v>2288</v>
      </c>
      <c r="D54" s="2" t="s">
        <v>2289</v>
      </c>
      <c r="E54" s="2" t="s">
        <v>2290</v>
      </c>
      <c r="F54" s="2" t="s">
        <v>2291</v>
      </c>
      <c r="G54" s="2" t="s">
        <v>20</v>
      </c>
      <c r="H54" s="2" t="s">
        <v>2292</v>
      </c>
      <c r="I54" s="2" t="s">
        <v>2274</v>
      </c>
      <c r="J54" s="2" t="n">
        <v>3</v>
      </c>
    </row>
    <row r="55" customFormat="false" ht="46.25" hidden="false" customHeight="false" outlineLevel="0" collapsed="false">
      <c r="A55" s="2" t="s">
        <v>2293</v>
      </c>
      <c r="B55" s="2" t="s">
        <v>8068</v>
      </c>
      <c r="C55" s="2" t="s">
        <v>2294</v>
      </c>
      <c r="D55" s="2" t="s">
        <v>1948</v>
      </c>
      <c r="E55" s="2" t="s">
        <v>2295</v>
      </c>
      <c r="F55" s="2" t="s">
        <v>2296</v>
      </c>
      <c r="G55" s="2" t="s">
        <v>20</v>
      </c>
      <c r="H55" s="2" t="s">
        <v>2297</v>
      </c>
      <c r="I55" s="2" t="s">
        <v>2274</v>
      </c>
      <c r="J55" s="2" t="n">
        <v>2</v>
      </c>
    </row>
    <row r="56" customFormat="false" ht="76.1" hidden="false" customHeight="false" outlineLevel="0" collapsed="false">
      <c r="A56" s="2" t="s">
        <v>2298</v>
      </c>
      <c r="B56" s="2" t="s">
        <v>8068</v>
      </c>
      <c r="C56" s="2" t="s">
        <v>2299</v>
      </c>
      <c r="D56" s="2" t="s">
        <v>2300</v>
      </c>
      <c r="E56" s="2" t="s">
        <v>2301</v>
      </c>
      <c r="F56" s="2" t="s">
        <v>2302</v>
      </c>
      <c r="G56" s="2" t="s">
        <v>20</v>
      </c>
      <c r="H56" s="2" t="s">
        <v>2303</v>
      </c>
      <c r="I56" s="2" t="s">
        <v>2304</v>
      </c>
      <c r="J56" s="2" t="n">
        <v>4</v>
      </c>
    </row>
    <row r="57" customFormat="false" ht="46.25" hidden="false" customHeight="false" outlineLevel="0" collapsed="false">
      <c r="A57" s="2" t="s">
        <v>2305</v>
      </c>
      <c r="B57" s="2" t="s">
        <v>8068</v>
      </c>
      <c r="C57" s="2" t="s">
        <v>2306</v>
      </c>
      <c r="D57" s="2" t="s">
        <v>2307</v>
      </c>
      <c r="E57" s="2" t="s">
        <v>2308</v>
      </c>
      <c r="F57" s="2" t="s">
        <v>2309</v>
      </c>
      <c r="G57" s="2" t="s">
        <v>20</v>
      </c>
      <c r="H57" s="2" t="s">
        <v>2310</v>
      </c>
      <c r="I57" s="2" t="s">
        <v>2304</v>
      </c>
      <c r="J57" s="2" t="n">
        <v>2</v>
      </c>
    </row>
    <row r="58" customFormat="false" ht="46.25" hidden="false" customHeight="false" outlineLevel="0" collapsed="false">
      <c r="A58" s="2" t="s">
        <v>2311</v>
      </c>
      <c r="B58" s="2" t="s">
        <v>8068</v>
      </c>
      <c r="C58" s="2" t="s">
        <v>2312</v>
      </c>
      <c r="D58" s="2" t="s">
        <v>2313</v>
      </c>
      <c r="E58" s="2" t="s">
        <v>2314</v>
      </c>
      <c r="F58" s="2" t="s">
        <v>2315</v>
      </c>
      <c r="G58" s="2" t="s">
        <v>20</v>
      </c>
      <c r="H58" s="2" t="s">
        <v>2316</v>
      </c>
      <c r="I58" s="2" t="s">
        <v>2304</v>
      </c>
      <c r="J58" s="2" t="n">
        <v>3</v>
      </c>
    </row>
    <row r="59" customFormat="false" ht="61.15" hidden="false" customHeight="false" outlineLevel="0" collapsed="false">
      <c r="A59" s="2" t="s">
        <v>2317</v>
      </c>
      <c r="B59" s="2" t="s">
        <v>8068</v>
      </c>
      <c r="C59" s="2" t="s">
        <v>2318</v>
      </c>
      <c r="D59" s="2" t="s">
        <v>2319</v>
      </c>
      <c r="E59" s="2" t="s">
        <v>2320</v>
      </c>
      <c r="F59" s="2" t="s">
        <v>2321</v>
      </c>
      <c r="G59" s="2" t="s">
        <v>20</v>
      </c>
      <c r="H59" s="2" t="s">
        <v>2322</v>
      </c>
      <c r="I59" s="2" t="s">
        <v>2304</v>
      </c>
      <c r="J59" s="2" t="n">
        <v>3</v>
      </c>
    </row>
    <row r="60" customFormat="false" ht="61.15" hidden="false" customHeight="false" outlineLevel="0" collapsed="false">
      <c r="A60" s="2" t="s">
        <v>2323</v>
      </c>
      <c r="B60" s="2" t="s">
        <v>8068</v>
      </c>
      <c r="C60" s="2" t="s">
        <v>2324</v>
      </c>
      <c r="D60" s="2" t="s">
        <v>2325</v>
      </c>
      <c r="E60" s="2" t="s">
        <v>2326</v>
      </c>
      <c r="F60" s="2" t="s">
        <v>2327</v>
      </c>
      <c r="G60" s="2" t="s">
        <v>20</v>
      </c>
      <c r="H60" s="2" t="s">
        <v>2328</v>
      </c>
      <c r="I60" s="2" t="s">
        <v>2304</v>
      </c>
      <c r="J60" s="2" t="n">
        <v>2</v>
      </c>
    </row>
    <row r="61" customFormat="false" ht="91" hidden="false" customHeight="false" outlineLevel="0" collapsed="false">
      <c r="A61" s="2" t="s">
        <v>2329</v>
      </c>
      <c r="B61" s="2" t="s">
        <v>8068</v>
      </c>
      <c r="C61" s="2" t="s">
        <v>2330</v>
      </c>
      <c r="D61" s="2" t="s">
        <v>2331</v>
      </c>
      <c r="E61" s="2" t="s">
        <v>2332</v>
      </c>
      <c r="F61" s="2" t="s">
        <v>2333</v>
      </c>
      <c r="G61" s="2" t="s">
        <v>20</v>
      </c>
      <c r="H61" s="2" t="s">
        <v>2334</v>
      </c>
      <c r="I61" s="2" t="s">
        <v>2335</v>
      </c>
      <c r="J61" s="2" t="n">
        <v>4</v>
      </c>
    </row>
    <row r="62" customFormat="false" ht="76.1" hidden="false" customHeight="false" outlineLevel="0" collapsed="false">
      <c r="A62" s="2" t="s">
        <v>2336</v>
      </c>
      <c r="B62" s="2" t="s">
        <v>8068</v>
      </c>
      <c r="C62" s="2" t="s">
        <v>2337</v>
      </c>
      <c r="D62" s="2" t="s">
        <v>2338</v>
      </c>
      <c r="E62" s="2" t="s">
        <v>2339</v>
      </c>
      <c r="F62" s="2" t="s">
        <v>2340</v>
      </c>
      <c r="G62" s="2" t="s">
        <v>20</v>
      </c>
      <c r="H62" s="2" t="s">
        <v>2341</v>
      </c>
      <c r="I62" s="2" t="s">
        <v>2335</v>
      </c>
      <c r="J62" s="2" t="n">
        <v>4</v>
      </c>
    </row>
    <row r="63" customFormat="false" ht="91" hidden="false" customHeight="false" outlineLevel="0" collapsed="false">
      <c r="A63" s="2" t="s">
        <v>2342</v>
      </c>
      <c r="B63" s="2" t="s">
        <v>8068</v>
      </c>
      <c r="C63" s="2" t="s">
        <v>2343</v>
      </c>
      <c r="D63" s="2" t="s">
        <v>2344</v>
      </c>
      <c r="E63" s="2" t="s">
        <v>2345</v>
      </c>
      <c r="F63" s="2" t="s">
        <v>2346</v>
      </c>
      <c r="G63" s="2" t="s">
        <v>20</v>
      </c>
      <c r="H63" s="2" t="s">
        <v>2347</v>
      </c>
      <c r="I63" s="2" t="s">
        <v>2335</v>
      </c>
      <c r="J63" s="2" t="n">
        <v>4</v>
      </c>
    </row>
    <row r="64" customFormat="false" ht="91" hidden="false" customHeight="false" outlineLevel="0" collapsed="false">
      <c r="A64" s="2" t="s">
        <v>2348</v>
      </c>
      <c r="B64" s="2" t="s">
        <v>8068</v>
      </c>
      <c r="C64" s="2" t="s">
        <v>2349</v>
      </c>
      <c r="D64" s="2" t="s">
        <v>2350</v>
      </c>
      <c r="E64" s="2" t="s">
        <v>2351</v>
      </c>
      <c r="F64" s="2" t="s">
        <v>2352</v>
      </c>
      <c r="G64" s="2" t="s">
        <v>20</v>
      </c>
      <c r="H64" s="2" t="s">
        <v>2353</v>
      </c>
      <c r="I64" s="2" t="s">
        <v>2335</v>
      </c>
      <c r="J64" s="2" t="n">
        <v>4</v>
      </c>
    </row>
    <row r="65" customFormat="false" ht="46.25" hidden="false" customHeight="false" outlineLevel="0" collapsed="false">
      <c r="A65" s="2" t="s">
        <v>2354</v>
      </c>
      <c r="B65" s="2" t="s">
        <v>8068</v>
      </c>
      <c r="C65" s="2" t="s">
        <v>2355</v>
      </c>
      <c r="D65" s="2" t="s">
        <v>2356</v>
      </c>
      <c r="E65" s="2" t="s">
        <v>2044</v>
      </c>
      <c r="F65" s="2" t="s">
        <v>2357</v>
      </c>
      <c r="G65" s="2" t="s">
        <v>20</v>
      </c>
      <c r="H65" s="2" t="s">
        <v>2358</v>
      </c>
      <c r="I65" s="2" t="s">
        <v>2335</v>
      </c>
      <c r="J65" s="2" t="n">
        <v>4</v>
      </c>
    </row>
    <row r="66" customFormat="false" ht="76.1" hidden="false" customHeight="false" outlineLevel="0" collapsed="false">
      <c r="A66" s="2" t="s">
        <v>2359</v>
      </c>
      <c r="B66" s="2" t="s">
        <v>8068</v>
      </c>
      <c r="C66" s="2" t="s">
        <v>2360</v>
      </c>
      <c r="D66" s="2" t="s">
        <v>2361</v>
      </c>
      <c r="E66" s="2" t="s">
        <v>2362</v>
      </c>
      <c r="F66" s="2" t="s">
        <v>2363</v>
      </c>
      <c r="G66" s="2" t="s">
        <v>20</v>
      </c>
      <c r="H66" s="2" t="s">
        <v>2364</v>
      </c>
      <c r="I66" s="2" t="s">
        <v>2335</v>
      </c>
      <c r="J66" s="2" t="n">
        <v>4</v>
      </c>
    </row>
    <row r="67" customFormat="false" ht="76.1" hidden="false" customHeight="false" outlineLevel="0" collapsed="false">
      <c r="A67" s="2" t="s">
        <v>2365</v>
      </c>
      <c r="B67" s="2" t="s">
        <v>8068</v>
      </c>
      <c r="C67" s="2" t="s">
        <v>2366</v>
      </c>
      <c r="D67" s="2" t="s">
        <v>2367</v>
      </c>
      <c r="E67" s="2" t="s">
        <v>2368</v>
      </c>
      <c r="F67" s="2" t="s">
        <v>2369</v>
      </c>
      <c r="G67" s="2" t="s">
        <v>20</v>
      </c>
      <c r="H67" s="2" t="s">
        <v>2370</v>
      </c>
      <c r="I67" s="2" t="s">
        <v>2335</v>
      </c>
      <c r="J67" s="2" t="n">
        <v>4</v>
      </c>
    </row>
    <row r="68" customFormat="false" ht="61.15" hidden="false" customHeight="false" outlineLevel="0" collapsed="false">
      <c r="A68" s="2" t="s">
        <v>2371</v>
      </c>
      <c r="B68" s="2" t="s">
        <v>8069</v>
      </c>
      <c r="C68" s="2" t="s">
        <v>2372</v>
      </c>
      <c r="D68" s="2" t="s">
        <v>2373</v>
      </c>
      <c r="E68" s="2" t="s">
        <v>2374</v>
      </c>
      <c r="F68" s="2" t="s">
        <v>2375</v>
      </c>
      <c r="G68" s="2" t="s">
        <v>20</v>
      </c>
      <c r="H68" s="2" t="s">
        <v>2376</v>
      </c>
      <c r="I68" s="2" t="s">
        <v>2377</v>
      </c>
      <c r="J68" s="2" t="n">
        <v>2</v>
      </c>
    </row>
    <row r="69" customFormat="false" ht="61.15" hidden="false" customHeight="false" outlineLevel="0" collapsed="false">
      <c r="A69" s="2" t="s">
        <v>2378</v>
      </c>
      <c r="B69" s="2" t="s">
        <v>8069</v>
      </c>
      <c r="C69" s="2" t="s">
        <v>2379</v>
      </c>
      <c r="D69" s="2" t="s">
        <v>2380</v>
      </c>
      <c r="E69" s="2" t="s">
        <v>2381</v>
      </c>
      <c r="F69" s="2" t="s">
        <v>2382</v>
      </c>
      <c r="G69" s="2" t="s">
        <v>20</v>
      </c>
      <c r="H69" s="2" t="s">
        <v>2383</v>
      </c>
      <c r="I69" s="2" t="s">
        <v>2377</v>
      </c>
      <c r="J69" s="2" t="n">
        <v>2</v>
      </c>
    </row>
    <row r="70" customFormat="false" ht="61.15" hidden="false" customHeight="false" outlineLevel="0" collapsed="false">
      <c r="A70" s="2" t="s">
        <v>2384</v>
      </c>
      <c r="B70" s="2" t="s">
        <v>8068</v>
      </c>
      <c r="C70" s="2" t="s">
        <v>2385</v>
      </c>
      <c r="D70" s="2" t="s">
        <v>2386</v>
      </c>
      <c r="E70" s="2" t="s">
        <v>2387</v>
      </c>
      <c r="F70" s="2" t="s">
        <v>2388</v>
      </c>
      <c r="G70" s="2" t="s">
        <v>20</v>
      </c>
      <c r="H70" s="2" t="s">
        <v>2389</v>
      </c>
      <c r="I70" s="2" t="s">
        <v>2390</v>
      </c>
      <c r="J70" s="2" t="n">
        <v>2</v>
      </c>
    </row>
    <row r="71" customFormat="false" ht="61.15" hidden="false" customHeight="false" outlineLevel="0" collapsed="false">
      <c r="A71" s="2" t="s">
        <v>2391</v>
      </c>
      <c r="B71" s="2" t="s">
        <v>8068</v>
      </c>
      <c r="C71" s="2" t="s">
        <v>2392</v>
      </c>
      <c r="D71" s="2" t="s">
        <v>2393</v>
      </c>
      <c r="E71" s="2" t="s">
        <v>2394</v>
      </c>
      <c r="F71" s="2" t="s">
        <v>2395</v>
      </c>
      <c r="G71" s="2" t="s">
        <v>20</v>
      </c>
      <c r="H71" s="2" t="s">
        <v>2396</v>
      </c>
      <c r="I71" s="2" t="s">
        <v>2397</v>
      </c>
      <c r="J71" s="2" t="n">
        <v>2</v>
      </c>
    </row>
    <row r="72" customFormat="false" ht="61.15" hidden="false" customHeight="false" outlineLevel="0" collapsed="false">
      <c r="A72" s="2" t="s">
        <v>2398</v>
      </c>
      <c r="B72" s="2" t="s">
        <v>8068</v>
      </c>
      <c r="C72" s="2" t="s">
        <v>2399</v>
      </c>
      <c r="D72" s="2" t="s">
        <v>2400</v>
      </c>
      <c r="E72" s="2" t="s">
        <v>2401</v>
      </c>
      <c r="F72" s="2" t="s">
        <v>2402</v>
      </c>
      <c r="G72" s="2" t="s">
        <v>20</v>
      </c>
      <c r="H72" s="2" t="s">
        <v>2403</v>
      </c>
      <c r="I72" s="2" t="s">
        <v>2397</v>
      </c>
      <c r="J72" s="2" t="n">
        <v>2</v>
      </c>
    </row>
    <row r="73" customFormat="false" ht="76.1" hidden="false" customHeight="false" outlineLevel="0" collapsed="false">
      <c r="A73" s="2" t="s">
        <v>2404</v>
      </c>
      <c r="B73" s="2" t="s">
        <v>8068</v>
      </c>
      <c r="C73" s="2" t="s">
        <v>2405</v>
      </c>
      <c r="D73" s="2" t="s">
        <v>2406</v>
      </c>
      <c r="E73" s="2" t="s">
        <v>2407</v>
      </c>
      <c r="F73" s="2" t="s">
        <v>2408</v>
      </c>
      <c r="G73" s="2" t="s">
        <v>20</v>
      </c>
      <c r="H73" s="2" t="s">
        <v>2409</v>
      </c>
      <c r="I73" s="2" t="s">
        <v>2397</v>
      </c>
      <c r="J73" s="2" t="n">
        <v>2</v>
      </c>
    </row>
    <row r="74" customFormat="false" ht="61.15" hidden="false" customHeight="false" outlineLevel="0" collapsed="false">
      <c r="A74" s="2" t="s">
        <v>2410</v>
      </c>
      <c r="B74" s="2" t="s">
        <v>8068</v>
      </c>
      <c r="C74" s="2" t="s">
        <v>2411</v>
      </c>
      <c r="D74" s="2" t="s">
        <v>2412</v>
      </c>
      <c r="E74" s="2" t="s">
        <v>2413</v>
      </c>
      <c r="F74" s="2" t="s">
        <v>2414</v>
      </c>
      <c r="G74" s="2" t="s">
        <v>20</v>
      </c>
      <c r="H74" s="2" t="s">
        <v>2415</v>
      </c>
      <c r="I74" s="2" t="s">
        <v>1959</v>
      </c>
      <c r="J74" s="2" t="n">
        <v>2</v>
      </c>
    </row>
    <row r="75" customFormat="false" ht="76.1" hidden="false" customHeight="false" outlineLevel="0" collapsed="false">
      <c r="A75" s="2" t="s">
        <v>2416</v>
      </c>
      <c r="B75" s="2" t="s">
        <v>8068</v>
      </c>
      <c r="C75" s="2" t="s">
        <v>2417</v>
      </c>
      <c r="D75" s="2" t="s">
        <v>2418</v>
      </c>
      <c r="E75" s="2" t="s">
        <v>2419</v>
      </c>
      <c r="F75" s="2" t="s">
        <v>2420</v>
      </c>
      <c r="G75" s="2" t="s">
        <v>20</v>
      </c>
      <c r="H75" s="2" t="s">
        <v>2421</v>
      </c>
      <c r="I75" s="2" t="s">
        <v>1959</v>
      </c>
      <c r="J75" s="2" t="n">
        <v>3</v>
      </c>
    </row>
    <row r="76" customFormat="false" ht="61.15" hidden="false" customHeight="false" outlineLevel="0" collapsed="false">
      <c r="A76" s="2" t="s">
        <v>2422</v>
      </c>
      <c r="B76" s="2" t="s">
        <v>8068</v>
      </c>
      <c r="C76" s="2" t="s">
        <v>2423</v>
      </c>
      <c r="D76" s="2" t="s">
        <v>2424</v>
      </c>
      <c r="E76" s="2" t="s">
        <v>2425</v>
      </c>
      <c r="F76" s="2" t="s">
        <v>2426</v>
      </c>
      <c r="G76" s="2" t="s">
        <v>20</v>
      </c>
      <c r="H76" s="2" t="s">
        <v>2427</v>
      </c>
      <c r="I76" s="2" t="s">
        <v>1959</v>
      </c>
      <c r="J76" s="2" t="n">
        <v>1</v>
      </c>
    </row>
    <row r="77" customFormat="false" ht="76.1" hidden="false" customHeight="false" outlineLevel="0" collapsed="false">
      <c r="A77" s="2" t="s">
        <v>2428</v>
      </c>
      <c r="B77" s="2" t="s">
        <v>8068</v>
      </c>
      <c r="C77" s="2" t="s">
        <v>2429</v>
      </c>
      <c r="D77" s="2" t="s">
        <v>2430</v>
      </c>
      <c r="E77" s="2" t="s">
        <v>2431</v>
      </c>
      <c r="F77" s="2" t="s">
        <v>2432</v>
      </c>
      <c r="G77" s="2" t="s">
        <v>20</v>
      </c>
      <c r="H77" s="2" t="s">
        <v>2433</v>
      </c>
      <c r="I77" s="2" t="s">
        <v>1959</v>
      </c>
      <c r="J77" s="2" t="n">
        <v>2</v>
      </c>
    </row>
    <row r="78" customFormat="false" ht="61.15" hidden="false" customHeight="false" outlineLevel="0" collapsed="false">
      <c r="A78" s="2" t="s">
        <v>2434</v>
      </c>
      <c r="B78" s="2" t="s">
        <v>8068</v>
      </c>
      <c r="C78" s="2" t="s">
        <v>2435</v>
      </c>
      <c r="D78" s="2" t="s">
        <v>2436</v>
      </c>
      <c r="E78" s="2" t="s">
        <v>2437</v>
      </c>
      <c r="F78" s="2" t="s">
        <v>2438</v>
      </c>
      <c r="G78" s="2" t="s">
        <v>20</v>
      </c>
      <c r="H78" s="2" t="s">
        <v>2439</v>
      </c>
      <c r="I78" s="2" t="s">
        <v>1959</v>
      </c>
      <c r="J78" s="2" t="n">
        <v>2</v>
      </c>
    </row>
    <row r="79" customFormat="false" ht="61.15" hidden="false" customHeight="false" outlineLevel="0" collapsed="false">
      <c r="A79" s="2" t="s">
        <v>2440</v>
      </c>
      <c r="B79" s="2" t="s">
        <v>8068</v>
      </c>
      <c r="C79" s="2" t="s">
        <v>2441</v>
      </c>
      <c r="D79" s="2" t="s">
        <v>2442</v>
      </c>
      <c r="E79" s="2" t="s">
        <v>2443</v>
      </c>
      <c r="F79" s="2" t="s">
        <v>2444</v>
      </c>
      <c r="G79" s="2" t="s">
        <v>20</v>
      </c>
      <c r="H79" s="2" t="s">
        <v>2445</v>
      </c>
      <c r="I79" s="2" t="s">
        <v>1959</v>
      </c>
      <c r="J79" s="2" t="n">
        <v>2</v>
      </c>
    </row>
    <row r="80" customFormat="false" ht="76.1" hidden="false" customHeight="false" outlineLevel="0" collapsed="false">
      <c r="A80" s="2" t="s">
        <v>2446</v>
      </c>
      <c r="B80" s="2" t="s">
        <v>8068</v>
      </c>
      <c r="C80" s="2" t="s">
        <v>2447</v>
      </c>
      <c r="D80" s="2" t="s">
        <v>2448</v>
      </c>
      <c r="E80" s="2" t="s">
        <v>2449</v>
      </c>
      <c r="F80" s="2" t="s">
        <v>2450</v>
      </c>
      <c r="G80" s="2" t="s">
        <v>20</v>
      </c>
      <c r="H80" s="2" t="s">
        <v>2451</v>
      </c>
      <c r="I80" s="2" t="s">
        <v>1959</v>
      </c>
      <c r="J80" s="2" t="n">
        <v>2</v>
      </c>
    </row>
    <row r="81" customFormat="false" ht="91" hidden="false" customHeight="false" outlineLevel="0" collapsed="false">
      <c r="A81" s="2" t="s">
        <v>2452</v>
      </c>
      <c r="B81" s="2" t="s">
        <v>8068</v>
      </c>
      <c r="C81" s="2" t="s">
        <v>2453</v>
      </c>
      <c r="D81" s="2" t="s">
        <v>2454</v>
      </c>
      <c r="E81" s="2" t="s">
        <v>2455</v>
      </c>
      <c r="F81" s="2" t="s">
        <v>2456</v>
      </c>
      <c r="G81" s="2" t="s">
        <v>20</v>
      </c>
      <c r="H81" s="2" t="s">
        <v>2457</v>
      </c>
      <c r="I81" s="2" t="s">
        <v>2458</v>
      </c>
      <c r="J81" s="2" t="n">
        <v>2</v>
      </c>
    </row>
    <row r="82" customFormat="false" ht="46.25" hidden="false" customHeight="false" outlineLevel="0" collapsed="false">
      <c r="A82" s="2" t="s">
        <v>2459</v>
      </c>
      <c r="B82" s="2" t="s">
        <v>8069</v>
      </c>
      <c r="C82" s="2" t="s">
        <v>2460</v>
      </c>
      <c r="D82" s="2" t="s">
        <v>2461</v>
      </c>
      <c r="E82" s="2" t="s">
        <v>2462</v>
      </c>
      <c r="F82" s="2" t="s">
        <v>2463</v>
      </c>
      <c r="G82" s="2" t="s">
        <v>20</v>
      </c>
      <c r="H82" s="2" t="s">
        <v>2451</v>
      </c>
      <c r="I82" s="2" t="s">
        <v>1959</v>
      </c>
      <c r="J82" s="2" t="n">
        <v>1</v>
      </c>
    </row>
    <row r="83" customFormat="false" ht="61.15" hidden="false" customHeight="false" outlineLevel="0" collapsed="false">
      <c r="A83" s="2" t="s">
        <v>2464</v>
      </c>
      <c r="B83" s="2" t="s">
        <v>8068</v>
      </c>
      <c r="C83" s="2" t="s">
        <v>2465</v>
      </c>
      <c r="D83" s="2" t="s">
        <v>2466</v>
      </c>
      <c r="E83" s="2" t="s">
        <v>2467</v>
      </c>
      <c r="F83" s="2" t="s">
        <v>2468</v>
      </c>
      <c r="G83" s="2" t="s">
        <v>20</v>
      </c>
      <c r="H83" s="2" t="s">
        <v>2469</v>
      </c>
      <c r="I83" s="2" t="s">
        <v>1959</v>
      </c>
      <c r="J83" s="2" t="n">
        <v>2</v>
      </c>
    </row>
    <row r="84" customFormat="false" ht="46.25" hidden="false" customHeight="false" outlineLevel="0" collapsed="false">
      <c r="A84" s="2" t="s">
        <v>2470</v>
      </c>
      <c r="B84" s="2" t="s">
        <v>8069</v>
      </c>
      <c r="C84" s="2" t="s">
        <v>2471</v>
      </c>
      <c r="D84" s="2" t="s">
        <v>2472</v>
      </c>
      <c r="E84" s="2" t="s">
        <v>2473</v>
      </c>
      <c r="F84" s="2" t="s">
        <v>2474</v>
      </c>
      <c r="G84" s="2" t="s">
        <v>20</v>
      </c>
      <c r="H84" s="2" t="s">
        <v>2475</v>
      </c>
      <c r="I84" s="2" t="s">
        <v>1959</v>
      </c>
      <c r="J84" s="2" t="n">
        <v>1</v>
      </c>
    </row>
    <row r="85" customFormat="false" ht="76.1" hidden="false" customHeight="false" outlineLevel="0" collapsed="false">
      <c r="A85" s="2" t="s">
        <v>2476</v>
      </c>
      <c r="B85" s="2" t="s">
        <v>8069</v>
      </c>
      <c r="C85" s="2" t="s">
        <v>2477</v>
      </c>
      <c r="D85" s="2" t="s">
        <v>2478</v>
      </c>
      <c r="E85" s="2" t="s">
        <v>2479</v>
      </c>
      <c r="F85" s="2" t="s">
        <v>2480</v>
      </c>
      <c r="G85" s="2" t="s">
        <v>20</v>
      </c>
      <c r="H85" s="2" t="s">
        <v>2481</v>
      </c>
      <c r="I85" s="2" t="s">
        <v>1959</v>
      </c>
      <c r="J85" s="2" t="n">
        <v>2</v>
      </c>
    </row>
    <row r="86" customFormat="false" ht="61.15" hidden="false" customHeight="false" outlineLevel="0" collapsed="false">
      <c r="A86" s="2" t="s">
        <v>2482</v>
      </c>
      <c r="B86" s="2" t="s">
        <v>8069</v>
      </c>
      <c r="C86" s="2" t="s">
        <v>2483</v>
      </c>
      <c r="D86" s="2" t="s">
        <v>2484</v>
      </c>
      <c r="E86" s="2" t="s">
        <v>2485</v>
      </c>
      <c r="F86" s="2" t="s">
        <v>2486</v>
      </c>
      <c r="G86" s="2" t="s">
        <v>20</v>
      </c>
      <c r="H86" s="2" t="s">
        <v>2487</v>
      </c>
      <c r="I86" s="2" t="s">
        <v>1959</v>
      </c>
      <c r="J86" s="2" t="n">
        <v>2</v>
      </c>
    </row>
    <row r="87" customFormat="false" ht="46.25" hidden="false" customHeight="false" outlineLevel="0" collapsed="false">
      <c r="A87" s="2" t="s">
        <v>2488</v>
      </c>
      <c r="B87" s="2" t="s">
        <v>8069</v>
      </c>
      <c r="C87" s="2" t="s">
        <v>2489</v>
      </c>
      <c r="D87" s="2" t="s">
        <v>2490</v>
      </c>
      <c r="E87" s="2" t="s">
        <v>2491</v>
      </c>
      <c r="F87" s="2" t="s">
        <v>2492</v>
      </c>
      <c r="G87" s="2" t="s">
        <v>20</v>
      </c>
      <c r="H87" s="2" t="s">
        <v>2493</v>
      </c>
      <c r="I87" s="2" t="s">
        <v>1959</v>
      </c>
      <c r="J87" s="2" t="n">
        <v>1</v>
      </c>
    </row>
    <row r="88" customFormat="false" ht="46.25" hidden="false" customHeight="false" outlineLevel="0" collapsed="false">
      <c r="A88" s="2" t="s">
        <v>2494</v>
      </c>
      <c r="B88" s="2" t="s">
        <v>8068</v>
      </c>
      <c r="C88" s="2" t="s">
        <v>2495</v>
      </c>
      <c r="D88" s="2" t="s">
        <v>2496</v>
      </c>
      <c r="E88" s="2" t="s">
        <v>2497</v>
      </c>
      <c r="F88" s="2" t="s">
        <v>2498</v>
      </c>
      <c r="G88" s="2" t="s">
        <v>20</v>
      </c>
      <c r="H88" s="2" t="s">
        <v>2499</v>
      </c>
      <c r="I88" s="2" t="s">
        <v>1959</v>
      </c>
      <c r="J88" s="2" t="n">
        <v>1</v>
      </c>
    </row>
    <row r="89" customFormat="false" ht="61.15" hidden="false" customHeight="false" outlineLevel="0" collapsed="false">
      <c r="A89" s="2" t="s">
        <v>2500</v>
      </c>
      <c r="B89" s="2" t="s">
        <v>8069</v>
      </c>
      <c r="C89" s="2" t="s">
        <v>2501</v>
      </c>
      <c r="D89" s="2" t="s">
        <v>2502</v>
      </c>
      <c r="E89" s="2" t="s">
        <v>2503</v>
      </c>
      <c r="F89" s="2" t="s">
        <v>2504</v>
      </c>
      <c r="G89" s="2" t="s">
        <v>20</v>
      </c>
      <c r="H89" s="2" t="s">
        <v>2505</v>
      </c>
      <c r="I89" s="2" t="s">
        <v>1959</v>
      </c>
      <c r="J89" s="2" t="n">
        <v>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7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customHeight="false"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45"/>
    <col collapsed="false" customWidth="true" hidden="false" outlineLevel="0" max="6" min="4" style="0" width="32"/>
    <col collapsed="false" customWidth="true" hidden="false" outlineLevel="0" max="7" min="7" style="0" width="9"/>
    <col collapsed="false" customWidth="true" hidden="false" outlineLevel="0" max="8" min="8" style="0" width="42"/>
    <col collapsed="false" customWidth="true" hidden="false" outlineLevel="0" max="9" min="9" style="0" width="20"/>
    <col collapsed="false" customWidth="true" hidden="false" outlineLevel="0" max="10" min="10" style="0" width="10"/>
  </cols>
  <sheetData>
    <row r="1" customFormat="false" ht="16.4" hidden="false" customHeight="false" outlineLevel="0" collapsed="false">
      <c r="A1" s="1" t="s">
        <v>0</v>
      </c>
      <c r="B1" s="1" t="s">
        <v>8067</v>
      </c>
      <c r="C1" s="1" t="s">
        <v>3</v>
      </c>
      <c r="D1" s="1" t="s">
        <v>4</v>
      </c>
      <c r="E1" s="1" t="s">
        <v>5</v>
      </c>
      <c r="F1" s="1" t="s">
        <v>6</v>
      </c>
      <c r="G1" s="1" t="s">
        <v>7</v>
      </c>
      <c r="H1" s="1" t="s">
        <v>8</v>
      </c>
      <c r="I1" s="1" t="s">
        <v>9</v>
      </c>
      <c r="J1" s="1" t="s">
        <v>11</v>
      </c>
    </row>
    <row r="2" customFormat="false" ht="61.15" hidden="false" customHeight="false" outlineLevel="0" collapsed="false">
      <c r="A2" s="2" t="s">
        <v>2027</v>
      </c>
      <c r="B2" s="2" t="s">
        <v>8069</v>
      </c>
      <c r="C2" s="2" t="s">
        <v>2029</v>
      </c>
      <c r="D2" s="2" t="s">
        <v>2030</v>
      </c>
      <c r="E2" s="2" t="s">
        <v>2031</v>
      </c>
      <c r="F2" s="2" t="s">
        <v>2032</v>
      </c>
      <c r="G2" s="2" t="s">
        <v>20</v>
      </c>
      <c r="H2" s="2" t="s">
        <v>2033</v>
      </c>
      <c r="I2" s="2" t="s">
        <v>2028</v>
      </c>
      <c r="J2" s="2" t="n">
        <v>1</v>
      </c>
    </row>
    <row r="3" customFormat="false" ht="76.1" hidden="false" customHeight="false" outlineLevel="0" collapsed="false">
      <c r="A3" s="2" t="s">
        <v>2506</v>
      </c>
      <c r="B3" s="2" t="s">
        <v>8068</v>
      </c>
      <c r="C3" s="2" t="s">
        <v>2507</v>
      </c>
      <c r="D3" s="2" t="s">
        <v>2508</v>
      </c>
      <c r="E3" s="2" t="s">
        <v>2509</v>
      </c>
      <c r="F3" s="2" t="s">
        <v>2510</v>
      </c>
      <c r="G3" s="2" t="s">
        <v>20</v>
      </c>
      <c r="H3" s="2" t="s">
        <v>2511</v>
      </c>
      <c r="I3" s="2" t="s">
        <v>2028</v>
      </c>
      <c r="J3" s="2" t="n">
        <v>3</v>
      </c>
    </row>
    <row r="4" customFormat="false" ht="91" hidden="false" customHeight="false" outlineLevel="0" collapsed="false">
      <c r="A4" s="2" t="s">
        <v>2512</v>
      </c>
      <c r="B4" s="2" t="s">
        <v>8068</v>
      </c>
      <c r="C4" s="2" t="s">
        <v>2513</v>
      </c>
      <c r="D4" s="2" t="s">
        <v>2514</v>
      </c>
      <c r="E4" s="2" t="s">
        <v>2515</v>
      </c>
      <c r="F4" s="2" t="s">
        <v>2516</v>
      </c>
      <c r="G4" s="2" t="s">
        <v>20</v>
      </c>
      <c r="H4" s="2" t="s">
        <v>2517</v>
      </c>
      <c r="I4" s="2" t="s">
        <v>2518</v>
      </c>
      <c r="J4" s="2" t="n">
        <v>4</v>
      </c>
    </row>
    <row r="5" customFormat="false" ht="61.15" hidden="false" customHeight="false" outlineLevel="0" collapsed="false">
      <c r="A5" s="2" t="s">
        <v>2519</v>
      </c>
      <c r="B5" s="2" t="s">
        <v>8068</v>
      </c>
      <c r="C5" s="2" t="s">
        <v>2520</v>
      </c>
      <c r="D5" s="2" t="s">
        <v>2521</v>
      </c>
      <c r="E5" s="2" t="s">
        <v>2522</v>
      </c>
      <c r="F5" s="2" t="s">
        <v>2523</v>
      </c>
      <c r="G5" s="2" t="s">
        <v>20</v>
      </c>
      <c r="H5" s="2" t="s">
        <v>2524</v>
      </c>
      <c r="I5" s="2" t="s">
        <v>2028</v>
      </c>
      <c r="J5" s="2" t="n">
        <v>4</v>
      </c>
    </row>
    <row r="6" customFormat="false" ht="61.15" hidden="false" customHeight="false" outlineLevel="0" collapsed="false">
      <c r="A6" s="2" t="s">
        <v>2525</v>
      </c>
      <c r="B6" s="2" t="s">
        <v>8069</v>
      </c>
      <c r="C6" s="2" t="s">
        <v>2526</v>
      </c>
      <c r="D6" s="2" t="s">
        <v>2527</v>
      </c>
      <c r="E6" s="2" t="s">
        <v>2528</v>
      </c>
      <c r="F6" s="2" t="s">
        <v>2529</v>
      </c>
      <c r="G6" s="2" t="s">
        <v>28</v>
      </c>
      <c r="H6" s="2" t="s">
        <v>2530</v>
      </c>
      <c r="I6" s="2" t="s">
        <v>2028</v>
      </c>
      <c r="J6" s="2" t="n">
        <v>1</v>
      </c>
    </row>
    <row r="7" customFormat="false" ht="61.15" hidden="false" customHeight="false" outlineLevel="0" collapsed="false">
      <c r="A7" s="2" t="s">
        <v>2531</v>
      </c>
      <c r="B7" s="2" t="s">
        <v>8068</v>
      </c>
      <c r="C7" s="2" t="s">
        <v>2532</v>
      </c>
      <c r="D7" s="2" t="s">
        <v>2533</v>
      </c>
      <c r="E7" s="2" t="s">
        <v>2534</v>
      </c>
      <c r="F7" s="2" t="s">
        <v>2535</v>
      </c>
      <c r="G7" s="2" t="s">
        <v>20</v>
      </c>
      <c r="H7" s="2" t="s">
        <v>2536</v>
      </c>
      <c r="I7" s="2" t="s">
        <v>2537</v>
      </c>
      <c r="J7" s="2" t="n">
        <v>3</v>
      </c>
    </row>
    <row r="8" customFormat="false" ht="61.15" hidden="false" customHeight="false" outlineLevel="0" collapsed="false">
      <c r="A8" s="2" t="s">
        <v>2538</v>
      </c>
      <c r="B8" s="2" t="s">
        <v>8068</v>
      </c>
      <c r="C8" s="2" t="s">
        <v>2539</v>
      </c>
      <c r="D8" s="2" t="s">
        <v>2540</v>
      </c>
      <c r="E8" s="2" t="s">
        <v>2541</v>
      </c>
      <c r="F8" s="2" t="s">
        <v>2542</v>
      </c>
      <c r="G8" s="2" t="s">
        <v>20</v>
      </c>
      <c r="H8" s="2" t="s">
        <v>2543</v>
      </c>
      <c r="I8" s="2" t="s">
        <v>2028</v>
      </c>
      <c r="J8" s="2" t="n">
        <v>2</v>
      </c>
    </row>
    <row r="9" customFormat="false" ht="61.15" hidden="false" customHeight="false" outlineLevel="0" collapsed="false">
      <c r="A9" s="2" t="s">
        <v>2544</v>
      </c>
      <c r="B9" s="2" t="s">
        <v>8069</v>
      </c>
      <c r="C9" s="2" t="s">
        <v>2545</v>
      </c>
      <c r="D9" s="2" t="s">
        <v>2546</v>
      </c>
      <c r="E9" s="2" t="s">
        <v>2547</v>
      </c>
      <c r="F9" s="2" t="s">
        <v>2548</v>
      </c>
      <c r="G9" s="2" t="s">
        <v>20</v>
      </c>
      <c r="H9" s="2" t="s">
        <v>2549</v>
      </c>
      <c r="I9" s="2" t="s">
        <v>2028</v>
      </c>
      <c r="J9" s="2" t="n">
        <v>2</v>
      </c>
    </row>
    <row r="10" customFormat="false" ht="91" hidden="false" customHeight="false" outlineLevel="0" collapsed="false">
      <c r="A10" s="2" t="s">
        <v>2550</v>
      </c>
      <c r="B10" s="2" t="s">
        <v>8068</v>
      </c>
      <c r="C10" s="2" t="s">
        <v>2551</v>
      </c>
      <c r="D10" s="2" t="s">
        <v>2552</v>
      </c>
      <c r="E10" s="2" t="s">
        <v>2553</v>
      </c>
      <c r="F10" s="2" t="s">
        <v>2554</v>
      </c>
      <c r="G10" s="2" t="s">
        <v>20</v>
      </c>
      <c r="H10" s="2" t="s">
        <v>2555</v>
      </c>
      <c r="I10" s="2" t="s">
        <v>2556</v>
      </c>
      <c r="J10" s="2" t="n">
        <v>1</v>
      </c>
    </row>
    <row r="11" customFormat="false" ht="76.1" hidden="false" customHeight="false" outlineLevel="0" collapsed="false">
      <c r="A11" s="2" t="s">
        <v>2557</v>
      </c>
      <c r="B11" s="2" t="s">
        <v>8068</v>
      </c>
      <c r="C11" s="2" t="s">
        <v>2558</v>
      </c>
      <c r="D11" s="2" t="s">
        <v>2559</v>
      </c>
      <c r="E11" s="2" t="s">
        <v>2560</v>
      </c>
      <c r="F11" s="2" t="s">
        <v>2561</v>
      </c>
      <c r="G11" s="2" t="s">
        <v>20</v>
      </c>
      <c r="H11" s="2" t="s">
        <v>2562</v>
      </c>
      <c r="I11" s="2" t="s">
        <v>2563</v>
      </c>
      <c r="J11" s="2" t="n">
        <v>2</v>
      </c>
    </row>
    <row r="12" customFormat="false" ht="61.15" hidden="false" customHeight="false" outlineLevel="0" collapsed="false">
      <c r="A12" s="2" t="s">
        <v>2564</v>
      </c>
      <c r="B12" s="2" t="s">
        <v>8068</v>
      </c>
      <c r="C12" s="2" t="s">
        <v>2565</v>
      </c>
      <c r="D12" s="2" t="s">
        <v>2566</v>
      </c>
      <c r="E12" s="2" t="s">
        <v>2567</v>
      </c>
      <c r="F12" s="2" t="s">
        <v>2568</v>
      </c>
      <c r="G12" s="2" t="s">
        <v>20</v>
      </c>
      <c r="H12" s="2" t="s">
        <v>2569</v>
      </c>
      <c r="I12" s="2" t="s">
        <v>2563</v>
      </c>
      <c r="J12" s="2" t="n">
        <v>2</v>
      </c>
    </row>
    <row r="13" customFormat="false" ht="61.15" hidden="false" customHeight="false" outlineLevel="0" collapsed="false">
      <c r="A13" s="2" t="s">
        <v>2570</v>
      </c>
      <c r="B13" s="2" t="s">
        <v>8068</v>
      </c>
      <c r="C13" s="2" t="s">
        <v>2571</v>
      </c>
      <c r="D13" s="2" t="s">
        <v>2572</v>
      </c>
      <c r="E13" s="2" t="s">
        <v>2573</v>
      </c>
      <c r="F13" s="2" t="s">
        <v>2574</v>
      </c>
      <c r="G13" s="2" t="s">
        <v>20</v>
      </c>
      <c r="H13" s="2" t="s">
        <v>2575</v>
      </c>
      <c r="I13" s="2" t="s">
        <v>2563</v>
      </c>
      <c r="J13" s="2" t="n">
        <v>2</v>
      </c>
    </row>
    <row r="14" customFormat="false" ht="61.15" hidden="false" customHeight="false" outlineLevel="0" collapsed="false">
      <c r="A14" s="2" t="s">
        <v>2576</v>
      </c>
      <c r="B14" s="2" t="s">
        <v>8069</v>
      </c>
      <c r="C14" s="2" t="s">
        <v>2577</v>
      </c>
      <c r="D14" s="2" t="s">
        <v>2578</v>
      </c>
      <c r="E14" s="2" t="s">
        <v>2579</v>
      </c>
      <c r="F14" s="2" t="s">
        <v>2580</v>
      </c>
      <c r="G14" s="2" t="s">
        <v>20</v>
      </c>
      <c r="H14" s="2" t="s">
        <v>2581</v>
      </c>
      <c r="I14" s="2" t="s">
        <v>2582</v>
      </c>
      <c r="J14" s="2" t="n">
        <v>1</v>
      </c>
    </row>
    <row r="15" customFormat="false" ht="61.15" hidden="false" customHeight="false" outlineLevel="0" collapsed="false">
      <c r="A15" s="2" t="s">
        <v>2583</v>
      </c>
      <c r="B15" s="2" t="s">
        <v>8068</v>
      </c>
      <c r="C15" s="2" t="s">
        <v>2584</v>
      </c>
      <c r="D15" s="2" t="s">
        <v>2585</v>
      </c>
      <c r="E15" s="2" t="s">
        <v>2586</v>
      </c>
      <c r="F15" s="2" t="s">
        <v>2587</v>
      </c>
      <c r="G15" s="2" t="s">
        <v>20</v>
      </c>
      <c r="H15" s="2" t="s">
        <v>2588</v>
      </c>
      <c r="I15" s="2" t="s">
        <v>2582</v>
      </c>
      <c r="J15" s="2" t="n">
        <v>2</v>
      </c>
    </row>
    <row r="16" customFormat="false" ht="46.25" hidden="false" customHeight="false" outlineLevel="0" collapsed="false">
      <c r="A16" s="2" t="s">
        <v>2589</v>
      </c>
      <c r="B16" s="2" t="s">
        <v>8069</v>
      </c>
      <c r="C16" s="2" t="s">
        <v>2590</v>
      </c>
      <c r="D16" s="2" t="s">
        <v>2591</v>
      </c>
      <c r="E16" s="2" t="s">
        <v>2592</v>
      </c>
      <c r="F16" s="2" t="s">
        <v>2593</v>
      </c>
      <c r="G16" s="2" t="s">
        <v>20</v>
      </c>
      <c r="H16" s="2" t="s">
        <v>2594</v>
      </c>
      <c r="I16" s="2" t="s">
        <v>2582</v>
      </c>
      <c r="J16" s="2" t="n">
        <v>1</v>
      </c>
    </row>
    <row r="17" customFormat="false" ht="46.25" hidden="false" customHeight="false" outlineLevel="0" collapsed="false">
      <c r="A17" s="2" t="s">
        <v>2595</v>
      </c>
      <c r="B17" s="2" t="s">
        <v>8069</v>
      </c>
      <c r="C17" s="2" t="s">
        <v>2596</v>
      </c>
      <c r="D17" s="2" t="s">
        <v>2597</v>
      </c>
      <c r="E17" s="2" t="s">
        <v>2598</v>
      </c>
      <c r="F17" s="2" t="s">
        <v>2599</v>
      </c>
      <c r="G17" s="2" t="s">
        <v>20</v>
      </c>
      <c r="H17" s="2" t="s">
        <v>2600</v>
      </c>
      <c r="I17" s="2" t="s">
        <v>2582</v>
      </c>
      <c r="J17" s="2" t="n">
        <v>1</v>
      </c>
    </row>
    <row r="18" customFormat="false" ht="76.1" hidden="false" customHeight="false" outlineLevel="0" collapsed="false">
      <c r="A18" s="2" t="s">
        <v>2601</v>
      </c>
      <c r="B18" s="2" t="s">
        <v>8068</v>
      </c>
      <c r="C18" s="2" t="s">
        <v>2602</v>
      </c>
      <c r="D18" s="2" t="s">
        <v>2603</v>
      </c>
      <c r="E18" s="2" t="s">
        <v>2604</v>
      </c>
      <c r="F18" s="2" t="s">
        <v>2605</v>
      </c>
      <c r="G18" s="2" t="s">
        <v>20</v>
      </c>
      <c r="H18" s="2" t="s">
        <v>2606</v>
      </c>
      <c r="I18" s="2" t="s">
        <v>2582</v>
      </c>
      <c r="J18" s="2" t="n">
        <v>3</v>
      </c>
    </row>
    <row r="19" customFormat="false" ht="61.15" hidden="false" customHeight="false" outlineLevel="0" collapsed="false">
      <c r="A19" s="2" t="s">
        <v>2607</v>
      </c>
      <c r="B19" s="2" t="s">
        <v>8068</v>
      </c>
      <c r="C19" s="2" t="s">
        <v>2608</v>
      </c>
      <c r="D19" s="2" t="s">
        <v>2609</v>
      </c>
      <c r="E19" s="2" t="s">
        <v>2610</v>
      </c>
      <c r="F19" s="2" t="s">
        <v>2611</v>
      </c>
      <c r="G19" s="2" t="s">
        <v>20</v>
      </c>
      <c r="H19" s="2" t="s">
        <v>2612</v>
      </c>
      <c r="I19" s="2" t="s">
        <v>2582</v>
      </c>
      <c r="J19" s="2" t="n">
        <v>2</v>
      </c>
    </row>
    <row r="20" customFormat="false" ht="46.25" hidden="false" customHeight="false" outlineLevel="0" collapsed="false">
      <c r="A20" s="2" t="s">
        <v>2613</v>
      </c>
      <c r="B20" s="2" t="s">
        <v>8068</v>
      </c>
      <c r="C20" s="2" t="s">
        <v>2614</v>
      </c>
      <c r="D20" s="2" t="s">
        <v>2356</v>
      </c>
      <c r="E20" s="2" t="s">
        <v>2615</v>
      </c>
      <c r="F20" s="2" t="s">
        <v>2357</v>
      </c>
      <c r="G20" s="2" t="s">
        <v>20</v>
      </c>
      <c r="H20" s="2" t="s">
        <v>2616</v>
      </c>
      <c r="I20" s="2" t="s">
        <v>2582</v>
      </c>
      <c r="J20" s="2" t="n">
        <v>3</v>
      </c>
    </row>
    <row r="21" customFormat="false" ht="46.25" hidden="false" customHeight="false" outlineLevel="0" collapsed="false">
      <c r="A21" s="2" t="s">
        <v>2617</v>
      </c>
      <c r="B21" s="2" t="s">
        <v>8069</v>
      </c>
      <c r="C21" s="2" t="s">
        <v>2618</v>
      </c>
      <c r="D21" s="2" t="s">
        <v>2619</v>
      </c>
      <c r="E21" s="2" t="s">
        <v>2620</v>
      </c>
      <c r="F21" s="2" t="s">
        <v>2621</v>
      </c>
      <c r="G21" s="2" t="s">
        <v>20</v>
      </c>
      <c r="H21" s="2" t="s">
        <v>2622</v>
      </c>
      <c r="I21" s="2" t="s">
        <v>2623</v>
      </c>
      <c r="J21" s="2" t="n">
        <v>1</v>
      </c>
    </row>
    <row r="22" customFormat="false" ht="46.25" hidden="false" customHeight="false" outlineLevel="0" collapsed="false">
      <c r="A22" s="2" t="s">
        <v>2624</v>
      </c>
      <c r="B22" s="2" t="s">
        <v>8069</v>
      </c>
      <c r="C22" s="2" t="s">
        <v>2625</v>
      </c>
      <c r="D22" s="2" t="s">
        <v>2626</v>
      </c>
      <c r="E22" s="2" t="s">
        <v>2627</v>
      </c>
      <c r="F22" s="2" t="s">
        <v>2628</v>
      </c>
      <c r="G22" s="2" t="s">
        <v>20</v>
      </c>
      <c r="H22" s="2" t="s">
        <v>2629</v>
      </c>
      <c r="I22" s="2" t="s">
        <v>2623</v>
      </c>
      <c r="J22" s="2" t="n">
        <v>1</v>
      </c>
    </row>
    <row r="23" customFormat="false" ht="61.15" hidden="false" customHeight="false" outlineLevel="0" collapsed="false">
      <c r="A23" s="2" t="s">
        <v>2630</v>
      </c>
      <c r="B23" s="2" t="s">
        <v>8068</v>
      </c>
      <c r="C23" s="2" t="s">
        <v>2631</v>
      </c>
      <c r="D23" s="2" t="s">
        <v>2632</v>
      </c>
      <c r="E23" s="2" t="s">
        <v>2633</v>
      </c>
      <c r="F23" s="2" t="s">
        <v>2634</v>
      </c>
      <c r="G23" s="2" t="s">
        <v>20</v>
      </c>
      <c r="H23" s="2" t="s">
        <v>2635</v>
      </c>
      <c r="I23" s="2" t="s">
        <v>2623</v>
      </c>
      <c r="J23" s="2" t="n">
        <v>3</v>
      </c>
    </row>
    <row r="24" customFormat="false" ht="76.1" hidden="false" customHeight="false" outlineLevel="0" collapsed="false">
      <c r="A24" s="2" t="s">
        <v>2636</v>
      </c>
      <c r="B24" s="2" t="s">
        <v>8069</v>
      </c>
      <c r="C24" s="2" t="s">
        <v>2637</v>
      </c>
      <c r="D24" s="2" t="s">
        <v>2638</v>
      </c>
      <c r="E24" s="2" t="s">
        <v>2639</v>
      </c>
      <c r="F24" s="2" t="s">
        <v>2640</v>
      </c>
      <c r="G24" s="2" t="s">
        <v>20</v>
      </c>
      <c r="H24" s="2" t="s">
        <v>2641</v>
      </c>
      <c r="I24" s="2" t="s">
        <v>2623</v>
      </c>
      <c r="J24" s="2" t="n">
        <v>2</v>
      </c>
    </row>
    <row r="25" customFormat="false" ht="61.15" hidden="false" customHeight="false" outlineLevel="0" collapsed="false">
      <c r="A25" s="2" t="s">
        <v>2642</v>
      </c>
      <c r="B25" s="2" t="s">
        <v>8068</v>
      </c>
      <c r="C25" s="2" t="s">
        <v>2643</v>
      </c>
      <c r="D25" s="2" t="s">
        <v>2644</v>
      </c>
      <c r="E25" s="2" t="s">
        <v>2645</v>
      </c>
      <c r="F25" s="2" t="s">
        <v>2646</v>
      </c>
      <c r="G25" s="2" t="s">
        <v>20</v>
      </c>
      <c r="H25" s="2" t="s">
        <v>2647</v>
      </c>
      <c r="I25" s="2" t="s">
        <v>2623</v>
      </c>
      <c r="J25" s="2" t="n">
        <v>2</v>
      </c>
    </row>
    <row r="26" customFormat="false" ht="76.1" hidden="false" customHeight="false" outlineLevel="0" collapsed="false">
      <c r="A26" s="2" t="s">
        <v>2648</v>
      </c>
      <c r="B26" s="2" t="s">
        <v>8069</v>
      </c>
      <c r="C26" s="2" t="s">
        <v>2649</v>
      </c>
      <c r="D26" s="2" t="s">
        <v>2650</v>
      </c>
      <c r="E26" s="2" t="s">
        <v>2651</v>
      </c>
      <c r="F26" s="2" t="s">
        <v>2652</v>
      </c>
      <c r="G26" s="2" t="s">
        <v>20</v>
      </c>
      <c r="H26" s="2" t="s">
        <v>2653</v>
      </c>
      <c r="I26" s="2" t="s">
        <v>2654</v>
      </c>
      <c r="J26" s="2" t="n">
        <v>2</v>
      </c>
    </row>
    <row r="27" customFormat="false" ht="46.25" hidden="false" customHeight="false" outlineLevel="0" collapsed="false">
      <c r="A27" s="2" t="s">
        <v>2655</v>
      </c>
      <c r="B27" s="2" t="s">
        <v>8069</v>
      </c>
      <c r="C27" s="2" t="s">
        <v>2656</v>
      </c>
      <c r="D27" s="2" t="s">
        <v>2657</v>
      </c>
      <c r="E27" s="2" t="s">
        <v>2658</v>
      </c>
      <c r="F27" s="2" t="s">
        <v>2659</v>
      </c>
      <c r="G27" s="2" t="s">
        <v>20</v>
      </c>
      <c r="H27" s="2" t="s">
        <v>2660</v>
      </c>
      <c r="I27" s="2" t="s">
        <v>2654</v>
      </c>
      <c r="J27" s="2" t="n">
        <v>1</v>
      </c>
    </row>
    <row r="28" customFormat="false" ht="61.15" hidden="false" customHeight="false" outlineLevel="0" collapsed="false">
      <c r="A28" s="2" t="s">
        <v>2661</v>
      </c>
      <c r="B28" s="2" t="s">
        <v>8068</v>
      </c>
      <c r="C28" s="2" t="s">
        <v>2662</v>
      </c>
      <c r="D28" s="2" t="s">
        <v>2663</v>
      </c>
      <c r="E28" s="2" t="s">
        <v>2664</v>
      </c>
      <c r="F28" s="2" t="s">
        <v>2665</v>
      </c>
      <c r="G28" s="2" t="s">
        <v>20</v>
      </c>
      <c r="H28" s="2" t="s">
        <v>2666</v>
      </c>
      <c r="I28" s="2" t="s">
        <v>2654</v>
      </c>
      <c r="J28" s="2" t="n">
        <v>2</v>
      </c>
    </row>
    <row r="29" customFormat="false" ht="31.3" hidden="false" customHeight="false" outlineLevel="0" collapsed="false">
      <c r="A29" s="2" t="s">
        <v>2667</v>
      </c>
      <c r="B29" s="2" t="s">
        <v>8069</v>
      </c>
      <c r="C29" s="2" t="s">
        <v>2668</v>
      </c>
      <c r="D29" s="2" t="s">
        <v>2669</v>
      </c>
      <c r="E29" s="2" t="s">
        <v>2670</v>
      </c>
      <c r="F29" s="2" t="s">
        <v>2671</v>
      </c>
      <c r="G29" s="2" t="s">
        <v>20</v>
      </c>
      <c r="H29" s="2" t="s">
        <v>2672</v>
      </c>
      <c r="I29" s="2" t="s">
        <v>2654</v>
      </c>
      <c r="J29" s="2" t="n">
        <v>2</v>
      </c>
    </row>
    <row r="30" customFormat="false" ht="46.25" hidden="false" customHeight="false" outlineLevel="0" collapsed="false">
      <c r="A30" s="2" t="s">
        <v>2673</v>
      </c>
      <c r="B30" s="2" t="s">
        <v>8069</v>
      </c>
      <c r="C30" s="2" t="s">
        <v>2674</v>
      </c>
      <c r="D30" s="2" t="s">
        <v>2675</v>
      </c>
      <c r="E30" s="2" t="s">
        <v>2676</v>
      </c>
      <c r="F30" s="2" t="s">
        <v>2677</v>
      </c>
      <c r="G30" s="2" t="s">
        <v>20</v>
      </c>
      <c r="H30" s="2" t="s">
        <v>2678</v>
      </c>
      <c r="I30" s="2" t="s">
        <v>2654</v>
      </c>
      <c r="J30" s="2" t="n">
        <v>2</v>
      </c>
    </row>
    <row r="31" customFormat="false" ht="76.1" hidden="false" customHeight="false" outlineLevel="0" collapsed="false">
      <c r="A31" s="2" t="s">
        <v>2679</v>
      </c>
      <c r="B31" s="2" t="s">
        <v>8069</v>
      </c>
      <c r="C31" s="2" t="s">
        <v>2680</v>
      </c>
      <c r="D31" s="2" t="s">
        <v>2681</v>
      </c>
      <c r="E31" s="2" t="s">
        <v>2682</v>
      </c>
      <c r="F31" s="2" t="s">
        <v>2683</v>
      </c>
      <c r="G31" s="2" t="s">
        <v>20</v>
      </c>
      <c r="H31" s="2" t="s">
        <v>2684</v>
      </c>
      <c r="I31" s="2" t="s">
        <v>2654</v>
      </c>
      <c r="J31" s="2" t="n">
        <v>3</v>
      </c>
    </row>
    <row r="32" customFormat="false" ht="76.1" hidden="false" customHeight="false" outlineLevel="0" collapsed="false">
      <c r="A32" s="2" t="s">
        <v>2685</v>
      </c>
      <c r="B32" s="2" t="s">
        <v>8069</v>
      </c>
      <c r="C32" s="2" t="s">
        <v>2686</v>
      </c>
      <c r="D32" s="2" t="s">
        <v>2687</v>
      </c>
      <c r="E32" s="2" t="s">
        <v>2688</v>
      </c>
      <c r="F32" s="2" t="s">
        <v>2689</v>
      </c>
      <c r="G32" s="2" t="s">
        <v>20</v>
      </c>
      <c r="H32" s="2" t="s">
        <v>2690</v>
      </c>
      <c r="I32" s="2" t="s">
        <v>2654</v>
      </c>
      <c r="J32" s="2" t="n">
        <v>3</v>
      </c>
    </row>
    <row r="33" customFormat="false" ht="61.15" hidden="false" customHeight="false" outlineLevel="0" collapsed="false">
      <c r="A33" s="2" t="s">
        <v>2691</v>
      </c>
      <c r="B33" s="2" t="s">
        <v>8068</v>
      </c>
      <c r="C33" s="2" t="s">
        <v>2692</v>
      </c>
      <c r="D33" s="2" t="s">
        <v>1608</v>
      </c>
      <c r="E33" s="2" t="s">
        <v>1607</v>
      </c>
      <c r="F33" s="2" t="s">
        <v>2693</v>
      </c>
      <c r="G33" s="2" t="s">
        <v>20</v>
      </c>
      <c r="H33" s="2" t="s">
        <v>2694</v>
      </c>
      <c r="I33" s="2" t="s">
        <v>2654</v>
      </c>
      <c r="J33" s="2" t="n">
        <v>2</v>
      </c>
    </row>
    <row r="34" customFormat="false" ht="76.1" hidden="false" customHeight="false" outlineLevel="0" collapsed="false">
      <c r="A34" s="2" t="s">
        <v>2695</v>
      </c>
      <c r="B34" s="2" t="s">
        <v>8068</v>
      </c>
      <c r="C34" s="2" t="s">
        <v>2696</v>
      </c>
      <c r="D34" s="2" t="s">
        <v>2697</v>
      </c>
      <c r="E34" s="2" t="s">
        <v>2698</v>
      </c>
      <c r="F34" s="2" t="s">
        <v>2699</v>
      </c>
      <c r="G34" s="2" t="s">
        <v>20</v>
      </c>
      <c r="H34" s="2" t="s">
        <v>2700</v>
      </c>
      <c r="I34" s="2" t="s">
        <v>2654</v>
      </c>
      <c r="J34" s="2" t="n">
        <v>3</v>
      </c>
    </row>
    <row r="35" customFormat="false" ht="46.25" hidden="false" customHeight="false" outlineLevel="0" collapsed="false">
      <c r="A35" s="2" t="s">
        <v>2701</v>
      </c>
      <c r="B35" s="2" t="s">
        <v>8069</v>
      </c>
      <c r="C35" s="2" t="s">
        <v>2702</v>
      </c>
      <c r="D35" s="2" t="s">
        <v>2703</v>
      </c>
      <c r="E35" s="2" t="s">
        <v>2704</v>
      </c>
      <c r="F35" s="2" t="s">
        <v>2705</v>
      </c>
      <c r="G35" s="2" t="s">
        <v>20</v>
      </c>
      <c r="H35" s="2" t="s">
        <v>2706</v>
      </c>
      <c r="I35" s="2" t="s">
        <v>2707</v>
      </c>
      <c r="J35" s="2" t="n">
        <v>1</v>
      </c>
    </row>
    <row r="36" customFormat="false" ht="46.25" hidden="false" customHeight="false" outlineLevel="0" collapsed="false">
      <c r="A36" s="2" t="s">
        <v>2708</v>
      </c>
      <c r="B36" s="2" t="s">
        <v>8069</v>
      </c>
      <c r="C36" s="2" t="s">
        <v>2709</v>
      </c>
      <c r="D36" s="2" t="s">
        <v>2528</v>
      </c>
      <c r="E36" s="2" t="s">
        <v>2710</v>
      </c>
      <c r="F36" s="2" t="s">
        <v>2711</v>
      </c>
      <c r="G36" s="2" t="s">
        <v>20</v>
      </c>
      <c r="H36" s="2" t="s">
        <v>2712</v>
      </c>
      <c r="I36" s="2" t="s">
        <v>2707</v>
      </c>
      <c r="J36" s="2" t="n">
        <v>2</v>
      </c>
    </row>
    <row r="37" customFormat="false" ht="46.25" hidden="false" customHeight="false" outlineLevel="0" collapsed="false">
      <c r="A37" s="2" t="s">
        <v>2713</v>
      </c>
      <c r="B37" s="2" t="s">
        <v>8069</v>
      </c>
      <c r="C37" s="2" t="s">
        <v>2714</v>
      </c>
      <c r="D37" s="2" t="s">
        <v>2715</v>
      </c>
      <c r="E37" s="2" t="s">
        <v>2716</v>
      </c>
      <c r="F37" s="2" t="s">
        <v>2717</v>
      </c>
      <c r="G37" s="2" t="s">
        <v>20</v>
      </c>
      <c r="H37" s="2" t="s">
        <v>2718</v>
      </c>
      <c r="I37" s="2" t="s">
        <v>2707</v>
      </c>
      <c r="J37" s="2" t="n">
        <v>2</v>
      </c>
    </row>
    <row r="38" customFormat="false" ht="61.15" hidden="false" customHeight="false" outlineLevel="0" collapsed="false">
      <c r="A38" s="2" t="s">
        <v>2719</v>
      </c>
      <c r="B38" s="2" t="s">
        <v>8068</v>
      </c>
      <c r="C38" s="2" t="s">
        <v>2720</v>
      </c>
      <c r="D38" s="2" t="s">
        <v>2721</v>
      </c>
      <c r="E38" s="2" t="s">
        <v>2722</v>
      </c>
      <c r="F38" s="2" t="s">
        <v>2723</v>
      </c>
      <c r="G38" s="2" t="s">
        <v>20</v>
      </c>
      <c r="H38" s="2" t="s">
        <v>2724</v>
      </c>
      <c r="I38" s="2" t="s">
        <v>2707</v>
      </c>
      <c r="J38" s="2" t="n">
        <v>2</v>
      </c>
    </row>
    <row r="39" customFormat="false" ht="46.25" hidden="false" customHeight="false" outlineLevel="0" collapsed="false">
      <c r="A39" s="2" t="s">
        <v>2725</v>
      </c>
      <c r="B39" s="2" t="s">
        <v>8069</v>
      </c>
      <c r="C39" s="2" t="s">
        <v>2726</v>
      </c>
      <c r="D39" s="2" t="s">
        <v>2727</v>
      </c>
      <c r="E39" s="2" t="s">
        <v>2728</v>
      </c>
      <c r="F39" s="2" t="s">
        <v>2729</v>
      </c>
      <c r="G39" s="2" t="s">
        <v>20</v>
      </c>
      <c r="H39" s="2" t="s">
        <v>2730</v>
      </c>
      <c r="I39" s="2" t="s">
        <v>2707</v>
      </c>
      <c r="J39" s="2" t="n">
        <v>3</v>
      </c>
    </row>
    <row r="40" customFormat="false" ht="61.15" hidden="false" customHeight="false" outlineLevel="0" collapsed="false">
      <c r="A40" s="2" t="s">
        <v>2731</v>
      </c>
      <c r="B40" s="2" t="s">
        <v>8069</v>
      </c>
      <c r="C40" s="2" t="s">
        <v>2732</v>
      </c>
      <c r="D40" s="2" t="s">
        <v>2733</v>
      </c>
      <c r="E40" s="2" t="s">
        <v>2734</v>
      </c>
      <c r="F40" s="2" t="s">
        <v>2735</v>
      </c>
      <c r="G40" s="2" t="s">
        <v>20</v>
      </c>
      <c r="H40" s="2" t="s">
        <v>2736</v>
      </c>
      <c r="I40" s="2" t="s">
        <v>2707</v>
      </c>
      <c r="J40" s="2" t="n">
        <v>3</v>
      </c>
    </row>
    <row r="41" customFormat="false" ht="46.25" hidden="false" customHeight="false" outlineLevel="0" collapsed="false">
      <c r="A41" s="2" t="s">
        <v>2737</v>
      </c>
      <c r="B41" s="2" t="s">
        <v>8069</v>
      </c>
      <c r="C41" s="2" t="s">
        <v>2738</v>
      </c>
      <c r="D41" s="2" t="s">
        <v>2739</v>
      </c>
      <c r="E41" s="2" t="s">
        <v>2740</v>
      </c>
      <c r="F41" s="2" t="s">
        <v>2741</v>
      </c>
      <c r="G41" s="2" t="s">
        <v>20</v>
      </c>
      <c r="H41" s="2" t="s">
        <v>2742</v>
      </c>
      <c r="I41" s="2" t="s">
        <v>2707</v>
      </c>
      <c r="J41" s="2" t="n">
        <v>3</v>
      </c>
    </row>
    <row r="42" customFormat="false" ht="76.1" hidden="false" customHeight="false" outlineLevel="0" collapsed="false">
      <c r="A42" s="2" t="s">
        <v>2743</v>
      </c>
      <c r="B42" s="2" t="s">
        <v>8068</v>
      </c>
      <c r="C42" s="2" t="s">
        <v>2744</v>
      </c>
      <c r="D42" s="2" t="s">
        <v>2745</v>
      </c>
      <c r="E42" s="2" t="s">
        <v>2746</v>
      </c>
      <c r="F42" s="2" t="s">
        <v>2747</v>
      </c>
      <c r="G42" s="2" t="s">
        <v>20</v>
      </c>
      <c r="H42" s="2" t="s">
        <v>2748</v>
      </c>
      <c r="I42" s="2" t="s">
        <v>2707</v>
      </c>
      <c r="J42" s="2" t="n">
        <v>3</v>
      </c>
    </row>
    <row r="43" customFormat="false" ht="61.15" hidden="false" customHeight="false" outlineLevel="0" collapsed="false">
      <c r="A43" s="2" t="s">
        <v>2749</v>
      </c>
      <c r="B43" s="2" t="s">
        <v>8069</v>
      </c>
      <c r="C43" s="2" t="s">
        <v>2750</v>
      </c>
      <c r="D43" s="2" t="s">
        <v>2751</v>
      </c>
      <c r="E43" s="2" t="s">
        <v>2752</v>
      </c>
      <c r="F43" s="2" t="s">
        <v>2753</v>
      </c>
      <c r="G43" s="2" t="s">
        <v>20</v>
      </c>
      <c r="H43" s="2" t="s">
        <v>2754</v>
      </c>
      <c r="I43" s="2" t="s">
        <v>2707</v>
      </c>
      <c r="J43" s="2" t="n">
        <v>3</v>
      </c>
    </row>
    <row r="44" customFormat="false" ht="76.1" hidden="false" customHeight="false" outlineLevel="0" collapsed="false">
      <c r="A44" s="2" t="s">
        <v>2755</v>
      </c>
      <c r="B44" s="2" t="s">
        <v>8068</v>
      </c>
      <c r="C44" s="2" t="s">
        <v>2756</v>
      </c>
      <c r="D44" s="2" t="s">
        <v>2757</v>
      </c>
      <c r="E44" s="2" t="s">
        <v>2758</v>
      </c>
      <c r="F44" s="2" t="s">
        <v>2759</v>
      </c>
      <c r="G44" s="2" t="s">
        <v>20</v>
      </c>
      <c r="H44" s="2" t="s">
        <v>2760</v>
      </c>
      <c r="I44" s="2" t="s">
        <v>2707</v>
      </c>
      <c r="J44" s="2" t="n">
        <v>3</v>
      </c>
    </row>
    <row r="45" customFormat="false" ht="61.15" hidden="false" customHeight="false" outlineLevel="0" collapsed="false">
      <c r="A45" s="2" t="s">
        <v>2761</v>
      </c>
      <c r="B45" s="2" t="s">
        <v>8068</v>
      </c>
      <c r="C45" s="2" t="s">
        <v>2762</v>
      </c>
      <c r="D45" s="2" t="s">
        <v>2763</v>
      </c>
      <c r="E45" s="2" t="s">
        <v>2764</v>
      </c>
      <c r="F45" s="2" t="s">
        <v>2765</v>
      </c>
      <c r="G45" s="2" t="s">
        <v>20</v>
      </c>
      <c r="H45" s="2" t="s">
        <v>2766</v>
      </c>
      <c r="I45" s="2" t="s">
        <v>2767</v>
      </c>
      <c r="J45" s="2" t="n">
        <v>2</v>
      </c>
    </row>
    <row r="46" customFormat="false" ht="46.25" hidden="false" customHeight="false" outlineLevel="0" collapsed="false">
      <c r="A46" s="2" t="s">
        <v>2768</v>
      </c>
      <c r="B46" s="2" t="s">
        <v>8068</v>
      </c>
      <c r="C46" s="2" t="s">
        <v>2769</v>
      </c>
      <c r="D46" s="2" t="s">
        <v>2770</v>
      </c>
      <c r="E46" s="2" t="s">
        <v>2771</v>
      </c>
      <c r="F46" s="2" t="s">
        <v>2772</v>
      </c>
      <c r="G46" s="2" t="s">
        <v>20</v>
      </c>
      <c r="H46" s="2" t="s">
        <v>2773</v>
      </c>
      <c r="I46" s="2" t="s">
        <v>2767</v>
      </c>
      <c r="J46" s="2" t="n">
        <v>2</v>
      </c>
    </row>
    <row r="47" customFormat="false" ht="46.25" hidden="false" customHeight="false" outlineLevel="0" collapsed="false">
      <c r="A47" s="2" t="s">
        <v>2774</v>
      </c>
      <c r="B47" s="2" t="s">
        <v>8068</v>
      </c>
      <c r="C47" s="2" t="s">
        <v>2775</v>
      </c>
      <c r="D47" s="2" t="s">
        <v>2776</v>
      </c>
      <c r="E47" s="2" t="s">
        <v>2777</v>
      </c>
      <c r="F47" s="2" t="s">
        <v>2778</v>
      </c>
      <c r="G47" s="2" t="s">
        <v>20</v>
      </c>
      <c r="H47" s="2" t="s">
        <v>2779</v>
      </c>
      <c r="I47" s="2" t="s">
        <v>2780</v>
      </c>
      <c r="J47" s="2" t="n">
        <v>1</v>
      </c>
    </row>
    <row r="48" customFormat="false" ht="61.15" hidden="false" customHeight="false" outlineLevel="0" collapsed="false">
      <c r="A48" s="2" t="s">
        <v>2781</v>
      </c>
      <c r="B48" s="2" t="s">
        <v>8068</v>
      </c>
      <c r="C48" s="2" t="s">
        <v>2782</v>
      </c>
      <c r="D48" s="2" t="s">
        <v>2783</v>
      </c>
      <c r="E48" s="2" t="s">
        <v>2784</v>
      </c>
      <c r="F48" s="2" t="s">
        <v>2785</v>
      </c>
      <c r="G48" s="2" t="s">
        <v>20</v>
      </c>
      <c r="H48" s="2" t="s">
        <v>2786</v>
      </c>
      <c r="I48" s="2" t="s">
        <v>2780</v>
      </c>
      <c r="J48" s="2" t="n">
        <v>2</v>
      </c>
    </row>
    <row r="49" customFormat="false" ht="61.15" hidden="false" customHeight="false" outlineLevel="0" collapsed="false">
      <c r="A49" s="2" t="s">
        <v>2787</v>
      </c>
      <c r="B49" s="2" t="s">
        <v>8068</v>
      </c>
      <c r="C49" s="2" t="s">
        <v>2788</v>
      </c>
      <c r="D49" s="2" t="s">
        <v>2789</v>
      </c>
      <c r="E49" s="2" t="s">
        <v>2790</v>
      </c>
      <c r="F49" s="2" t="s">
        <v>2791</v>
      </c>
      <c r="G49" s="2" t="s">
        <v>20</v>
      </c>
      <c r="H49" s="2" t="s">
        <v>2792</v>
      </c>
      <c r="I49" s="2" t="s">
        <v>2780</v>
      </c>
      <c r="J49" s="2" t="n">
        <v>2</v>
      </c>
    </row>
    <row r="50" customFormat="false" ht="46.25" hidden="false" customHeight="false" outlineLevel="0" collapsed="false">
      <c r="A50" s="2" t="s">
        <v>2793</v>
      </c>
      <c r="B50" s="2" t="s">
        <v>8068</v>
      </c>
      <c r="C50" s="2" t="s">
        <v>2794</v>
      </c>
      <c r="D50" s="2" t="s">
        <v>2795</v>
      </c>
      <c r="E50" s="2" t="s">
        <v>2796</v>
      </c>
      <c r="F50" s="2" t="s">
        <v>2797</v>
      </c>
      <c r="G50" s="2" t="s">
        <v>20</v>
      </c>
      <c r="H50" s="2" t="s">
        <v>2798</v>
      </c>
      <c r="I50" s="2" t="s">
        <v>2799</v>
      </c>
      <c r="J50" s="2" t="n">
        <v>2</v>
      </c>
    </row>
    <row r="51" customFormat="false" ht="46.25" hidden="false" customHeight="false" outlineLevel="0" collapsed="false">
      <c r="A51" s="2" t="s">
        <v>2800</v>
      </c>
      <c r="B51" s="2" t="s">
        <v>8069</v>
      </c>
      <c r="C51" s="2" t="s">
        <v>2801</v>
      </c>
      <c r="D51" s="2" t="s">
        <v>2802</v>
      </c>
      <c r="E51" s="2" t="s">
        <v>2803</v>
      </c>
      <c r="F51" s="2" t="s">
        <v>2804</v>
      </c>
      <c r="G51" s="2" t="s">
        <v>20</v>
      </c>
      <c r="H51" s="2" t="s">
        <v>2805</v>
      </c>
      <c r="I51" s="2" t="s">
        <v>2799</v>
      </c>
      <c r="J51" s="2" t="n">
        <v>2</v>
      </c>
    </row>
    <row r="52" customFormat="false" ht="76.1" hidden="false" customHeight="false" outlineLevel="0" collapsed="false">
      <c r="A52" s="2" t="s">
        <v>2806</v>
      </c>
      <c r="B52" s="2" t="s">
        <v>8068</v>
      </c>
      <c r="C52" s="2" t="s">
        <v>2807</v>
      </c>
      <c r="D52" s="2" t="s">
        <v>2808</v>
      </c>
      <c r="E52" s="2" t="s">
        <v>2809</v>
      </c>
      <c r="F52" s="2" t="s">
        <v>2810</v>
      </c>
      <c r="G52" s="2" t="s">
        <v>20</v>
      </c>
      <c r="H52" s="2" t="s">
        <v>2811</v>
      </c>
      <c r="I52" s="2" t="s">
        <v>2799</v>
      </c>
      <c r="J52" s="2" t="n">
        <v>2</v>
      </c>
    </row>
    <row r="53" customFormat="false" ht="76.1" hidden="false" customHeight="false" outlineLevel="0" collapsed="false">
      <c r="A53" s="2" t="s">
        <v>2812</v>
      </c>
      <c r="B53" s="2" t="s">
        <v>8068</v>
      </c>
      <c r="C53" s="2" t="s">
        <v>2813</v>
      </c>
      <c r="D53" s="2" t="s">
        <v>2814</v>
      </c>
      <c r="E53" s="2" t="s">
        <v>2815</v>
      </c>
      <c r="F53" s="2" t="s">
        <v>2816</v>
      </c>
      <c r="G53" s="2" t="s">
        <v>20</v>
      </c>
      <c r="H53" s="2" t="s">
        <v>2817</v>
      </c>
      <c r="I53" s="2" t="s">
        <v>2799</v>
      </c>
      <c r="J53" s="2" t="n">
        <v>2</v>
      </c>
    </row>
    <row r="54" customFormat="false" ht="91" hidden="false" customHeight="false" outlineLevel="0" collapsed="false">
      <c r="A54" s="2" t="s">
        <v>2818</v>
      </c>
      <c r="B54" s="2" t="s">
        <v>8068</v>
      </c>
      <c r="C54" s="2" t="s">
        <v>2819</v>
      </c>
      <c r="D54" s="2" t="s">
        <v>2820</v>
      </c>
      <c r="E54" s="2" t="s">
        <v>2821</v>
      </c>
      <c r="F54" s="2" t="s">
        <v>2822</v>
      </c>
      <c r="G54" s="2" t="s">
        <v>20</v>
      </c>
      <c r="H54" s="2" t="s">
        <v>2823</v>
      </c>
      <c r="I54" s="2" t="s">
        <v>2556</v>
      </c>
      <c r="J54" s="2" t="n">
        <v>2</v>
      </c>
    </row>
    <row r="55" customFormat="false" ht="105.95" hidden="false" customHeight="false" outlineLevel="0" collapsed="false">
      <c r="A55" s="2" t="s">
        <v>2824</v>
      </c>
      <c r="B55" s="2" t="s">
        <v>8068</v>
      </c>
      <c r="C55" s="2" t="s">
        <v>2825</v>
      </c>
      <c r="D55" s="2" t="s">
        <v>2826</v>
      </c>
      <c r="E55" s="2" t="s">
        <v>2827</v>
      </c>
      <c r="F55" s="2" t="s">
        <v>2828</v>
      </c>
      <c r="G55" s="2" t="s">
        <v>20</v>
      </c>
      <c r="H55" s="2" t="s">
        <v>2829</v>
      </c>
      <c r="I55" s="2" t="s">
        <v>2556</v>
      </c>
      <c r="J55" s="2" t="n">
        <v>3</v>
      </c>
    </row>
    <row r="56" customFormat="false" ht="61.15" hidden="false" customHeight="false" outlineLevel="0" collapsed="false">
      <c r="A56" s="2" t="s">
        <v>2830</v>
      </c>
      <c r="B56" s="2" t="s">
        <v>8068</v>
      </c>
      <c r="C56" s="2" t="s">
        <v>2831</v>
      </c>
      <c r="D56" s="2" t="s">
        <v>2832</v>
      </c>
      <c r="E56" s="2" t="s">
        <v>2833</v>
      </c>
      <c r="F56" s="2" t="s">
        <v>2834</v>
      </c>
      <c r="G56" s="2" t="s">
        <v>20</v>
      </c>
      <c r="H56" s="2" t="s">
        <v>2835</v>
      </c>
      <c r="I56" s="2" t="s">
        <v>2028</v>
      </c>
      <c r="J56" s="2" t="n">
        <v>3</v>
      </c>
    </row>
    <row r="57" customFormat="false" ht="61.15" hidden="false" customHeight="false" outlineLevel="0" collapsed="false">
      <c r="A57" s="2" t="s">
        <v>2836</v>
      </c>
      <c r="B57" s="2" t="s">
        <v>8068</v>
      </c>
      <c r="C57" s="2" t="s">
        <v>2837</v>
      </c>
      <c r="D57" s="2" t="s">
        <v>2838</v>
      </c>
      <c r="E57" s="2" t="s">
        <v>2839</v>
      </c>
      <c r="F57" s="2" t="s">
        <v>2840</v>
      </c>
      <c r="G57" s="2" t="s">
        <v>20</v>
      </c>
      <c r="H57" s="2" t="s">
        <v>2841</v>
      </c>
      <c r="I57" s="2" t="s">
        <v>2028</v>
      </c>
      <c r="J57" s="2" t="n">
        <v>2</v>
      </c>
    </row>
    <row r="58" customFormat="false" ht="61.15" hidden="false" customHeight="false" outlineLevel="0" collapsed="false">
      <c r="A58" s="2" t="s">
        <v>2842</v>
      </c>
      <c r="B58" s="2" t="s">
        <v>8068</v>
      </c>
      <c r="C58" s="2" t="s">
        <v>2843</v>
      </c>
      <c r="D58" s="2" t="s">
        <v>2844</v>
      </c>
      <c r="E58" s="2" t="s">
        <v>2845</v>
      </c>
      <c r="F58" s="2" t="s">
        <v>2846</v>
      </c>
      <c r="G58" s="2" t="s">
        <v>20</v>
      </c>
      <c r="H58" s="2" t="s">
        <v>2847</v>
      </c>
      <c r="I58" s="2" t="s">
        <v>2028</v>
      </c>
      <c r="J58" s="2" t="n">
        <v>2</v>
      </c>
    </row>
    <row r="59" customFormat="false" ht="61.15" hidden="false" customHeight="false" outlineLevel="0" collapsed="false">
      <c r="A59" s="2" t="s">
        <v>2848</v>
      </c>
      <c r="B59" s="2" t="s">
        <v>8068</v>
      </c>
      <c r="C59" s="2" t="s">
        <v>2849</v>
      </c>
      <c r="D59" s="2" t="s">
        <v>2850</v>
      </c>
      <c r="E59" s="2" t="s">
        <v>2851</v>
      </c>
      <c r="F59" s="2" t="s">
        <v>2852</v>
      </c>
      <c r="G59" s="2" t="s">
        <v>20</v>
      </c>
      <c r="H59" s="2" t="s">
        <v>2853</v>
      </c>
      <c r="I59" s="2" t="s">
        <v>2028</v>
      </c>
      <c r="J59" s="2" t="n">
        <v>2</v>
      </c>
    </row>
    <row r="60" customFormat="false" ht="46.25" hidden="false" customHeight="false" outlineLevel="0" collapsed="false">
      <c r="A60" s="2" t="s">
        <v>2854</v>
      </c>
      <c r="B60" s="2" t="s">
        <v>8068</v>
      </c>
      <c r="C60" s="2" t="s">
        <v>2855</v>
      </c>
      <c r="D60" s="2" t="s">
        <v>2856</v>
      </c>
      <c r="E60" s="2" t="s">
        <v>2857</v>
      </c>
      <c r="F60" s="2" t="s">
        <v>2858</v>
      </c>
      <c r="G60" s="2" t="s">
        <v>20</v>
      </c>
      <c r="H60" s="2" t="s">
        <v>2859</v>
      </c>
      <c r="I60" s="2" t="s">
        <v>2028</v>
      </c>
      <c r="J60" s="2" t="n">
        <v>2</v>
      </c>
    </row>
    <row r="61" customFormat="false" ht="46.25" hidden="false" customHeight="false" outlineLevel="0" collapsed="false">
      <c r="A61" s="2" t="s">
        <v>2860</v>
      </c>
      <c r="B61" s="2" t="s">
        <v>8068</v>
      </c>
      <c r="C61" s="2" t="s">
        <v>2861</v>
      </c>
      <c r="D61" s="2" t="s">
        <v>2832</v>
      </c>
      <c r="E61" s="2" t="s">
        <v>2862</v>
      </c>
      <c r="F61" s="2" t="s">
        <v>2863</v>
      </c>
      <c r="G61" s="2" t="s">
        <v>20</v>
      </c>
      <c r="H61" s="2" t="s">
        <v>2864</v>
      </c>
      <c r="I61" s="2" t="s">
        <v>2028</v>
      </c>
      <c r="J61" s="2" t="n">
        <v>2</v>
      </c>
    </row>
    <row r="62" customFormat="false" ht="61.15" hidden="false" customHeight="false" outlineLevel="0" collapsed="false">
      <c r="A62" s="2" t="s">
        <v>2865</v>
      </c>
      <c r="B62" s="2" t="s">
        <v>8069</v>
      </c>
      <c r="C62" s="2" t="s">
        <v>2866</v>
      </c>
      <c r="D62" s="2" t="s">
        <v>2867</v>
      </c>
      <c r="E62" s="2" t="s">
        <v>2868</v>
      </c>
      <c r="F62" s="2" t="s">
        <v>2869</v>
      </c>
      <c r="G62" s="2" t="s">
        <v>20</v>
      </c>
      <c r="H62" s="2" t="s">
        <v>2870</v>
      </c>
      <c r="I62" s="2" t="s">
        <v>2028</v>
      </c>
      <c r="J62" s="2" t="n">
        <v>2</v>
      </c>
    </row>
    <row r="63" customFormat="false" ht="46.25" hidden="false" customHeight="false" outlineLevel="0" collapsed="false">
      <c r="A63" s="2" t="s">
        <v>2871</v>
      </c>
      <c r="B63" s="2" t="s">
        <v>8068</v>
      </c>
      <c r="C63" s="2" t="s">
        <v>2872</v>
      </c>
      <c r="D63" s="2" t="s">
        <v>2873</v>
      </c>
      <c r="E63" s="2" t="s">
        <v>2874</v>
      </c>
      <c r="F63" s="2" t="s">
        <v>2875</v>
      </c>
      <c r="G63" s="2" t="s">
        <v>20</v>
      </c>
      <c r="H63" s="2" t="s">
        <v>2876</v>
      </c>
      <c r="I63" s="2" t="s">
        <v>2028</v>
      </c>
      <c r="J63" s="2" t="n">
        <v>1</v>
      </c>
    </row>
    <row r="64" customFormat="false" ht="61.15" hidden="false" customHeight="false" outlineLevel="0" collapsed="false">
      <c r="A64" s="2" t="s">
        <v>2877</v>
      </c>
      <c r="B64" s="2" t="s">
        <v>8069</v>
      </c>
      <c r="C64" s="2" t="s">
        <v>2878</v>
      </c>
      <c r="D64" s="2" t="s">
        <v>2879</v>
      </c>
      <c r="E64" s="2" t="s">
        <v>2880</v>
      </c>
      <c r="F64" s="2" t="s">
        <v>2881</v>
      </c>
      <c r="G64" s="2" t="s">
        <v>20</v>
      </c>
      <c r="H64" s="2" t="s">
        <v>2882</v>
      </c>
      <c r="I64" s="2" t="s">
        <v>2028</v>
      </c>
      <c r="J64" s="2" t="n">
        <v>2</v>
      </c>
    </row>
    <row r="65" customFormat="false" ht="61.15" hidden="false" customHeight="false" outlineLevel="0" collapsed="false">
      <c r="A65" s="2" t="s">
        <v>2883</v>
      </c>
      <c r="B65" s="2" t="s">
        <v>8068</v>
      </c>
      <c r="C65" s="2" t="s">
        <v>2884</v>
      </c>
      <c r="D65" s="2" t="s">
        <v>2885</v>
      </c>
      <c r="E65" s="2" t="s">
        <v>2886</v>
      </c>
      <c r="F65" s="2" t="s">
        <v>2887</v>
      </c>
      <c r="G65" s="2" t="s">
        <v>20</v>
      </c>
      <c r="H65" s="2" t="s">
        <v>2888</v>
      </c>
      <c r="I65" s="2" t="s">
        <v>2028</v>
      </c>
      <c r="J65" s="2" t="n">
        <v>2</v>
      </c>
    </row>
    <row r="66" customFormat="false" ht="61.15" hidden="false" customHeight="false" outlineLevel="0" collapsed="false">
      <c r="A66" s="2" t="s">
        <v>2889</v>
      </c>
      <c r="B66" s="2" t="s">
        <v>8068</v>
      </c>
      <c r="C66" s="2" t="s">
        <v>2890</v>
      </c>
      <c r="D66" s="2" t="s">
        <v>2891</v>
      </c>
      <c r="E66" s="2" t="s">
        <v>2892</v>
      </c>
      <c r="F66" s="2" t="s">
        <v>2893</v>
      </c>
      <c r="G66" s="2" t="s">
        <v>20</v>
      </c>
      <c r="H66" s="2" t="s">
        <v>2894</v>
      </c>
      <c r="I66" s="2" t="s">
        <v>2028</v>
      </c>
      <c r="J66" s="2" t="n">
        <v>2</v>
      </c>
    </row>
    <row r="67" customFormat="false" ht="61.15" hidden="false" customHeight="false" outlineLevel="0" collapsed="false">
      <c r="A67" s="2" t="s">
        <v>2895</v>
      </c>
      <c r="B67" s="2" t="s">
        <v>8068</v>
      </c>
      <c r="C67" s="2" t="s">
        <v>2896</v>
      </c>
      <c r="D67" s="2" t="s">
        <v>2897</v>
      </c>
      <c r="E67" s="2" t="s">
        <v>2898</v>
      </c>
      <c r="F67" s="2" t="s">
        <v>2899</v>
      </c>
      <c r="G67" s="2" t="s">
        <v>20</v>
      </c>
      <c r="H67" s="2" t="s">
        <v>2900</v>
      </c>
      <c r="I67" s="2" t="s">
        <v>2901</v>
      </c>
      <c r="J67" s="2" t="n">
        <v>1</v>
      </c>
    </row>
    <row r="68" customFormat="false" ht="46.25" hidden="false" customHeight="false" outlineLevel="0" collapsed="false">
      <c r="A68" s="2" t="s">
        <v>2902</v>
      </c>
      <c r="B68" s="2" t="s">
        <v>8068</v>
      </c>
      <c r="C68" s="2" t="s">
        <v>2903</v>
      </c>
      <c r="D68" s="2" t="s">
        <v>2904</v>
      </c>
      <c r="E68" s="2" t="s">
        <v>2905</v>
      </c>
      <c r="F68" s="2" t="s">
        <v>2906</v>
      </c>
      <c r="G68" s="2" t="s">
        <v>20</v>
      </c>
      <c r="H68" s="2" t="s">
        <v>2907</v>
      </c>
      <c r="I68" s="2" t="s">
        <v>2028</v>
      </c>
      <c r="J68" s="2" t="n">
        <v>2</v>
      </c>
    </row>
    <row r="69" customFormat="false" ht="61.15" hidden="false" customHeight="false" outlineLevel="0" collapsed="false">
      <c r="A69" s="2" t="s">
        <v>2908</v>
      </c>
      <c r="B69" s="2" t="s">
        <v>8068</v>
      </c>
      <c r="C69" s="2" t="s">
        <v>2909</v>
      </c>
      <c r="D69" s="2" t="s">
        <v>2910</v>
      </c>
      <c r="E69" s="2" t="s">
        <v>2911</v>
      </c>
      <c r="F69" s="2" t="s">
        <v>2912</v>
      </c>
      <c r="G69" s="2" t="s">
        <v>20</v>
      </c>
      <c r="H69" s="2" t="s">
        <v>2913</v>
      </c>
      <c r="I69" s="2" t="s">
        <v>2028</v>
      </c>
      <c r="J69" s="2" t="n">
        <v>2</v>
      </c>
    </row>
    <row r="70" customFormat="false" ht="91" hidden="false" customHeight="false" outlineLevel="0" collapsed="false">
      <c r="A70" s="2" t="s">
        <v>2914</v>
      </c>
      <c r="B70" s="2" t="s">
        <v>8069</v>
      </c>
      <c r="C70" s="2" t="s">
        <v>2915</v>
      </c>
      <c r="D70" s="2" t="s">
        <v>2916</v>
      </c>
      <c r="E70" s="2" t="s">
        <v>2917</v>
      </c>
      <c r="F70" s="2" t="s">
        <v>2918</v>
      </c>
      <c r="G70" s="2" t="s">
        <v>20</v>
      </c>
      <c r="H70" s="2" t="s">
        <v>2919</v>
      </c>
      <c r="I70" s="2" t="s">
        <v>2028</v>
      </c>
      <c r="J70" s="2" t="n">
        <v>2</v>
      </c>
    </row>
    <row r="71" customFormat="false" ht="61.15" hidden="false" customHeight="false" outlineLevel="0" collapsed="false">
      <c r="A71" s="2" t="s">
        <v>2920</v>
      </c>
      <c r="B71" s="2" t="s">
        <v>8069</v>
      </c>
      <c r="C71" s="2" t="s">
        <v>2921</v>
      </c>
      <c r="D71" s="2" t="s">
        <v>2922</v>
      </c>
      <c r="E71" s="2" t="s">
        <v>2923</v>
      </c>
      <c r="F71" s="2" t="s">
        <v>2924</v>
      </c>
      <c r="G71" s="2" t="s">
        <v>20</v>
      </c>
      <c r="H71" s="2" t="s">
        <v>2925</v>
      </c>
      <c r="I71" s="2" t="s">
        <v>2028</v>
      </c>
      <c r="J71" s="2" t="n">
        <v>2</v>
      </c>
    </row>
    <row r="72" customFormat="false" ht="61.15" hidden="false" customHeight="false" outlineLevel="0" collapsed="false">
      <c r="A72" s="2" t="s">
        <v>2926</v>
      </c>
      <c r="B72" s="2" t="s">
        <v>8068</v>
      </c>
      <c r="C72" s="2" t="s">
        <v>2927</v>
      </c>
      <c r="D72" s="2" t="s">
        <v>2928</v>
      </c>
      <c r="E72" s="2" t="s">
        <v>2929</v>
      </c>
      <c r="F72" s="2" t="s">
        <v>2930</v>
      </c>
      <c r="G72" s="2" t="s">
        <v>20</v>
      </c>
      <c r="H72" s="2" t="s">
        <v>2931</v>
      </c>
      <c r="I72" s="2" t="s">
        <v>2028</v>
      </c>
      <c r="J72" s="2" t="n">
        <v>2</v>
      </c>
    </row>
    <row r="73" customFormat="false" ht="61.15" hidden="false" customHeight="false" outlineLevel="0" collapsed="false">
      <c r="A73" s="2" t="s">
        <v>2932</v>
      </c>
      <c r="B73" s="2" t="s">
        <v>8069</v>
      </c>
      <c r="C73" s="2" t="s">
        <v>2933</v>
      </c>
      <c r="D73" s="2" t="s">
        <v>2934</v>
      </c>
      <c r="E73" s="2" t="s">
        <v>2935</v>
      </c>
      <c r="F73" s="2" t="s">
        <v>2936</v>
      </c>
      <c r="G73" s="2" t="s">
        <v>20</v>
      </c>
      <c r="H73" s="2" t="s">
        <v>2937</v>
      </c>
      <c r="I73" s="2" t="s">
        <v>2028</v>
      </c>
      <c r="J73" s="2" t="n">
        <v>1</v>
      </c>
    </row>
    <row r="74" customFormat="false" ht="46.25" hidden="false" customHeight="false" outlineLevel="0" collapsed="false">
      <c r="A74" s="2" t="s">
        <v>2938</v>
      </c>
      <c r="B74" s="2" t="s">
        <v>8068</v>
      </c>
      <c r="C74" s="2" t="s">
        <v>2939</v>
      </c>
      <c r="D74" s="2" t="s">
        <v>2940</v>
      </c>
      <c r="E74" s="2" t="s">
        <v>2941</v>
      </c>
      <c r="F74" s="2" t="s">
        <v>2942</v>
      </c>
      <c r="G74" s="2" t="s">
        <v>20</v>
      </c>
      <c r="H74" s="2" t="s">
        <v>2943</v>
      </c>
      <c r="I74" s="2" t="s">
        <v>2028</v>
      </c>
      <c r="J74" s="2" t="n">
        <v>1</v>
      </c>
    </row>
    <row r="75" customFormat="false" ht="46.25" hidden="false" customHeight="false" outlineLevel="0" collapsed="false">
      <c r="A75" s="2" t="s">
        <v>2944</v>
      </c>
      <c r="B75" s="2" t="s">
        <v>8068</v>
      </c>
      <c r="C75" s="2" t="s">
        <v>2945</v>
      </c>
      <c r="D75" s="2" t="s">
        <v>2946</v>
      </c>
      <c r="E75" s="2" t="s">
        <v>2947</v>
      </c>
      <c r="F75" s="2" t="s">
        <v>2948</v>
      </c>
      <c r="G75" s="2" t="s">
        <v>20</v>
      </c>
      <c r="H75" s="2" t="s">
        <v>2949</v>
      </c>
      <c r="I75" s="2" t="s">
        <v>2028</v>
      </c>
      <c r="J75" s="2" t="n">
        <v>2</v>
      </c>
    </row>
    <row r="76" customFormat="false" ht="91" hidden="false" customHeight="false" outlineLevel="0" collapsed="false">
      <c r="A76" s="2" t="s">
        <v>2950</v>
      </c>
      <c r="B76" s="2" t="s">
        <v>8068</v>
      </c>
      <c r="C76" s="2" t="s">
        <v>2951</v>
      </c>
      <c r="D76" s="2" t="s">
        <v>2952</v>
      </c>
      <c r="E76" s="2" t="s">
        <v>2953</v>
      </c>
      <c r="F76" s="2" t="s">
        <v>2954</v>
      </c>
      <c r="G76" s="2" t="s">
        <v>20</v>
      </c>
      <c r="H76" s="2" t="s">
        <v>2955</v>
      </c>
      <c r="I76" s="2" t="s">
        <v>2028</v>
      </c>
      <c r="J76" s="2" t="n">
        <v>3</v>
      </c>
    </row>
    <row r="77" customFormat="false" ht="76.1" hidden="false" customHeight="false" outlineLevel="0" collapsed="false">
      <c r="A77" s="2" t="s">
        <v>2956</v>
      </c>
      <c r="B77" s="2" t="s">
        <v>8068</v>
      </c>
      <c r="C77" s="2" t="s">
        <v>2957</v>
      </c>
      <c r="D77" s="2" t="s">
        <v>2958</v>
      </c>
      <c r="E77" s="2" t="s">
        <v>2959</v>
      </c>
      <c r="F77" s="2" t="s">
        <v>2960</v>
      </c>
      <c r="G77" s="2" t="s">
        <v>20</v>
      </c>
      <c r="H77" s="2" t="s">
        <v>2961</v>
      </c>
      <c r="I77" s="2" t="s">
        <v>2028</v>
      </c>
      <c r="J77" s="2" t="n">
        <v>3</v>
      </c>
    </row>
    <row r="78" customFormat="false" ht="91" hidden="false" customHeight="false" outlineLevel="0" collapsed="false">
      <c r="A78" s="2" t="s">
        <v>2962</v>
      </c>
      <c r="B78" s="2" t="s">
        <v>8068</v>
      </c>
      <c r="C78" s="2" t="s">
        <v>2963</v>
      </c>
      <c r="D78" s="2" t="s">
        <v>2964</v>
      </c>
      <c r="E78" s="2" t="s">
        <v>2965</v>
      </c>
      <c r="F78" s="2" t="s">
        <v>2966</v>
      </c>
      <c r="G78" s="2" t="s">
        <v>20</v>
      </c>
      <c r="H78" s="2" t="s">
        <v>2967</v>
      </c>
      <c r="I78" s="2" t="s">
        <v>2028</v>
      </c>
      <c r="J78" s="2" t="n">
        <v>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8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customHeight="false"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45"/>
    <col collapsed="false" customWidth="true" hidden="false" outlineLevel="0" max="6" min="4" style="0" width="32"/>
    <col collapsed="false" customWidth="true" hidden="false" outlineLevel="0" max="7" min="7" style="0" width="9"/>
    <col collapsed="false" customWidth="true" hidden="false" outlineLevel="0" max="8" min="8" style="0" width="42"/>
    <col collapsed="false" customWidth="true" hidden="false" outlineLevel="0" max="9" min="9" style="0" width="20"/>
    <col collapsed="false" customWidth="true" hidden="false" outlineLevel="0" max="10" min="10" style="0" width="10"/>
  </cols>
  <sheetData>
    <row r="1" customFormat="false" ht="16.4" hidden="false" customHeight="false" outlineLevel="0" collapsed="false">
      <c r="A1" s="1" t="s">
        <v>0</v>
      </c>
      <c r="B1" s="1" t="s">
        <v>8067</v>
      </c>
      <c r="C1" s="1" t="s">
        <v>3</v>
      </c>
      <c r="D1" s="1" t="s">
        <v>4</v>
      </c>
      <c r="E1" s="1" t="s">
        <v>5</v>
      </c>
      <c r="F1" s="1" t="s">
        <v>6</v>
      </c>
      <c r="G1" s="1" t="s">
        <v>7</v>
      </c>
      <c r="H1" s="1" t="s">
        <v>8</v>
      </c>
      <c r="I1" s="1" t="s">
        <v>9</v>
      </c>
      <c r="J1" s="1" t="s">
        <v>11</v>
      </c>
    </row>
    <row r="2" customFormat="false" ht="91" hidden="false" customHeight="false" outlineLevel="0" collapsed="false">
      <c r="A2" s="2" t="s">
        <v>2968</v>
      </c>
      <c r="B2" s="2" t="s">
        <v>8068</v>
      </c>
      <c r="C2" s="2" t="s">
        <v>2970</v>
      </c>
      <c r="D2" s="2" t="s">
        <v>2971</v>
      </c>
      <c r="E2" s="2" t="s">
        <v>2972</v>
      </c>
      <c r="F2" s="2" t="s">
        <v>2973</v>
      </c>
      <c r="G2" s="2" t="s">
        <v>28</v>
      </c>
      <c r="H2" s="2" t="s">
        <v>2974</v>
      </c>
      <c r="I2" s="2" t="s">
        <v>2975</v>
      </c>
      <c r="J2" s="2" t="n">
        <v>3</v>
      </c>
    </row>
    <row r="3" customFormat="false" ht="61.15" hidden="false" customHeight="false" outlineLevel="0" collapsed="false">
      <c r="A3" s="2" t="s">
        <v>2976</v>
      </c>
      <c r="B3" s="2" t="s">
        <v>8069</v>
      </c>
      <c r="C3" s="2" t="s">
        <v>2977</v>
      </c>
      <c r="D3" s="2" t="s">
        <v>2978</v>
      </c>
      <c r="E3" s="2" t="s">
        <v>2979</v>
      </c>
      <c r="F3" s="2" t="s">
        <v>2980</v>
      </c>
      <c r="G3" s="2" t="s">
        <v>20</v>
      </c>
      <c r="H3" s="2" t="s">
        <v>2981</v>
      </c>
      <c r="I3" s="2" t="s">
        <v>2969</v>
      </c>
      <c r="J3" s="2" t="n">
        <v>1</v>
      </c>
    </row>
    <row r="4" customFormat="false" ht="46.25" hidden="false" customHeight="false" outlineLevel="0" collapsed="false">
      <c r="A4" s="2" t="s">
        <v>2982</v>
      </c>
      <c r="B4" s="2" t="s">
        <v>8068</v>
      </c>
      <c r="C4" s="2" t="s">
        <v>2983</v>
      </c>
      <c r="D4" s="2" t="s">
        <v>2984</v>
      </c>
      <c r="E4" s="2" t="s">
        <v>2985</v>
      </c>
      <c r="F4" s="2" t="s">
        <v>2986</v>
      </c>
      <c r="G4" s="2" t="s">
        <v>20</v>
      </c>
      <c r="H4" s="2" t="s">
        <v>2987</v>
      </c>
      <c r="I4" s="2" t="s">
        <v>2988</v>
      </c>
      <c r="J4" s="2" t="n">
        <v>2</v>
      </c>
    </row>
    <row r="5" customFormat="false" ht="61.15" hidden="false" customHeight="false" outlineLevel="0" collapsed="false">
      <c r="A5" s="2" t="s">
        <v>2989</v>
      </c>
      <c r="B5" s="2" t="s">
        <v>8068</v>
      </c>
      <c r="C5" s="2" t="s">
        <v>2990</v>
      </c>
      <c r="D5" s="2" t="s">
        <v>2991</v>
      </c>
      <c r="E5" s="2" t="s">
        <v>2992</v>
      </c>
      <c r="F5" s="2" t="s">
        <v>2993</v>
      </c>
      <c r="G5" s="2" t="s">
        <v>20</v>
      </c>
      <c r="H5" s="2" t="s">
        <v>2994</v>
      </c>
      <c r="I5" s="2" t="s">
        <v>2969</v>
      </c>
      <c r="J5" s="2" t="n">
        <v>2</v>
      </c>
    </row>
    <row r="6" customFormat="false" ht="76.1" hidden="false" customHeight="false" outlineLevel="0" collapsed="false">
      <c r="A6" s="2" t="s">
        <v>2995</v>
      </c>
      <c r="B6" s="2" t="s">
        <v>8068</v>
      </c>
      <c r="C6" s="2" t="s">
        <v>2996</v>
      </c>
      <c r="D6" s="2" t="s">
        <v>2997</v>
      </c>
      <c r="E6" s="2" t="s">
        <v>2998</v>
      </c>
      <c r="F6" s="2" t="s">
        <v>2999</v>
      </c>
      <c r="G6" s="2" t="s">
        <v>20</v>
      </c>
      <c r="H6" s="2" t="s">
        <v>3000</v>
      </c>
      <c r="I6" s="2" t="s">
        <v>3001</v>
      </c>
      <c r="J6" s="2" t="n">
        <v>3</v>
      </c>
    </row>
    <row r="7" customFormat="false" ht="91" hidden="false" customHeight="false" outlineLevel="0" collapsed="false">
      <c r="A7" s="2" t="s">
        <v>3002</v>
      </c>
      <c r="B7" s="2" t="s">
        <v>8068</v>
      </c>
      <c r="C7" s="2" t="s">
        <v>3003</v>
      </c>
      <c r="D7" s="2" t="s">
        <v>3004</v>
      </c>
      <c r="E7" s="2" t="s">
        <v>3005</v>
      </c>
      <c r="F7" s="2" t="s">
        <v>3006</v>
      </c>
      <c r="G7" s="2" t="s">
        <v>20</v>
      </c>
      <c r="H7" s="2" t="s">
        <v>3007</v>
      </c>
      <c r="I7" s="2" t="s">
        <v>3001</v>
      </c>
      <c r="J7" s="2" t="n">
        <v>3</v>
      </c>
    </row>
    <row r="8" customFormat="false" ht="61.15" hidden="false" customHeight="false" outlineLevel="0" collapsed="false">
      <c r="A8" s="2" t="s">
        <v>3008</v>
      </c>
      <c r="B8" s="2" t="s">
        <v>8069</v>
      </c>
      <c r="C8" s="2" t="s">
        <v>3009</v>
      </c>
      <c r="D8" s="2" t="s">
        <v>3010</v>
      </c>
      <c r="E8" s="2" t="s">
        <v>3011</v>
      </c>
      <c r="F8" s="2" t="s">
        <v>3012</v>
      </c>
      <c r="G8" s="2" t="s">
        <v>20</v>
      </c>
      <c r="H8" s="2" t="s">
        <v>3013</v>
      </c>
      <c r="I8" s="2" t="s">
        <v>3014</v>
      </c>
      <c r="J8" s="2" t="n">
        <v>2</v>
      </c>
    </row>
    <row r="9" customFormat="false" ht="46.25" hidden="false" customHeight="false" outlineLevel="0" collapsed="false">
      <c r="A9" s="2" t="s">
        <v>3015</v>
      </c>
      <c r="B9" s="2" t="s">
        <v>8069</v>
      </c>
      <c r="C9" s="2" t="s">
        <v>3016</v>
      </c>
      <c r="D9" s="2" t="s">
        <v>3017</v>
      </c>
      <c r="E9" s="2" t="s">
        <v>3018</v>
      </c>
      <c r="F9" s="2" t="s">
        <v>3019</v>
      </c>
      <c r="G9" s="2" t="s">
        <v>20</v>
      </c>
      <c r="H9" s="2" t="s">
        <v>3020</v>
      </c>
      <c r="I9" s="2" t="s">
        <v>3014</v>
      </c>
      <c r="J9" s="2" t="n">
        <v>1</v>
      </c>
    </row>
    <row r="10" customFormat="false" ht="61.15" hidden="false" customHeight="false" outlineLevel="0" collapsed="false">
      <c r="A10" s="2" t="s">
        <v>3021</v>
      </c>
      <c r="B10" s="2" t="s">
        <v>8068</v>
      </c>
      <c r="C10" s="2" t="s">
        <v>3022</v>
      </c>
      <c r="D10" s="2" t="s">
        <v>3023</v>
      </c>
      <c r="E10" s="2" t="s">
        <v>3024</v>
      </c>
      <c r="F10" s="2" t="s">
        <v>3025</v>
      </c>
      <c r="G10" s="2" t="s">
        <v>20</v>
      </c>
      <c r="H10" s="2" t="s">
        <v>3026</v>
      </c>
      <c r="I10" s="2" t="s">
        <v>3014</v>
      </c>
      <c r="J10" s="2" t="n">
        <v>2</v>
      </c>
    </row>
    <row r="11" customFormat="false" ht="76.1" hidden="false" customHeight="false" outlineLevel="0" collapsed="false">
      <c r="A11" s="2" t="s">
        <v>3027</v>
      </c>
      <c r="B11" s="2" t="s">
        <v>8068</v>
      </c>
      <c r="C11" s="2" t="s">
        <v>3028</v>
      </c>
      <c r="D11" s="2" t="s">
        <v>3029</v>
      </c>
      <c r="E11" s="2" t="s">
        <v>3030</v>
      </c>
      <c r="F11" s="2" t="s">
        <v>3031</v>
      </c>
      <c r="G11" s="2" t="s">
        <v>20</v>
      </c>
      <c r="H11" s="2" t="s">
        <v>3032</v>
      </c>
      <c r="I11" s="2" t="s">
        <v>3014</v>
      </c>
      <c r="J11" s="2" t="n">
        <v>3</v>
      </c>
    </row>
    <row r="12" customFormat="false" ht="105.95" hidden="false" customHeight="false" outlineLevel="0" collapsed="false">
      <c r="A12" s="2" t="s">
        <v>3033</v>
      </c>
      <c r="B12" s="2" t="s">
        <v>8068</v>
      </c>
      <c r="C12" s="2" t="s">
        <v>3034</v>
      </c>
      <c r="D12" s="2" t="s">
        <v>3035</v>
      </c>
      <c r="E12" s="2" t="s">
        <v>3036</v>
      </c>
      <c r="F12" s="2" t="s">
        <v>3037</v>
      </c>
      <c r="G12" s="2" t="s">
        <v>20</v>
      </c>
      <c r="H12" s="2" t="s">
        <v>3038</v>
      </c>
      <c r="I12" s="2" t="s">
        <v>3014</v>
      </c>
      <c r="J12" s="2" t="n">
        <v>3</v>
      </c>
    </row>
    <row r="13" customFormat="false" ht="76.1" hidden="false" customHeight="false" outlineLevel="0" collapsed="false">
      <c r="A13" s="2" t="s">
        <v>3039</v>
      </c>
      <c r="B13" s="2" t="s">
        <v>8068</v>
      </c>
      <c r="C13" s="2" t="s">
        <v>3040</v>
      </c>
      <c r="D13" s="2" t="s">
        <v>3041</v>
      </c>
      <c r="E13" s="2" t="s">
        <v>3042</v>
      </c>
      <c r="F13" s="2" t="s">
        <v>3043</v>
      </c>
      <c r="G13" s="2" t="s">
        <v>226</v>
      </c>
      <c r="H13" s="2" t="s">
        <v>3044</v>
      </c>
      <c r="I13" s="2" t="s">
        <v>3014</v>
      </c>
      <c r="J13" s="2" t="n">
        <v>2</v>
      </c>
    </row>
    <row r="14" customFormat="false" ht="76.1" hidden="false" customHeight="false" outlineLevel="0" collapsed="false">
      <c r="A14" s="2" t="s">
        <v>3045</v>
      </c>
      <c r="B14" s="2" t="s">
        <v>8068</v>
      </c>
      <c r="C14" s="2" t="s">
        <v>3046</v>
      </c>
      <c r="D14" s="2" t="s">
        <v>3047</v>
      </c>
      <c r="E14" s="2" t="s">
        <v>3048</v>
      </c>
      <c r="F14" s="2" t="s">
        <v>3049</v>
      </c>
      <c r="G14" s="2" t="s">
        <v>20</v>
      </c>
      <c r="H14" s="2" t="s">
        <v>3050</v>
      </c>
      <c r="I14" s="2" t="s">
        <v>3051</v>
      </c>
      <c r="J14" s="2" t="n">
        <v>1</v>
      </c>
    </row>
    <row r="15" customFormat="false" ht="61.15" hidden="false" customHeight="false" outlineLevel="0" collapsed="false">
      <c r="A15" s="2" t="s">
        <v>3052</v>
      </c>
      <c r="B15" s="2" t="s">
        <v>8068</v>
      </c>
      <c r="C15" s="2" t="s">
        <v>3053</v>
      </c>
      <c r="D15" s="2" t="s">
        <v>3054</v>
      </c>
      <c r="E15" s="2" t="s">
        <v>3055</v>
      </c>
      <c r="F15" s="2" t="s">
        <v>3056</v>
      </c>
      <c r="G15" s="2" t="s">
        <v>20</v>
      </c>
      <c r="H15" s="2" t="s">
        <v>3057</v>
      </c>
      <c r="I15" s="2" t="s">
        <v>3051</v>
      </c>
      <c r="J15" s="2" t="n">
        <v>2</v>
      </c>
    </row>
    <row r="16" customFormat="false" ht="76.1" hidden="false" customHeight="false" outlineLevel="0" collapsed="false">
      <c r="A16" s="2" t="s">
        <v>3058</v>
      </c>
      <c r="B16" s="2" t="s">
        <v>8068</v>
      </c>
      <c r="C16" s="2" t="s">
        <v>3059</v>
      </c>
      <c r="D16" s="2" t="s">
        <v>3060</v>
      </c>
      <c r="E16" s="2" t="s">
        <v>3061</v>
      </c>
      <c r="F16" s="2" t="s">
        <v>3062</v>
      </c>
      <c r="G16" s="2" t="s">
        <v>20</v>
      </c>
      <c r="H16" s="2" t="s">
        <v>3063</v>
      </c>
      <c r="I16" s="2" t="s">
        <v>3051</v>
      </c>
      <c r="J16" s="2" t="n">
        <v>2</v>
      </c>
    </row>
    <row r="17" customFormat="false" ht="61.15" hidden="false" customHeight="false" outlineLevel="0" collapsed="false">
      <c r="A17" s="2" t="s">
        <v>3064</v>
      </c>
      <c r="B17" s="2" t="s">
        <v>8068</v>
      </c>
      <c r="C17" s="2" t="s">
        <v>3065</v>
      </c>
      <c r="D17" s="2" t="s">
        <v>3066</v>
      </c>
      <c r="E17" s="2" t="s">
        <v>3067</v>
      </c>
      <c r="F17" s="2" t="s">
        <v>3068</v>
      </c>
      <c r="G17" s="2" t="s">
        <v>20</v>
      </c>
      <c r="H17" s="2" t="s">
        <v>3069</v>
      </c>
      <c r="I17" s="2" t="s">
        <v>3051</v>
      </c>
      <c r="J17" s="2" t="n">
        <v>2</v>
      </c>
    </row>
    <row r="18" customFormat="false" ht="76.1" hidden="false" customHeight="false" outlineLevel="0" collapsed="false">
      <c r="A18" s="2" t="s">
        <v>3070</v>
      </c>
      <c r="B18" s="2" t="s">
        <v>8069</v>
      </c>
      <c r="C18" s="2" t="s">
        <v>3071</v>
      </c>
      <c r="D18" s="2" t="s">
        <v>3072</v>
      </c>
      <c r="E18" s="2" t="s">
        <v>3073</v>
      </c>
      <c r="F18" s="2" t="s">
        <v>3074</v>
      </c>
      <c r="G18" s="2" t="s">
        <v>20</v>
      </c>
      <c r="H18" s="2" t="s">
        <v>3075</v>
      </c>
      <c r="I18" s="2" t="s">
        <v>3051</v>
      </c>
      <c r="J18" s="2" t="n">
        <v>2</v>
      </c>
    </row>
    <row r="19" customFormat="false" ht="61.15" hidden="false" customHeight="false" outlineLevel="0" collapsed="false">
      <c r="A19" s="2" t="s">
        <v>3076</v>
      </c>
      <c r="B19" s="2" t="s">
        <v>8068</v>
      </c>
      <c r="C19" s="2" t="s">
        <v>3077</v>
      </c>
      <c r="D19" s="2" t="s">
        <v>3078</v>
      </c>
      <c r="E19" s="2" t="s">
        <v>3079</v>
      </c>
      <c r="F19" s="2" t="s">
        <v>3080</v>
      </c>
      <c r="G19" s="2" t="s">
        <v>20</v>
      </c>
      <c r="H19" s="2" t="s">
        <v>3081</v>
      </c>
      <c r="I19" s="2" t="s">
        <v>3051</v>
      </c>
      <c r="J19" s="2" t="n">
        <v>2</v>
      </c>
    </row>
    <row r="20" customFormat="false" ht="76.1" hidden="false" customHeight="false" outlineLevel="0" collapsed="false">
      <c r="A20" s="2" t="s">
        <v>3082</v>
      </c>
      <c r="B20" s="2" t="s">
        <v>8069</v>
      </c>
      <c r="C20" s="2" t="s">
        <v>3083</v>
      </c>
      <c r="D20" s="2" t="s">
        <v>3084</v>
      </c>
      <c r="E20" s="2" t="s">
        <v>3085</v>
      </c>
      <c r="F20" s="2" t="s">
        <v>3086</v>
      </c>
      <c r="G20" s="2" t="s">
        <v>20</v>
      </c>
      <c r="H20" s="2" t="s">
        <v>3087</v>
      </c>
      <c r="I20" s="2" t="s">
        <v>3051</v>
      </c>
      <c r="J20" s="2" t="n">
        <v>2</v>
      </c>
    </row>
    <row r="21" customFormat="false" ht="61.15" hidden="false" customHeight="false" outlineLevel="0" collapsed="false">
      <c r="A21" s="2" t="s">
        <v>3088</v>
      </c>
      <c r="B21" s="2" t="s">
        <v>8068</v>
      </c>
      <c r="C21" s="2" t="s">
        <v>3089</v>
      </c>
      <c r="D21" s="2" t="s">
        <v>3090</v>
      </c>
      <c r="E21" s="2" t="s">
        <v>3091</v>
      </c>
      <c r="F21" s="2" t="s">
        <v>3092</v>
      </c>
      <c r="G21" s="2" t="s">
        <v>226</v>
      </c>
      <c r="H21" s="2" t="s">
        <v>3093</v>
      </c>
      <c r="I21" s="2" t="s">
        <v>3051</v>
      </c>
      <c r="J21" s="2" t="n">
        <v>2</v>
      </c>
    </row>
    <row r="22" customFormat="false" ht="76.1" hidden="false" customHeight="false" outlineLevel="0" collapsed="false">
      <c r="A22" s="2" t="s">
        <v>3094</v>
      </c>
      <c r="B22" s="2" t="s">
        <v>8068</v>
      </c>
      <c r="C22" s="2" t="s">
        <v>3095</v>
      </c>
      <c r="D22" s="2" t="s">
        <v>3096</v>
      </c>
      <c r="E22" s="2" t="s">
        <v>3097</v>
      </c>
      <c r="F22" s="2" t="s">
        <v>3098</v>
      </c>
      <c r="G22" s="2" t="s">
        <v>20</v>
      </c>
      <c r="H22" s="2" t="s">
        <v>3099</v>
      </c>
      <c r="I22" s="2" t="s">
        <v>3051</v>
      </c>
      <c r="J22" s="2" t="n">
        <v>3</v>
      </c>
    </row>
    <row r="23" customFormat="false" ht="46.25" hidden="false" customHeight="false" outlineLevel="0" collapsed="false">
      <c r="A23" s="2" t="s">
        <v>3100</v>
      </c>
      <c r="B23" s="2" t="s">
        <v>8069</v>
      </c>
      <c r="C23" s="2" t="s">
        <v>3101</v>
      </c>
      <c r="D23" s="2" t="s">
        <v>3102</v>
      </c>
      <c r="E23" s="2" t="s">
        <v>3103</v>
      </c>
      <c r="F23" s="2" t="s">
        <v>3104</v>
      </c>
      <c r="G23" s="2" t="s">
        <v>20</v>
      </c>
      <c r="H23" s="2" t="s">
        <v>3105</v>
      </c>
      <c r="I23" s="2" t="s">
        <v>3051</v>
      </c>
      <c r="J23" s="2" t="n">
        <v>1</v>
      </c>
    </row>
    <row r="24" customFormat="false" ht="46.25" hidden="false" customHeight="false" outlineLevel="0" collapsed="false">
      <c r="A24" s="2" t="s">
        <v>3106</v>
      </c>
      <c r="B24" s="2" t="s">
        <v>8068</v>
      </c>
      <c r="C24" s="2" t="s">
        <v>3107</v>
      </c>
      <c r="D24" s="2" t="s">
        <v>3108</v>
      </c>
      <c r="E24" s="2" t="s">
        <v>3109</v>
      </c>
      <c r="F24" s="2" t="s">
        <v>3110</v>
      </c>
      <c r="G24" s="2" t="s">
        <v>20</v>
      </c>
      <c r="H24" s="2" t="s">
        <v>3111</v>
      </c>
      <c r="I24" s="2" t="s">
        <v>3051</v>
      </c>
      <c r="J24" s="2" t="n">
        <v>1</v>
      </c>
    </row>
    <row r="25" customFormat="false" ht="61.15" hidden="false" customHeight="false" outlineLevel="0" collapsed="false">
      <c r="A25" s="2" t="s">
        <v>3112</v>
      </c>
      <c r="B25" s="2" t="s">
        <v>8068</v>
      </c>
      <c r="C25" s="2" t="s">
        <v>3113</v>
      </c>
      <c r="D25" s="2" t="s">
        <v>3114</v>
      </c>
      <c r="E25" s="2" t="s">
        <v>3115</v>
      </c>
      <c r="F25" s="2" t="s">
        <v>2168</v>
      </c>
      <c r="G25" s="2" t="s">
        <v>20</v>
      </c>
      <c r="H25" s="2" t="s">
        <v>3116</v>
      </c>
      <c r="I25" s="2" t="s">
        <v>3051</v>
      </c>
      <c r="J25" s="2" t="n">
        <v>2</v>
      </c>
    </row>
    <row r="26" customFormat="false" ht="61.15" hidden="false" customHeight="false" outlineLevel="0" collapsed="false">
      <c r="A26" s="2" t="s">
        <v>3117</v>
      </c>
      <c r="B26" s="2" t="s">
        <v>8068</v>
      </c>
      <c r="C26" s="2" t="s">
        <v>3118</v>
      </c>
      <c r="D26" s="2" t="s">
        <v>3119</v>
      </c>
      <c r="E26" s="2" t="s">
        <v>3120</v>
      </c>
      <c r="F26" s="2" t="s">
        <v>3121</v>
      </c>
      <c r="G26" s="2" t="s">
        <v>20</v>
      </c>
      <c r="H26" s="2" t="s">
        <v>3122</v>
      </c>
      <c r="I26" s="2" t="s">
        <v>3051</v>
      </c>
      <c r="J26" s="2" t="n">
        <v>2</v>
      </c>
    </row>
    <row r="27" customFormat="false" ht="135.8" hidden="false" customHeight="false" outlineLevel="0" collapsed="false">
      <c r="A27" s="2" t="s">
        <v>3123</v>
      </c>
      <c r="B27" s="2" t="s">
        <v>8069</v>
      </c>
      <c r="C27" s="2" t="s">
        <v>3124</v>
      </c>
      <c r="D27" s="2" t="s">
        <v>3125</v>
      </c>
      <c r="E27" s="2" t="s">
        <v>3126</v>
      </c>
      <c r="F27" s="2" t="s">
        <v>3127</v>
      </c>
      <c r="G27" s="2" t="s">
        <v>20</v>
      </c>
      <c r="H27" s="2" t="s">
        <v>3128</v>
      </c>
      <c r="I27" s="2" t="s">
        <v>3051</v>
      </c>
      <c r="J27" s="2" t="n">
        <v>3</v>
      </c>
    </row>
    <row r="28" customFormat="false" ht="76.1" hidden="false" customHeight="false" outlineLevel="0" collapsed="false">
      <c r="A28" s="2" t="s">
        <v>3129</v>
      </c>
      <c r="B28" s="2" t="s">
        <v>8068</v>
      </c>
      <c r="C28" s="2" t="s">
        <v>3130</v>
      </c>
      <c r="D28" s="2" t="s">
        <v>3131</v>
      </c>
      <c r="E28" s="2" t="s">
        <v>3132</v>
      </c>
      <c r="F28" s="2" t="s">
        <v>3133</v>
      </c>
      <c r="G28" s="2" t="s">
        <v>20</v>
      </c>
      <c r="H28" s="2" t="s">
        <v>3134</v>
      </c>
      <c r="I28" s="2" t="s">
        <v>3051</v>
      </c>
      <c r="J28" s="2" t="n">
        <v>3</v>
      </c>
    </row>
    <row r="29" customFormat="false" ht="61.15" hidden="false" customHeight="false" outlineLevel="0" collapsed="false">
      <c r="A29" s="2" t="s">
        <v>3135</v>
      </c>
      <c r="B29" s="2" t="s">
        <v>8068</v>
      </c>
      <c r="C29" s="2" t="s">
        <v>3136</v>
      </c>
      <c r="D29" s="2" t="s">
        <v>3137</v>
      </c>
      <c r="E29" s="2" t="s">
        <v>3138</v>
      </c>
      <c r="F29" s="2" t="s">
        <v>3139</v>
      </c>
      <c r="G29" s="2" t="s">
        <v>20</v>
      </c>
      <c r="H29" s="2" t="s">
        <v>3140</v>
      </c>
      <c r="I29" s="2" t="s">
        <v>3051</v>
      </c>
      <c r="J29" s="2" t="n">
        <v>2</v>
      </c>
    </row>
    <row r="30" customFormat="false" ht="76.1" hidden="false" customHeight="false" outlineLevel="0" collapsed="false">
      <c r="A30" s="2" t="s">
        <v>3141</v>
      </c>
      <c r="B30" s="2" t="s">
        <v>8068</v>
      </c>
      <c r="C30" s="2" t="s">
        <v>3142</v>
      </c>
      <c r="D30" s="2" t="s">
        <v>3143</v>
      </c>
      <c r="E30" s="2" t="s">
        <v>3144</v>
      </c>
      <c r="F30" s="2" t="s">
        <v>3145</v>
      </c>
      <c r="G30" s="2" t="s">
        <v>20</v>
      </c>
      <c r="H30" s="2" t="s">
        <v>3146</v>
      </c>
      <c r="I30" s="2" t="s">
        <v>3051</v>
      </c>
      <c r="J30" s="2" t="n">
        <v>2</v>
      </c>
    </row>
    <row r="31" customFormat="false" ht="61.15" hidden="false" customHeight="false" outlineLevel="0" collapsed="false">
      <c r="A31" s="2" t="s">
        <v>3147</v>
      </c>
      <c r="B31" s="2" t="s">
        <v>8068</v>
      </c>
      <c r="C31" s="2" t="s">
        <v>3148</v>
      </c>
      <c r="D31" s="2" t="s">
        <v>3149</v>
      </c>
      <c r="E31" s="2" t="s">
        <v>3150</v>
      </c>
      <c r="F31" s="2" t="s">
        <v>3151</v>
      </c>
      <c r="G31" s="2" t="s">
        <v>20</v>
      </c>
      <c r="H31" s="2" t="s">
        <v>3152</v>
      </c>
      <c r="I31" s="2" t="s">
        <v>3051</v>
      </c>
      <c r="J31" s="2" t="n">
        <v>2</v>
      </c>
    </row>
    <row r="32" customFormat="false" ht="61.15" hidden="false" customHeight="false" outlineLevel="0" collapsed="false">
      <c r="A32" s="2" t="s">
        <v>3153</v>
      </c>
      <c r="B32" s="2" t="s">
        <v>8068</v>
      </c>
      <c r="C32" s="2" t="s">
        <v>3154</v>
      </c>
      <c r="D32" s="2" t="s">
        <v>3155</v>
      </c>
      <c r="E32" s="2" t="s">
        <v>3156</v>
      </c>
      <c r="F32" s="2" t="s">
        <v>3157</v>
      </c>
      <c r="G32" s="2" t="s">
        <v>28</v>
      </c>
      <c r="H32" s="2" t="s">
        <v>3158</v>
      </c>
      <c r="I32" s="2" t="s">
        <v>3051</v>
      </c>
      <c r="J32" s="2" t="n">
        <v>2</v>
      </c>
    </row>
    <row r="33" customFormat="false" ht="61.15" hidden="false" customHeight="false" outlineLevel="0" collapsed="false">
      <c r="A33" s="2" t="s">
        <v>3159</v>
      </c>
      <c r="B33" s="2" t="s">
        <v>8068</v>
      </c>
      <c r="C33" s="2" t="s">
        <v>3160</v>
      </c>
      <c r="D33" s="2" t="s">
        <v>1948</v>
      </c>
      <c r="E33" s="2" t="s">
        <v>3161</v>
      </c>
      <c r="F33" s="2" t="s">
        <v>3162</v>
      </c>
      <c r="G33" s="2" t="s">
        <v>20</v>
      </c>
      <c r="H33" s="2" t="s">
        <v>3163</v>
      </c>
      <c r="I33" s="2" t="s">
        <v>3051</v>
      </c>
      <c r="J33" s="2" t="n">
        <v>2</v>
      </c>
    </row>
    <row r="34" customFormat="false" ht="76.1" hidden="false" customHeight="false" outlineLevel="0" collapsed="false">
      <c r="A34" s="2" t="s">
        <v>3164</v>
      </c>
      <c r="B34" s="2" t="s">
        <v>8068</v>
      </c>
      <c r="C34" s="2" t="s">
        <v>3165</v>
      </c>
      <c r="D34" s="2" t="s">
        <v>3166</v>
      </c>
      <c r="E34" s="2" t="s">
        <v>3167</v>
      </c>
      <c r="F34" s="2" t="s">
        <v>3168</v>
      </c>
      <c r="G34" s="2" t="s">
        <v>20</v>
      </c>
      <c r="H34" s="2" t="s">
        <v>3169</v>
      </c>
      <c r="I34" s="2" t="s">
        <v>3051</v>
      </c>
      <c r="J34" s="2" t="n">
        <v>2</v>
      </c>
    </row>
    <row r="35" customFormat="false" ht="91" hidden="false" customHeight="false" outlineLevel="0" collapsed="false">
      <c r="A35" s="2" t="s">
        <v>3170</v>
      </c>
      <c r="B35" s="2" t="s">
        <v>8068</v>
      </c>
      <c r="C35" s="2" t="s">
        <v>3171</v>
      </c>
      <c r="D35" s="2" t="s">
        <v>3172</v>
      </c>
      <c r="E35" s="2" t="s">
        <v>3173</v>
      </c>
      <c r="F35" s="2" t="s">
        <v>3174</v>
      </c>
      <c r="G35" s="2" t="s">
        <v>20</v>
      </c>
      <c r="H35" s="2" t="s">
        <v>3175</v>
      </c>
      <c r="I35" s="2" t="s">
        <v>3051</v>
      </c>
      <c r="J35" s="2" t="n">
        <v>2</v>
      </c>
    </row>
    <row r="36" customFormat="false" ht="46.25" hidden="false" customHeight="false" outlineLevel="0" collapsed="false">
      <c r="A36" s="2" t="s">
        <v>3176</v>
      </c>
      <c r="B36" s="2" t="s">
        <v>8068</v>
      </c>
      <c r="C36" s="2" t="s">
        <v>3177</v>
      </c>
      <c r="D36" s="2" t="s">
        <v>1948</v>
      </c>
      <c r="E36" s="2" t="s">
        <v>3178</v>
      </c>
      <c r="F36" s="2" t="s">
        <v>3179</v>
      </c>
      <c r="G36" s="2" t="s">
        <v>20</v>
      </c>
      <c r="H36" s="2" t="s">
        <v>3180</v>
      </c>
      <c r="I36" s="2" t="s">
        <v>3051</v>
      </c>
      <c r="J36" s="2" t="n">
        <v>2</v>
      </c>
    </row>
    <row r="37" customFormat="false" ht="61.15" hidden="false" customHeight="false" outlineLevel="0" collapsed="false">
      <c r="A37" s="2" t="s">
        <v>3181</v>
      </c>
      <c r="B37" s="2" t="s">
        <v>8068</v>
      </c>
      <c r="C37" s="2" t="s">
        <v>3182</v>
      </c>
      <c r="D37" s="2" t="s">
        <v>3183</v>
      </c>
      <c r="E37" s="2" t="s">
        <v>3184</v>
      </c>
      <c r="F37" s="2" t="s">
        <v>3185</v>
      </c>
      <c r="G37" s="2" t="s">
        <v>20</v>
      </c>
      <c r="H37" s="2" t="s">
        <v>3186</v>
      </c>
      <c r="I37" s="2" t="s">
        <v>3051</v>
      </c>
      <c r="J37" s="2" t="n">
        <v>2</v>
      </c>
    </row>
    <row r="38" customFormat="false" ht="61.15" hidden="false" customHeight="false" outlineLevel="0" collapsed="false">
      <c r="A38" s="2" t="s">
        <v>3187</v>
      </c>
      <c r="B38" s="2" t="s">
        <v>8068</v>
      </c>
      <c r="C38" s="2" t="s">
        <v>3188</v>
      </c>
      <c r="D38" s="2" t="s">
        <v>3189</v>
      </c>
      <c r="E38" s="2" t="s">
        <v>3190</v>
      </c>
      <c r="F38" s="2" t="s">
        <v>3191</v>
      </c>
      <c r="G38" s="2" t="s">
        <v>226</v>
      </c>
      <c r="H38" s="2" t="s">
        <v>3192</v>
      </c>
      <c r="I38" s="2" t="s">
        <v>3051</v>
      </c>
      <c r="J38" s="2" t="n">
        <v>2</v>
      </c>
    </row>
    <row r="39" customFormat="false" ht="91" hidden="false" customHeight="false" outlineLevel="0" collapsed="false">
      <c r="A39" s="2" t="s">
        <v>3193</v>
      </c>
      <c r="B39" s="2" t="s">
        <v>8068</v>
      </c>
      <c r="C39" s="2" t="s">
        <v>3194</v>
      </c>
      <c r="D39" s="2" t="s">
        <v>2356</v>
      </c>
      <c r="E39" s="2" t="s">
        <v>2044</v>
      </c>
      <c r="F39" s="2" t="s">
        <v>2357</v>
      </c>
      <c r="G39" s="2" t="s">
        <v>20</v>
      </c>
      <c r="H39" s="2" t="s">
        <v>3195</v>
      </c>
      <c r="I39" s="2" t="s">
        <v>3051</v>
      </c>
      <c r="J39" s="2" t="n">
        <v>3</v>
      </c>
    </row>
    <row r="40" customFormat="false" ht="91" hidden="false" customHeight="false" outlineLevel="0" collapsed="false">
      <c r="A40" s="2" t="s">
        <v>3196</v>
      </c>
      <c r="B40" s="2" t="s">
        <v>8068</v>
      </c>
      <c r="C40" s="2" t="s">
        <v>3197</v>
      </c>
      <c r="D40" s="2" t="s">
        <v>3198</v>
      </c>
      <c r="E40" s="2" t="s">
        <v>3199</v>
      </c>
      <c r="F40" s="2" t="s">
        <v>3200</v>
      </c>
      <c r="G40" s="2" t="s">
        <v>20</v>
      </c>
      <c r="H40" s="2" t="s">
        <v>3201</v>
      </c>
      <c r="I40" s="2" t="s">
        <v>3051</v>
      </c>
      <c r="J40" s="2" t="n">
        <v>3</v>
      </c>
    </row>
    <row r="41" customFormat="false" ht="91" hidden="false" customHeight="false" outlineLevel="0" collapsed="false">
      <c r="A41" s="2" t="s">
        <v>3202</v>
      </c>
      <c r="B41" s="2" t="s">
        <v>8069</v>
      </c>
      <c r="C41" s="2" t="s">
        <v>3203</v>
      </c>
      <c r="D41" s="2" t="s">
        <v>3204</v>
      </c>
      <c r="E41" s="2" t="s">
        <v>3205</v>
      </c>
      <c r="F41" s="2" t="s">
        <v>3206</v>
      </c>
      <c r="G41" s="2" t="s">
        <v>226</v>
      </c>
      <c r="H41" s="2" t="s">
        <v>3207</v>
      </c>
      <c r="I41" s="2" t="s">
        <v>3208</v>
      </c>
      <c r="J41" s="2" t="n">
        <v>3</v>
      </c>
    </row>
    <row r="42" customFormat="false" ht="76.1" hidden="false" customHeight="false" outlineLevel="0" collapsed="false">
      <c r="A42" s="2" t="s">
        <v>3209</v>
      </c>
      <c r="B42" s="2" t="s">
        <v>8069</v>
      </c>
      <c r="C42" s="2" t="s">
        <v>3210</v>
      </c>
      <c r="D42" s="2" t="s">
        <v>3211</v>
      </c>
      <c r="E42" s="2" t="s">
        <v>3212</v>
      </c>
      <c r="F42" s="2" t="s">
        <v>3213</v>
      </c>
      <c r="G42" s="2" t="s">
        <v>20</v>
      </c>
      <c r="H42" s="2" t="s">
        <v>3214</v>
      </c>
      <c r="I42" s="2" t="s">
        <v>3208</v>
      </c>
      <c r="J42" s="2" t="n">
        <v>3</v>
      </c>
    </row>
    <row r="43" customFormat="false" ht="76.1" hidden="false" customHeight="false" outlineLevel="0" collapsed="false">
      <c r="A43" s="2" t="s">
        <v>3215</v>
      </c>
      <c r="B43" s="2" t="s">
        <v>8068</v>
      </c>
      <c r="C43" s="2" t="s">
        <v>3216</v>
      </c>
      <c r="D43" s="2" t="s">
        <v>3217</v>
      </c>
      <c r="E43" s="2" t="s">
        <v>3218</v>
      </c>
      <c r="F43" s="2" t="s">
        <v>3219</v>
      </c>
      <c r="G43" s="2" t="s">
        <v>20</v>
      </c>
      <c r="H43" s="2" t="s">
        <v>3220</v>
      </c>
      <c r="I43" s="2" t="s">
        <v>3208</v>
      </c>
      <c r="J43" s="2" t="n">
        <v>3</v>
      </c>
    </row>
    <row r="44" customFormat="false" ht="91" hidden="false" customHeight="false" outlineLevel="0" collapsed="false">
      <c r="A44" s="2" t="s">
        <v>3221</v>
      </c>
      <c r="B44" s="2" t="s">
        <v>8069</v>
      </c>
      <c r="C44" s="2" t="s">
        <v>3222</v>
      </c>
      <c r="D44" s="2" t="s">
        <v>3223</v>
      </c>
      <c r="E44" s="2" t="s">
        <v>3224</v>
      </c>
      <c r="F44" s="2" t="s">
        <v>3225</v>
      </c>
      <c r="G44" s="2" t="s">
        <v>226</v>
      </c>
      <c r="H44" s="2" t="s">
        <v>3226</v>
      </c>
      <c r="I44" s="2" t="s">
        <v>3208</v>
      </c>
      <c r="J44" s="2" t="n">
        <v>2</v>
      </c>
    </row>
    <row r="45" customFormat="false" ht="91" hidden="false" customHeight="false" outlineLevel="0" collapsed="false">
      <c r="A45" s="2" t="s">
        <v>3227</v>
      </c>
      <c r="B45" s="2" t="s">
        <v>8068</v>
      </c>
      <c r="C45" s="2" t="s">
        <v>3228</v>
      </c>
      <c r="D45" s="2" t="s">
        <v>3229</v>
      </c>
      <c r="E45" s="2" t="s">
        <v>3230</v>
      </c>
      <c r="F45" s="2" t="s">
        <v>3231</v>
      </c>
      <c r="G45" s="2" t="s">
        <v>20</v>
      </c>
      <c r="H45" s="2" t="s">
        <v>3232</v>
      </c>
      <c r="I45" s="2" t="s">
        <v>3208</v>
      </c>
      <c r="J45" s="2" t="n">
        <v>3</v>
      </c>
    </row>
    <row r="46" customFormat="false" ht="46.25" hidden="false" customHeight="false" outlineLevel="0" collapsed="false">
      <c r="A46" s="2" t="s">
        <v>3233</v>
      </c>
      <c r="B46" s="2" t="s">
        <v>8069</v>
      </c>
      <c r="C46" s="2" t="s">
        <v>3234</v>
      </c>
      <c r="D46" s="2" t="s">
        <v>3235</v>
      </c>
      <c r="E46" s="2" t="s">
        <v>3236</v>
      </c>
      <c r="F46" s="2" t="s">
        <v>3237</v>
      </c>
      <c r="G46" s="2" t="s">
        <v>20</v>
      </c>
      <c r="H46" s="2" t="s">
        <v>3238</v>
      </c>
      <c r="I46" s="2" t="s">
        <v>3208</v>
      </c>
      <c r="J46" s="2" t="n">
        <v>1</v>
      </c>
    </row>
    <row r="47" customFormat="false" ht="61.15" hidden="false" customHeight="false" outlineLevel="0" collapsed="false">
      <c r="A47" s="2" t="s">
        <v>3239</v>
      </c>
      <c r="B47" s="2" t="s">
        <v>8069</v>
      </c>
      <c r="C47" s="2" t="s">
        <v>3240</v>
      </c>
      <c r="D47" s="2" t="s">
        <v>3241</v>
      </c>
      <c r="E47" s="2" t="s">
        <v>3242</v>
      </c>
      <c r="F47" s="2" t="s">
        <v>3243</v>
      </c>
      <c r="G47" s="2" t="s">
        <v>20</v>
      </c>
      <c r="H47" s="2" t="s">
        <v>3244</v>
      </c>
      <c r="I47" s="2" t="s">
        <v>3245</v>
      </c>
      <c r="J47" s="2" t="n">
        <v>1</v>
      </c>
    </row>
    <row r="48" customFormat="false" ht="76.1" hidden="false" customHeight="false" outlineLevel="0" collapsed="false">
      <c r="A48" s="2" t="s">
        <v>3246</v>
      </c>
      <c r="B48" s="2" t="s">
        <v>8068</v>
      </c>
      <c r="C48" s="2" t="s">
        <v>3247</v>
      </c>
      <c r="D48" s="2" t="s">
        <v>3248</v>
      </c>
      <c r="E48" s="2" t="s">
        <v>3249</v>
      </c>
      <c r="F48" s="2" t="s">
        <v>3250</v>
      </c>
      <c r="G48" s="2" t="s">
        <v>20</v>
      </c>
      <c r="H48" s="2" t="s">
        <v>3251</v>
      </c>
      <c r="I48" s="2" t="s">
        <v>3051</v>
      </c>
      <c r="J48" s="2" t="n">
        <v>2</v>
      </c>
    </row>
    <row r="49" customFormat="false" ht="61.15" hidden="false" customHeight="false" outlineLevel="0" collapsed="false">
      <c r="A49" s="2" t="s">
        <v>3252</v>
      </c>
      <c r="B49" s="2" t="s">
        <v>8069</v>
      </c>
      <c r="C49" s="2" t="s">
        <v>3253</v>
      </c>
      <c r="D49" s="2" t="s">
        <v>3254</v>
      </c>
      <c r="E49" s="2" t="s">
        <v>3255</v>
      </c>
      <c r="F49" s="2" t="s">
        <v>3256</v>
      </c>
      <c r="G49" s="2" t="s">
        <v>20</v>
      </c>
      <c r="H49" s="2" t="s">
        <v>3257</v>
      </c>
      <c r="I49" s="2" t="s">
        <v>3051</v>
      </c>
      <c r="J49" s="2" t="n">
        <v>2</v>
      </c>
    </row>
    <row r="50" customFormat="false" ht="46.25" hidden="false" customHeight="false" outlineLevel="0" collapsed="false">
      <c r="A50" s="2" t="s">
        <v>3258</v>
      </c>
      <c r="B50" s="2" t="s">
        <v>8069</v>
      </c>
      <c r="C50" s="2" t="s">
        <v>3259</v>
      </c>
      <c r="D50" s="2" t="s">
        <v>3260</v>
      </c>
      <c r="E50" s="2" t="s">
        <v>3261</v>
      </c>
      <c r="F50" s="2" t="s">
        <v>3262</v>
      </c>
      <c r="G50" s="2" t="s">
        <v>20</v>
      </c>
      <c r="H50" s="2" t="s">
        <v>3263</v>
      </c>
      <c r="I50" s="2" t="s">
        <v>3051</v>
      </c>
      <c r="J50" s="2" t="n">
        <v>2</v>
      </c>
    </row>
    <row r="51" customFormat="false" ht="105.95" hidden="false" customHeight="false" outlineLevel="0" collapsed="false">
      <c r="A51" s="2" t="s">
        <v>3264</v>
      </c>
      <c r="B51" s="2" t="s">
        <v>8069</v>
      </c>
      <c r="C51" s="2" t="s">
        <v>3265</v>
      </c>
      <c r="D51" s="2" t="s">
        <v>3266</v>
      </c>
      <c r="E51" s="2" t="s">
        <v>3267</v>
      </c>
      <c r="F51" s="2" t="s">
        <v>3268</v>
      </c>
      <c r="G51" s="2" t="s">
        <v>20</v>
      </c>
      <c r="H51" s="2" t="s">
        <v>3269</v>
      </c>
      <c r="I51" s="2" t="s">
        <v>3270</v>
      </c>
      <c r="J51" s="2" t="n">
        <v>2</v>
      </c>
    </row>
    <row r="52" customFormat="false" ht="91" hidden="false" customHeight="false" outlineLevel="0" collapsed="false">
      <c r="A52" s="2" t="s">
        <v>3271</v>
      </c>
      <c r="B52" s="2" t="s">
        <v>8068</v>
      </c>
      <c r="C52" s="2" t="s">
        <v>3272</v>
      </c>
      <c r="D52" s="2" t="s">
        <v>3273</v>
      </c>
      <c r="E52" s="2" t="s">
        <v>3274</v>
      </c>
      <c r="F52" s="2" t="s">
        <v>3275</v>
      </c>
      <c r="G52" s="2" t="s">
        <v>20</v>
      </c>
      <c r="H52" s="2" t="s">
        <v>3276</v>
      </c>
      <c r="I52" s="2" t="s">
        <v>3270</v>
      </c>
      <c r="J52" s="2" t="n">
        <v>2</v>
      </c>
    </row>
    <row r="53" customFormat="false" ht="46.25" hidden="false" customHeight="false" outlineLevel="0" collapsed="false">
      <c r="A53" s="2" t="s">
        <v>3277</v>
      </c>
      <c r="B53" s="2" t="s">
        <v>8069</v>
      </c>
      <c r="C53" s="2" t="s">
        <v>3278</v>
      </c>
      <c r="D53" s="2" t="s">
        <v>2727</v>
      </c>
      <c r="E53" s="2" t="s">
        <v>3279</v>
      </c>
      <c r="F53" s="2" t="s">
        <v>3280</v>
      </c>
      <c r="G53" s="2" t="s">
        <v>20</v>
      </c>
      <c r="H53" s="2" t="s">
        <v>3281</v>
      </c>
      <c r="I53" s="2" t="s">
        <v>3270</v>
      </c>
      <c r="J53" s="2" t="n">
        <v>1</v>
      </c>
    </row>
    <row r="54" customFormat="false" ht="61.15" hidden="false" customHeight="false" outlineLevel="0" collapsed="false">
      <c r="A54" s="2" t="s">
        <v>3282</v>
      </c>
      <c r="B54" s="2" t="s">
        <v>8069</v>
      </c>
      <c r="C54" s="2" t="s">
        <v>3283</v>
      </c>
      <c r="D54" s="2" t="s">
        <v>3284</v>
      </c>
      <c r="E54" s="2" t="s">
        <v>3285</v>
      </c>
      <c r="F54" s="2" t="s">
        <v>3286</v>
      </c>
      <c r="G54" s="2" t="s">
        <v>20</v>
      </c>
      <c r="H54" s="2" t="s">
        <v>3287</v>
      </c>
      <c r="I54" s="2" t="s">
        <v>3270</v>
      </c>
      <c r="J54" s="2" t="n">
        <v>1</v>
      </c>
    </row>
    <row r="55" customFormat="false" ht="120.85" hidden="false" customHeight="false" outlineLevel="0" collapsed="false">
      <c r="A55" s="2" t="s">
        <v>3288</v>
      </c>
      <c r="B55" s="2" t="s">
        <v>8068</v>
      </c>
      <c r="C55" s="2" t="s">
        <v>3289</v>
      </c>
      <c r="D55" s="2" t="s">
        <v>3290</v>
      </c>
      <c r="E55" s="2" t="s">
        <v>3291</v>
      </c>
      <c r="F55" s="2" t="s">
        <v>1608</v>
      </c>
      <c r="G55" s="2" t="s">
        <v>20</v>
      </c>
      <c r="H55" s="2" t="s">
        <v>3292</v>
      </c>
      <c r="I55" s="2" t="s">
        <v>2969</v>
      </c>
      <c r="J55" s="2" t="n">
        <v>2</v>
      </c>
    </row>
    <row r="56" customFormat="false" ht="46.25" hidden="false" customHeight="false" outlineLevel="0" collapsed="false">
      <c r="A56" s="2" t="s">
        <v>3293</v>
      </c>
      <c r="B56" s="2" t="s">
        <v>8069</v>
      </c>
      <c r="C56" s="2" t="s">
        <v>3294</v>
      </c>
      <c r="D56" s="2" t="s">
        <v>3295</v>
      </c>
      <c r="E56" s="2" t="s">
        <v>3296</v>
      </c>
      <c r="F56" s="2" t="s">
        <v>3297</v>
      </c>
      <c r="G56" s="2" t="s">
        <v>20</v>
      </c>
      <c r="H56" s="2" t="s">
        <v>3298</v>
      </c>
      <c r="I56" s="2" t="s">
        <v>2969</v>
      </c>
      <c r="J56" s="2" t="n">
        <v>1</v>
      </c>
    </row>
    <row r="57" customFormat="false" ht="61.15" hidden="false" customHeight="false" outlineLevel="0" collapsed="false">
      <c r="A57" s="2" t="s">
        <v>3299</v>
      </c>
      <c r="B57" s="2" t="s">
        <v>8068</v>
      </c>
      <c r="C57" s="2" t="s">
        <v>3300</v>
      </c>
      <c r="D57" s="2" t="s">
        <v>3301</v>
      </c>
      <c r="E57" s="2" t="s">
        <v>3302</v>
      </c>
      <c r="F57" s="2" t="s">
        <v>3303</v>
      </c>
      <c r="G57" s="2" t="s">
        <v>20</v>
      </c>
      <c r="H57" s="2" t="s">
        <v>3304</v>
      </c>
      <c r="I57" s="2" t="s">
        <v>2969</v>
      </c>
      <c r="J57" s="2" t="n">
        <v>2</v>
      </c>
    </row>
    <row r="58" customFormat="false" ht="46.25" hidden="false" customHeight="false" outlineLevel="0" collapsed="false">
      <c r="A58" s="2" t="s">
        <v>3305</v>
      </c>
      <c r="B58" s="2" t="s">
        <v>8068</v>
      </c>
      <c r="C58" s="2" t="s">
        <v>3306</v>
      </c>
      <c r="D58" s="2" t="s">
        <v>3307</v>
      </c>
      <c r="E58" s="2" t="s">
        <v>3308</v>
      </c>
      <c r="F58" s="2" t="s">
        <v>3309</v>
      </c>
      <c r="G58" s="2" t="s">
        <v>20</v>
      </c>
      <c r="H58" s="2" t="s">
        <v>3310</v>
      </c>
      <c r="I58" s="2" t="s">
        <v>2969</v>
      </c>
      <c r="J58" s="2" t="n">
        <v>2</v>
      </c>
    </row>
    <row r="59" customFormat="false" ht="61.15" hidden="false" customHeight="false" outlineLevel="0" collapsed="false">
      <c r="A59" s="2" t="s">
        <v>3311</v>
      </c>
      <c r="B59" s="2" t="s">
        <v>8068</v>
      </c>
      <c r="C59" s="2" t="s">
        <v>3312</v>
      </c>
      <c r="D59" s="2" t="s">
        <v>3313</v>
      </c>
      <c r="E59" s="2" t="s">
        <v>3314</v>
      </c>
      <c r="F59" s="2" t="s">
        <v>3315</v>
      </c>
      <c r="G59" s="2" t="s">
        <v>20</v>
      </c>
      <c r="H59" s="2" t="s">
        <v>3316</v>
      </c>
      <c r="I59" s="2" t="s">
        <v>2969</v>
      </c>
      <c r="J59" s="2" t="n">
        <v>2</v>
      </c>
    </row>
    <row r="60" customFormat="false" ht="61.15" hidden="false" customHeight="false" outlineLevel="0" collapsed="false">
      <c r="A60" s="2" t="s">
        <v>3317</v>
      </c>
      <c r="B60" s="2" t="s">
        <v>8069</v>
      </c>
      <c r="C60" s="2" t="s">
        <v>3318</v>
      </c>
      <c r="D60" s="2" t="s">
        <v>3319</v>
      </c>
      <c r="E60" s="2" t="s">
        <v>3320</v>
      </c>
      <c r="F60" s="2" t="s">
        <v>3321</v>
      </c>
      <c r="G60" s="2" t="s">
        <v>20</v>
      </c>
      <c r="H60" s="2" t="s">
        <v>3322</v>
      </c>
      <c r="I60" s="2" t="s">
        <v>2969</v>
      </c>
      <c r="J60" s="2" t="n">
        <v>2</v>
      </c>
    </row>
    <row r="61" customFormat="false" ht="61.15" hidden="false" customHeight="false" outlineLevel="0" collapsed="false">
      <c r="A61" s="2" t="s">
        <v>3323</v>
      </c>
      <c r="B61" s="2" t="s">
        <v>8068</v>
      </c>
      <c r="C61" s="2" t="s">
        <v>3324</v>
      </c>
      <c r="D61" s="2" t="s">
        <v>3325</v>
      </c>
      <c r="E61" s="2" t="s">
        <v>3326</v>
      </c>
      <c r="F61" s="2" t="s">
        <v>3327</v>
      </c>
      <c r="G61" s="2" t="s">
        <v>20</v>
      </c>
      <c r="H61" s="2" t="s">
        <v>3328</v>
      </c>
      <c r="I61" s="2" t="s">
        <v>2969</v>
      </c>
      <c r="J61" s="2" t="n">
        <v>1</v>
      </c>
    </row>
    <row r="62" customFormat="false" ht="46.25" hidden="false" customHeight="false" outlineLevel="0" collapsed="false">
      <c r="A62" s="2" t="s">
        <v>3329</v>
      </c>
      <c r="B62" s="2" t="s">
        <v>8068</v>
      </c>
      <c r="C62" s="2" t="s">
        <v>3330</v>
      </c>
      <c r="D62" s="2" t="s">
        <v>3331</v>
      </c>
      <c r="E62" s="2" t="s">
        <v>3332</v>
      </c>
      <c r="F62" s="2" t="s">
        <v>3333</v>
      </c>
      <c r="G62" s="2" t="s">
        <v>20</v>
      </c>
      <c r="H62" s="2" t="s">
        <v>3334</v>
      </c>
      <c r="I62" s="2" t="s">
        <v>2969</v>
      </c>
      <c r="J62" s="2" t="n">
        <v>2</v>
      </c>
    </row>
    <row r="63" customFormat="false" ht="46.25" hidden="false" customHeight="false" outlineLevel="0" collapsed="false">
      <c r="A63" s="2" t="s">
        <v>3335</v>
      </c>
      <c r="B63" s="2" t="s">
        <v>8069</v>
      </c>
      <c r="C63" s="2" t="s">
        <v>3336</v>
      </c>
      <c r="D63" s="2" t="s">
        <v>3337</v>
      </c>
      <c r="E63" s="2" t="s">
        <v>3338</v>
      </c>
      <c r="F63" s="2" t="s">
        <v>3339</v>
      </c>
      <c r="G63" s="2" t="s">
        <v>20</v>
      </c>
      <c r="H63" s="2" t="s">
        <v>3340</v>
      </c>
      <c r="I63" s="2" t="s">
        <v>2969</v>
      </c>
      <c r="J63" s="2" t="n">
        <v>1</v>
      </c>
    </row>
    <row r="64" customFormat="false" ht="76.1" hidden="false" customHeight="false" outlineLevel="0" collapsed="false">
      <c r="A64" s="2" t="s">
        <v>3341</v>
      </c>
      <c r="B64" s="2" t="s">
        <v>8068</v>
      </c>
      <c r="C64" s="2" t="s">
        <v>3342</v>
      </c>
      <c r="D64" s="2" t="s">
        <v>1608</v>
      </c>
      <c r="E64" s="2" t="s">
        <v>1607</v>
      </c>
      <c r="F64" s="2" t="s">
        <v>3290</v>
      </c>
      <c r="G64" s="2" t="s">
        <v>20</v>
      </c>
      <c r="H64" s="2" t="s">
        <v>3343</v>
      </c>
      <c r="I64" s="2" t="s">
        <v>2969</v>
      </c>
      <c r="J64" s="2" t="n">
        <v>2</v>
      </c>
    </row>
    <row r="65" customFormat="false" ht="91" hidden="false" customHeight="false" outlineLevel="0" collapsed="false">
      <c r="A65" s="2" t="s">
        <v>3344</v>
      </c>
      <c r="B65" s="2" t="s">
        <v>8068</v>
      </c>
      <c r="C65" s="2" t="s">
        <v>3345</v>
      </c>
      <c r="D65" s="2" t="s">
        <v>3346</v>
      </c>
      <c r="E65" s="2" t="s">
        <v>3347</v>
      </c>
      <c r="F65" s="2" t="s">
        <v>3348</v>
      </c>
      <c r="G65" s="2" t="s">
        <v>28</v>
      </c>
      <c r="H65" s="2" t="s">
        <v>3349</v>
      </c>
      <c r="I65" s="2" t="s">
        <v>2969</v>
      </c>
      <c r="J65" s="2" t="n">
        <v>2</v>
      </c>
    </row>
    <row r="66" customFormat="false" ht="61.15" hidden="false" customHeight="false" outlineLevel="0" collapsed="false">
      <c r="A66" s="2" t="s">
        <v>3350</v>
      </c>
      <c r="B66" s="2" t="s">
        <v>8068</v>
      </c>
      <c r="C66" s="2" t="s">
        <v>3351</v>
      </c>
      <c r="D66" s="2" t="s">
        <v>3352</v>
      </c>
      <c r="E66" s="2" t="s">
        <v>3353</v>
      </c>
      <c r="F66" s="2" t="s">
        <v>3354</v>
      </c>
      <c r="G66" s="2" t="s">
        <v>20</v>
      </c>
      <c r="H66" s="2" t="s">
        <v>3355</v>
      </c>
      <c r="I66" s="2" t="s">
        <v>2969</v>
      </c>
      <c r="J66" s="2" t="n">
        <v>1</v>
      </c>
    </row>
    <row r="67" customFormat="false" ht="61.15" hidden="false" customHeight="false" outlineLevel="0" collapsed="false">
      <c r="A67" s="2" t="s">
        <v>3356</v>
      </c>
      <c r="B67" s="2" t="s">
        <v>8068</v>
      </c>
      <c r="C67" s="2" t="s">
        <v>3357</v>
      </c>
      <c r="D67" s="2" t="s">
        <v>3358</v>
      </c>
      <c r="E67" s="2" t="s">
        <v>3359</v>
      </c>
      <c r="F67" s="2" t="s">
        <v>3360</v>
      </c>
      <c r="G67" s="2" t="s">
        <v>20</v>
      </c>
      <c r="H67" s="2" t="s">
        <v>3361</v>
      </c>
      <c r="I67" s="2" t="s">
        <v>2969</v>
      </c>
      <c r="J67" s="2" t="n">
        <v>2</v>
      </c>
    </row>
    <row r="68" customFormat="false" ht="61.15" hidden="false" customHeight="false" outlineLevel="0" collapsed="false">
      <c r="A68" s="2" t="s">
        <v>3362</v>
      </c>
      <c r="B68" s="2" t="s">
        <v>8069</v>
      </c>
      <c r="C68" s="2" t="s">
        <v>3363</v>
      </c>
      <c r="D68" s="2" t="s">
        <v>3364</v>
      </c>
      <c r="E68" s="2" t="s">
        <v>3365</v>
      </c>
      <c r="F68" s="2" t="s">
        <v>3366</v>
      </c>
      <c r="G68" s="2" t="s">
        <v>20</v>
      </c>
      <c r="H68" s="2" t="s">
        <v>3367</v>
      </c>
      <c r="I68" s="2" t="s">
        <v>2969</v>
      </c>
      <c r="J68" s="2" t="n">
        <v>2</v>
      </c>
    </row>
    <row r="69" customFormat="false" ht="46.25" hidden="false" customHeight="false" outlineLevel="0" collapsed="false">
      <c r="A69" s="2" t="s">
        <v>3368</v>
      </c>
      <c r="B69" s="2" t="s">
        <v>8068</v>
      </c>
      <c r="C69" s="2" t="s">
        <v>3369</v>
      </c>
      <c r="D69" s="2" t="s">
        <v>3370</v>
      </c>
      <c r="E69" s="2" t="s">
        <v>3371</v>
      </c>
      <c r="F69" s="2" t="s">
        <v>3372</v>
      </c>
      <c r="G69" s="2" t="s">
        <v>20</v>
      </c>
      <c r="H69" s="2" t="s">
        <v>3373</v>
      </c>
      <c r="I69" s="2" t="s">
        <v>2969</v>
      </c>
      <c r="J69" s="2" t="n">
        <v>2</v>
      </c>
    </row>
    <row r="70" customFormat="false" ht="61.15" hidden="false" customHeight="false" outlineLevel="0" collapsed="false">
      <c r="A70" s="2" t="s">
        <v>3374</v>
      </c>
      <c r="B70" s="2" t="s">
        <v>8069</v>
      </c>
      <c r="C70" s="2" t="s">
        <v>3375</v>
      </c>
      <c r="D70" s="2" t="s">
        <v>3376</v>
      </c>
      <c r="E70" s="2" t="s">
        <v>3377</v>
      </c>
      <c r="F70" s="2" t="s">
        <v>3378</v>
      </c>
      <c r="G70" s="2" t="s">
        <v>20</v>
      </c>
      <c r="H70" s="2" t="s">
        <v>3379</v>
      </c>
      <c r="I70" s="2" t="s">
        <v>2969</v>
      </c>
      <c r="J70" s="2" t="n">
        <v>3</v>
      </c>
    </row>
    <row r="71" customFormat="false" ht="91" hidden="false" customHeight="false" outlineLevel="0" collapsed="false">
      <c r="A71" s="2" t="s">
        <v>3380</v>
      </c>
      <c r="B71" s="2" t="s">
        <v>8068</v>
      </c>
      <c r="C71" s="2" t="s">
        <v>3381</v>
      </c>
      <c r="D71" s="2" t="s">
        <v>3382</v>
      </c>
      <c r="E71" s="2" t="s">
        <v>3383</v>
      </c>
      <c r="F71" s="2" t="s">
        <v>3384</v>
      </c>
      <c r="G71" s="2" t="s">
        <v>28</v>
      </c>
      <c r="H71" s="2" t="s">
        <v>3385</v>
      </c>
      <c r="I71" s="2" t="s">
        <v>2969</v>
      </c>
      <c r="J71" s="2" t="n">
        <v>2</v>
      </c>
    </row>
    <row r="72" customFormat="false" ht="61.15" hidden="false" customHeight="false" outlineLevel="0" collapsed="false">
      <c r="A72" s="2" t="s">
        <v>3386</v>
      </c>
      <c r="B72" s="2" t="s">
        <v>8069</v>
      </c>
      <c r="C72" s="2" t="s">
        <v>3387</v>
      </c>
      <c r="D72" s="2" t="s">
        <v>3388</v>
      </c>
      <c r="E72" s="2" t="s">
        <v>3389</v>
      </c>
      <c r="F72" s="2" t="s">
        <v>3390</v>
      </c>
      <c r="G72" s="2" t="s">
        <v>20</v>
      </c>
      <c r="H72" s="2" t="s">
        <v>3391</v>
      </c>
      <c r="I72" s="2" t="s">
        <v>2969</v>
      </c>
      <c r="J72" s="2" t="n">
        <v>2</v>
      </c>
    </row>
    <row r="73" customFormat="false" ht="46.25" hidden="false" customHeight="false" outlineLevel="0" collapsed="false">
      <c r="A73" s="2" t="s">
        <v>3392</v>
      </c>
      <c r="B73" s="2" t="s">
        <v>8068</v>
      </c>
      <c r="C73" s="2" t="s">
        <v>3393</v>
      </c>
      <c r="D73" s="2" t="s">
        <v>3394</v>
      </c>
      <c r="E73" s="2" t="s">
        <v>3395</v>
      </c>
      <c r="F73" s="2" t="s">
        <v>3396</v>
      </c>
      <c r="G73" s="2" t="s">
        <v>20</v>
      </c>
      <c r="H73" s="2" t="s">
        <v>3397</v>
      </c>
      <c r="I73" s="2" t="s">
        <v>2969</v>
      </c>
      <c r="J73" s="2" t="n">
        <v>2</v>
      </c>
    </row>
    <row r="74" customFormat="false" ht="61.15" hidden="false" customHeight="false" outlineLevel="0" collapsed="false">
      <c r="A74" s="2" t="s">
        <v>3398</v>
      </c>
      <c r="B74" s="2" t="s">
        <v>8068</v>
      </c>
      <c r="C74" s="2" t="s">
        <v>3399</v>
      </c>
      <c r="D74" s="2" t="s">
        <v>3400</v>
      </c>
      <c r="E74" s="2" t="s">
        <v>3401</v>
      </c>
      <c r="F74" s="2" t="s">
        <v>3402</v>
      </c>
      <c r="G74" s="2" t="s">
        <v>20</v>
      </c>
      <c r="H74" s="2" t="s">
        <v>3403</v>
      </c>
      <c r="I74" s="2" t="s">
        <v>2969</v>
      </c>
      <c r="J74" s="2" t="n">
        <v>2</v>
      </c>
    </row>
    <row r="75" customFormat="false" ht="61.15" hidden="false" customHeight="false" outlineLevel="0" collapsed="false">
      <c r="A75" s="2" t="s">
        <v>3404</v>
      </c>
      <c r="B75" s="2" t="s">
        <v>8068</v>
      </c>
      <c r="C75" s="2" t="s">
        <v>3405</v>
      </c>
      <c r="D75" s="2" t="s">
        <v>3406</v>
      </c>
      <c r="E75" s="2" t="s">
        <v>3407</v>
      </c>
      <c r="F75" s="2" t="s">
        <v>3408</v>
      </c>
      <c r="G75" s="2" t="s">
        <v>20</v>
      </c>
      <c r="H75" s="2" t="s">
        <v>3409</v>
      </c>
      <c r="I75" s="2" t="s">
        <v>2969</v>
      </c>
      <c r="J75" s="2" t="n">
        <v>2</v>
      </c>
    </row>
    <row r="76" customFormat="false" ht="91" hidden="false" customHeight="false" outlineLevel="0" collapsed="false">
      <c r="A76" s="2" t="s">
        <v>3410</v>
      </c>
      <c r="B76" s="2" t="s">
        <v>8069</v>
      </c>
      <c r="C76" s="2" t="s">
        <v>3411</v>
      </c>
      <c r="D76" s="2" t="s">
        <v>3412</v>
      </c>
      <c r="E76" s="2" t="s">
        <v>3413</v>
      </c>
      <c r="F76" s="2" t="s">
        <v>3414</v>
      </c>
      <c r="G76" s="2" t="s">
        <v>226</v>
      </c>
      <c r="H76" s="2" t="s">
        <v>3415</v>
      </c>
      <c r="I76" s="2" t="s">
        <v>2969</v>
      </c>
      <c r="J76" s="2" t="n">
        <v>3</v>
      </c>
    </row>
    <row r="77" customFormat="false" ht="105.95" hidden="false" customHeight="false" outlineLevel="0" collapsed="false">
      <c r="A77" s="2" t="s">
        <v>3416</v>
      </c>
      <c r="B77" s="2" t="s">
        <v>8068</v>
      </c>
      <c r="C77" s="2" t="s">
        <v>3417</v>
      </c>
      <c r="D77" s="2" t="s">
        <v>3418</v>
      </c>
      <c r="E77" s="2" t="s">
        <v>3419</v>
      </c>
      <c r="F77" s="2" t="s">
        <v>3420</v>
      </c>
      <c r="G77" s="2" t="s">
        <v>20</v>
      </c>
      <c r="H77" s="2" t="s">
        <v>3421</v>
      </c>
      <c r="I77" s="2" t="s">
        <v>2969</v>
      </c>
      <c r="J77" s="2" t="n">
        <v>4</v>
      </c>
    </row>
    <row r="78" customFormat="false" ht="76.1" hidden="false" customHeight="false" outlineLevel="0" collapsed="false">
      <c r="A78" s="2" t="s">
        <v>3422</v>
      </c>
      <c r="B78" s="2" t="s">
        <v>8068</v>
      </c>
      <c r="C78" s="2" t="s">
        <v>3423</v>
      </c>
      <c r="D78" s="2" t="s">
        <v>3424</v>
      </c>
      <c r="E78" s="2" t="s">
        <v>3425</v>
      </c>
      <c r="F78" s="2" t="s">
        <v>3426</v>
      </c>
      <c r="G78" s="2" t="s">
        <v>20</v>
      </c>
      <c r="H78" s="2" t="s">
        <v>3427</v>
      </c>
      <c r="I78" s="2" t="s">
        <v>2969</v>
      </c>
      <c r="J78" s="2" t="n">
        <v>3</v>
      </c>
    </row>
    <row r="79" customFormat="false" ht="91" hidden="false" customHeight="false" outlineLevel="0" collapsed="false">
      <c r="A79" s="2" t="s">
        <v>3428</v>
      </c>
      <c r="B79" s="2" t="s">
        <v>8068</v>
      </c>
      <c r="C79" s="2" t="s">
        <v>3429</v>
      </c>
      <c r="D79" s="2" t="s">
        <v>3430</v>
      </c>
      <c r="E79" s="2" t="s">
        <v>3431</v>
      </c>
      <c r="F79" s="2" t="s">
        <v>3432</v>
      </c>
      <c r="G79" s="2" t="s">
        <v>20</v>
      </c>
      <c r="H79" s="2" t="s">
        <v>3433</v>
      </c>
      <c r="I79" s="2" t="s">
        <v>2969</v>
      </c>
      <c r="J79" s="2" t="n">
        <v>3</v>
      </c>
    </row>
    <row r="80" customFormat="false" ht="91" hidden="false" customHeight="false" outlineLevel="0" collapsed="false">
      <c r="A80" s="2" t="s">
        <v>3434</v>
      </c>
      <c r="B80" s="2" t="s">
        <v>8068</v>
      </c>
      <c r="C80" s="2" t="s">
        <v>3435</v>
      </c>
      <c r="D80" s="2" t="s">
        <v>3436</v>
      </c>
      <c r="E80" s="2" t="s">
        <v>3437</v>
      </c>
      <c r="F80" s="2" t="s">
        <v>3438</v>
      </c>
      <c r="G80" s="2" t="s">
        <v>20</v>
      </c>
      <c r="H80" s="2" t="s">
        <v>3439</v>
      </c>
      <c r="I80" s="2" t="s">
        <v>2969</v>
      </c>
      <c r="J80" s="2" t="n">
        <v>3</v>
      </c>
    </row>
    <row r="81" customFormat="false" ht="76.1" hidden="false" customHeight="false" outlineLevel="0" collapsed="false">
      <c r="A81" s="2" t="s">
        <v>3440</v>
      </c>
      <c r="B81" s="2" t="s">
        <v>8068</v>
      </c>
      <c r="C81" s="2" t="s">
        <v>3441</v>
      </c>
      <c r="D81" s="2" t="s">
        <v>3442</v>
      </c>
      <c r="E81" s="2" t="s">
        <v>3443</v>
      </c>
      <c r="F81" s="2" t="s">
        <v>3444</v>
      </c>
      <c r="G81" s="2" t="s">
        <v>20</v>
      </c>
      <c r="H81" s="2" t="s">
        <v>3445</v>
      </c>
      <c r="I81" s="2" t="s">
        <v>2969</v>
      </c>
      <c r="J81" s="2" t="n">
        <v>3</v>
      </c>
    </row>
    <row r="82" customFormat="false" ht="76.1" hidden="false" customHeight="false" outlineLevel="0" collapsed="false">
      <c r="A82" s="2" t="s">
        <v>5016</v>
      </c>
      <c r="B82" s="2" t="s">
        <v>8068</v>
      </c>
      <c r="C82" s="2" t="s">
        <v>5017</v>
      </c>
      <c r="D82" s="2" t="s">
        <v>5018</v>
      </c>
      <c r="E82" s="2" t="s">
        <v>5019</v>
      </c>
      <c r="F82" s="2" t="s">
        <v>5020</v>
      </c>
      <c r="G82" s="2" t="s">
        <v>20</v>
      </c>
      <c r="H82" s="2" t="s">
        <v>5021</v>
      </c>
      <c r="I82" s="2" t="s">
        <v>3051</v>
      </c>
      <c r="J82" s="2" t="n">
        <v>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customHeight="false"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45"/>
    <col collapsed="false" customWidth="true" hidden="false" outlineLevel="0" max="6" min="4" style="0" width="32"/>
    <col collapsed="false" customWidth="true" hidden="false" outlineLevel="0" max="7" min="7" style="0" width="9"/>
    <col collapsed="false" customWidth="true" hidden="false" outlineLevel="0" max="8" min="8" style="0" width="42"/>
    <col collapsed="false" customWidth="true" hidden="false" outlineLevel="0" max="9" min="9" style="0" width="20"/>
    <col collapsed="false" customWidth="true" hidden="false" outlineLevel="0" max="10" min="10" style="0" width="10"/>
  </cols>
  <sheetData>
    <row r="1" customFormat="false" ht="16.4" hidden="false" customHeight="false" outlineLevel="0" collapsed="false">
      <c r="A1" s="1" t="s">
        <v>0</v>
      </c>
      <c r="B1" s="1" t="s">
        <v>8067</v>
      </c>
      <c r="C1" s="1" t="s">
        <v>3</v>
      </c>
      <c r="D1" s="1" t="s">
        <v>4</v>
      </c>
      <c r="E1" s="1" t="s">
        <v>5</v>
      </c>
      <c r="F1" s="1" t="s">
        <v>6</v>
      </c>
      <c r="G1" s="1" t="s">
        <v>7</v>
      </c>
      <c r="H1" s="1" t="s">
        <v>8</v>
      </c>
      <c r="I1" s="1" t="s">
        <v>9</v>
      </c>
      <c r="J1" s="1" t="s">
        <v>11</v>
      </c>
    </row>
    <row r="2" customFormat="false" ht="91" hidden="false" customHeight="false" outlineLevel="0" collapsed="false">
      <c r="A2" s="2" t="s">
        <v>3446</v>
      </c>
      <c r="B2" s="2" t="s">
        <v>8068</v>
      </c>
      <c r="C2" s="2" t="s">
        <v>3448</v>
      </c>
      <c r="D2" s="2" t="s">
        <v>3449</v>
      </c>
      <c r="E2" s="2" t="s">
        <v>3450</v>
      </c>
      <c r="F2" s="2" t="s">
        <v>3451</v>
      </c>
      <c r="G2" s="2" t="s">
        <v>226</v>
      </c>
      <c r="H2" s="2" t="s">
        <v>3452</v>
      </c>
      <c r="I2" s="2" t="s">
        <v>3447</v>
      </c>
      <c r="J2" s="2" t="n">
        <v>3</v>
      </c>
    </row>
    <row r="3" customFormat="false" ht="76.1" hidden="false" customHeight="false" outlineLevel="0" collapsed="false">
      <c r="A3" s="2" t="s">
        <v>3453</v>
      </c>
      <c r="B3" s="2" t="s">
        <v>8069</v>
      </c>
      <c r="C3" s="2" t="s">
        <v>3454</v>
      </c>
      <c r="D3" s="2" t="s">
        <v>3455</v>
      </c>
      <c r="E3" s="2" t="s">
        <v>3456</v>
      </c>
      <c r="F3" s="2" t="s">
        <v>3457</v>
      </c>
      <c r="G3" s="2" t="s">
        <v>20</v>
      </c>
      <c r="H3" s="2" t="s">
        <v>3458</v>
      </c>
      <c r="I3" s="2" t="s">
        <v>3447</v>
      </c>
      <c r="J3" s="2" t="n">
        <v>2</v>
      </c>
    </row>
    <row r="4" customFormat="false" ht="76.1" hidden="false" customHeight="false" outlineLevel="0" collapsed="false">
      <c r="A4" s="2" t="s">
        <v>3459</v>
      </c>
      <c r="B4" s="2" t="s">
        <v>8069</v>
      </c>
      <c r="C4" s="2" t="s">
        <v>3460</v>
      </c>
      <c r="D4" s="2" t="s">
        <v>3461</v>
      </c>
      <c r="E4" s="2" t="s">
        <v>3462</v>
      </c>
      <c r="F4" s="2" t="s">
        <v>3463</v>
      </c>
      <c r="G4" s="2" t="s">
        <v>20</v>
      </c>
      <c r="H4" s="2" t="s">
        <v>3464</v>
      </c>
      <c r="I4" s="2" t="s">
        <v>3447</v>
      </c>
      <c r="J4" s="2" t="n">
        <v>1</v>
      </c>
    </row>
    <row r="5" customFormat="false" ht="46.25" hidden="false" customHeight="false" outlineLevel="0" collapsed="false">
      <c r="A5" s="2" t="s">
        <v>3465</v>
      </c>
      <c r="B5" s="2" t="s">
        <v>8069</v>
      </c>
      <c r="C5" s="2" t="s">
        <v>3466</v>
      </c>
      <c r="D5" s="2" t="s">
        <v>3467</v>
      </c>
      <c r="E5" s="2" t="s">
        <v>3468</v>
      </c>
      <c r="F5" s="2" t="s">
        <v>3469</v>
      </c>
      <c r="G5" s="2" t="s">
        <v>20</v>
      </c>
      <c r="H5" s="2" t="s">
        <v>3470</v>
      </c>
      <c r="I5" s="2" t="s">
        <v>3447</v>
      </c>
      <c r="J5" s="2" t="n">
        <v>1</v>
      </c>
    </row>
    <row r="6" customFormat="false" ht="91" hidden="false" customHeight="false" outlineLevel="0" collapsed="false">
      <c r="A6" s="2" t="s">
        <v>3471</v>
      </c>
      <c r="B6" s="2" t="s">
        <v>8068</v>
      </c>
      <c r="C6" s="2" t="s">
        <v>3472</v>
      </c>
      <c r="D6" s="2" t="s">
        <v>3473</v>
      </c>
      <c r="E6" s="2" t="s">
        <v>3474</v>
      </c>
      <c r="F6" s="2" t="s">
        <v>3475</v>
      </c>
      <c r="G6" s="2" t="s">
        <v>20</v>
      </c>
      <c r="H6" s="2" t="s">
        <v>3476</v>
      </c>
      <c r="I6" s="2" t="s">
        <v>3447</v>
      </c>
      <c r="J6" s="2" t="n">
        <v>2</v>
      </c>
    </row>
    <row r="7" customFormat="false" ht="61.15" hidden="false" customHeight="false" outlineLevel="0" collapsed="false">
      <c r="A7" s="2" t="s">
        <v>3477</v>
      </c>
      <c r="B7" s="2" t="s">
        <v>8068</v>
      </c>
      <c r="C7" s="2" t="s">
        <v>3478</v>
      </c>
      <c r="D7" s="2" t="s">
        <v>3479</v>
      </c>
      <c r="E7" s="2" t="s">
        <v>3480</v>
      </c>
      <c r="F7" s="2" t="s">
        <v>3481</v>
      </c>
      <c r="G7" s="2" t="s">
        <v>20</v>
      </c>
      <c r="H7" s="2" t="s">
        <v>3482</v>
      </c>
      <c r="I7" s="2" t="s">
        <v>3447</v>
      </c>
      <c r="J7" s="2" t="n">
        <v>2</v>
      </c>
    </row>
    <row r="8" customFormat="false" ht="91" hidden="false" customHeight="false" outlineLevel="0" collapsed="false">
      <c r="A8" s="2" t="s">
        <v>3483</v>
      </c>
      <c r="B8" s="2" t="s">
        <v>8068</v>
      </c>
      <c r="C8" s="2" t="s">
        <v>3484</v>
      </c>
      <c r="D8" s="2" t="s">
        <v>3485</v>
      </c>
      <c r="E8" s="2" t="s">
        <v>3486</v>
      </c>
      <c r="F8" s="2" t="s">
        <v>3487</v>
      </c>
      <c r="G8" s="2" t="s">
        <v>28</v>
      </c>
      <c r="H8" s="2" t="s">
        <v>3488</v>
      </c>
      <c r="I8" s="2" t="s">
        <v>3447</v>
      </c>
      <c r="J8" s="2" t="n">
        <v>2</v>
      </c>
    </row>
    <row r="9" customFormat="false" ht="76.1" hidden="false" customHeight="false" outlineLevel="0" collapsed="false">
      <c r="A9" s="2" t="s">
        <v>3489</v>
      </c>
      <c r="B9" s="2" t="s">
        <v>8068</v>
      </c>
      <c r="C9" s="2" t="s">
        <v>3490</v>
      </c>
      <c r="D9" s="2" t="s">
        <v>3491</v>
      </c>
      <c r="E9" s="2" t="s">
        <v>3492</v>
      </c>
      <c r="F9" s="2" t="s">
        <v>3493</v>
      </c>
      <c r="G9" s="2" t="s">
        <v>20</v>
      </c>
      <c r="H9" s="2" t="s">
        <v>3494</v>
      </c>
      <c r="I9" s="2" t="s">
        <v>3447</v>
      </c>
      <c r="J9" s="2" t="n">
        <v>2</v>
      </c>
    </row>
    <row r="10" customFormat="false" ht="91" hidden="false" customHeight="false" outlineLevel="0" collapsed="false">
      <c r="A10" s="2" t="s">
        <v>3495</v>
      </c>
      <c r="B10" s="2" t="s">
        <v>8068</v>
      </c>
      <c r="C10" s="2" t="s">
        <v>3496</v>
      </c>
      <c r="D10" s="2" t="s">
        <v>3497</v>
      </c>
      <c r="E10" s="2" t="s">
        <v>3498</v>
      </c>
      <c r="F10" s="2" t="s">
        <v>3499</v>
      </c>
      <c r="G10" s="2" t="s">
        <v>20</v>
      </c>
      <c r="H10" s="2" t="s">
        <v>3500</v>
      </c>
      <c r="I10" s="2" t="s">
        <v>3447</v>
      </c>
      <c r="J10" s="2" t="n">
        <v>3</v>
      </c>
    </row>
    <row r="11" customFormat="false" ht="91" hidden="false" customHeight="false" outlineLevel="0" collapsed="false">
      <c r="A11" s="2" t="s">
        <v>3501</v>
      </c>
      <c r="B11" s="2" t="s">
        <v>8069</v>
      </c>
      <c r="C11" s="2" t="s">
        <v>3502</v>
      </c>
      <c r="D11" s="2" t="s">
        <v>3503</v>
      </c>
      <c r="E11" s="2" t="s">
        <v>3504</v>
      </c>
      <c r="F11" s="2" t="s">
        <v>3505</v>
      </c>
      <c r="G11" s="2" t="s">
        <v>28</v>
      </c>
      <c r="H11" s="2" t="s">
        <v>3506</v>
      </c>
      <c r="I11" s="2" t="s">
        <v>3507</v>
      </c>
      <c r="J11" s="2" t="n">
        <v>2</v>
      </c>
    </row>
    <row r="12" customFormat="false" ht="61.15" hidden="false" customHeight="false" outlineLevel="0" collapsed="false">
      <c r="A12" s="2" t="s">
        <v>3508</v>
      </c>
      <c r="B12" s="2" t="s">
        <v>8068</v>
      </c>
      <c r="C12" s="2" t="s">
        <v>3509</v>
      </c>
      <c r="D12" s="2" t="s">
        <v>3510</v>
      </c>
      <c r="E12" s="2" t="s">
        <v>3511</v>
      </c>
      <c r="F12" s="2" t="s">
        <v>3512</v>
      </c>
      <c r="G12" s="2" t="s">
        <v>20</v>
      </c>
      <c r="H12" s="2" t="s">
        <v>3513</v>
      </c>
      <c r="I12" s="2" t="s">
        <v>3507</v>
      </c>
      <c r="J12" s="2" t="n">
        <v>2</v>
      </c>
    </row>
    <row r="13" customFormat="false" ht="46.25" hidden="false" customHeight="false" outlineLevel="0" collapsed="false">
      <c r="A13" s="2" t="s">
        <v>3514</v>
      </c>
      <c r="B13" s="2" t="s">
        <v>8068</v>
      </c>
      <c r="C13" s="2" t="s">
        <v>3515</v>
      </c>
      <c r="D13" s="2" t="s">
        <v>3516</v>
      </c>
      <c r="E13" s="2" t="s">
        <v>3517</v>
      </c>
      <c r="F13" s="2" t="s">
        <v>3518</v>
      </c>
      <c r="G13" s="2" t="s">
        <v>20</v>
      </c>
      <c r="H13" s="2" t="s">
        <v>3519</v>
      </c>
      <c r="I13" s="2" t="s">
        <v>3507</v>
      </c>
      <c r="J13" s="2" t="n">
        <v>3</v>
      </c>
    </row>
    <row r="14" customFormat="false" ht="46.25" hidden="false" customHeight="false" outlineLevel="0" collapsed="false">
      <c r="A14" s="2" t="s">
        <v>3520</v>
      </c>
      <c r="B14" s="2" t="s">
        <v>8069</v>
      </c>
      <c r="C14" s="2" t="s">
        <v>3521</v>
      </c>
      <c r="D14" s="2" t="s">
        <v>3522</v>
      </c>
      <c r="E14" s="2" t="s">
        <v>3523</v>
      </c>
      <c r="F14" s="2" t="s">
        <v>3524</v>
      </c>
      <c r="G14" s="2" t="s">
        <v>20</v>
      </c>
      <c r="H14" s="2" t="s">
        <v>3525</v>
      </c>
      <c r="I14" s="2" t="s">
        <v>3507</v>
      </c>
      <c r="J14" s="2" t="n">
        <v>1</v>
      </c>
    </row>
    <row r="15" customFormat="false" ht="46.25" hidden="false" customHeight="false" outlineLevel="0" collapsed="false">
      <c r="A15" s="2" t="s">
        <v>3526</v>
      </c>
      <c r="B15" s="2" t="s">
        <v>8069</v>
      </c>
      <c r="C15" s="2" t="s">
        <v>3527</v>
      </c>
      <c r="D15" s="2" t="s">
        <v>3528</v>
      </c>
      <c r="E15" s="2" t="s">
        <v>3529</v>
      </c>
      <c r="F15" s="2" t="s">
        <v>3530</v>
      </c>
      <c r="G15" s="2" t="s">
        <v>20</v>
      </c>
      <c r="H15" s="2" t="s">
        <v>3531</v>
      </c>
      <c r="I15" s="2" t="s">
        <v>3507</v>
      </c>
      <c r="J15" s="2" t="n">
        <v>2</v>
      </c>
    </row>
    <row r="16" customFormat="false" ht="76.1" hidden="false" customHeight="false" outlineLevel="0" collapsed="false">
      <c r="A16" s="2" t="s">
        <v>3532</v>
      </c>
      <c r="B16" s="2" t="s">
        <v>8069</v>
      </c>
      <c r="C16" s="2" t="s">
        <v>3533</v>
      </c>
      <c r="D16" s="2" t="s">
        <v>3534</v>
      </c>
      <c r="E16" s="2" t="s">
        <v>3535</v>
      </c>
      <c r="F16" s="2" t="s">
        <v>3536</v>
      </c>
      <c r="G16" s="2" t="s">
        <v>28</v>
      </c>
      <c r="H16" s="2" t="s">
        <v>3537</v>
      </c>
      <c r="I16" s="2" t="s">
        <v>3538</v>
      </c>
      <c r="J16" s="2" t="n">
        <v>1</v>
      </c>
    </row>
    <row r="17" customFormat="false" ht="46.25" hidden="false" customHeight="false" outlineLevel="0" collapsed="false">
      <c r="A17" s="2" t="s">
        <v>3539</v>
      </c>
      <c r="B17" s="2" t="s">
        <v>8069</v>
      </c>
      <c r="C17" s="2" t="s">
        <v>3540</v>
      </c>
      <c r="D17" s="2" t="s">
        <v>3541</v>
      </c>
      <c r="E17" s="2" t="s">
        <v>3542</v>
      </c>
      <c r="F17" s="2" t="s">
        <v>3543</v>
      </c>
      <c r="G17" s="2" t="s">
        <v>20</v>
      </c>
      <c r="H17" s="2" t="s">
        <v>3544</v>
      </c>
      <c r="I17" s="2" t="s">
        <v>3538</v>
      </c>
      <c r="J17" s="2" t="n">
        <v>2</v>
      </c>
    </row>
    <row r="18" customFormat="false" ht="61.15" hidden="false" customHeight="false" outlineLevel="0" collapsed="false">
      <c r="A18" s="2" t="s">
        <v>3545</v>
      </c>
      <c r="B18" s="2" t="s">
        <v>8069</v>
      </c>
      <c r="C18" s="2" t="s">
        <v>3546</v>
      </c>
      <c r="D18" s="2" t="s">
        <v>3547</v>
      </c>
      <c r="E18" s="2" t="s">
        <v>3548</v>
      </c>
      <c r="F18" s="2" t="s">
        <v>3549</v>
      </c>
      <c r="G18" s="2" t="s">
        <v>20</v>
      </c>
      <c r="H18" s="2" t="s">
        <v>3550</v>
      </c>
      <c r="I18" s="2" t="s">
        <v>3551</v>
      </c>
      <c r="J18" s="2" t="n">
        <v>2</v>
      </c>
    </row>
    <row r="19" customFormat="false" ht="61.15" hidden="false" customHeight="false" outlineLevel="0" collapsed="false">
      <c r="A19" s="2" t="s">
        <v>3552</v>
      </c>
      <c r="B19" s="2" t="s">
        <v>8068</v>
      </c>
      <c r="C19" s="2" t="s">
        <v>3553</v>
      </c>
      <c r="D19" s="2" t="s">
        <v>3554</v>
      </c>
      <c r="E19" s="2" t="s">
        <v>3555</v>
      </c>
      <c r="F19" s="2" t="s">
        <v>3556</v>
      </c>
      <c r="G19" s="2" t="s">
        <v>20</v>
      </c>
      <c r="H19" s="2" t="s">
        <v>3557</v>
      </c>
      <c r="I19" s="2" t="s">
        <v>3538</v>
      </c>
      <c r="J19" s="2" t="n">
        <v>2</v>
      </c>
    </row>
    <row r="20" customFormat="false" ht="61.15" hidden="false" customHeight="false" outlineLevel="0" collapsed="false">
      <c r="A20" s="2" t="s">
        <v>3558</v>
      </c>
      <c r="B20" s="2" t="s">
        <v>8069</v>
      </c>
      <c r="C20" s="2" t="s">
        <v>3559</v>
      </c>
      <c r="D20" s="2" t="s">
        <v>3560</v>
      </c>
      <c r="E20" s="2" t="s">
        <v>3561</v>
      </c>
      <c r="F20" s="2" t="s">
        <v>3562</v>
      </c>
      <c r="G20" s="2" t="s">
        <v>20</v>
      </c>
      <c r="H20" s="2" t="s">
        <v>3563</v>
      </c>
      <c r="I20" s="2" t="s">
        <v>3564</v>
      </c>
      <c r="J20" s="2" t="n">
        <v>1</v>
      </c>
    </row>
    <row r="21" customFormat="false" ht="61.15" hidden="false" customHeight="false" outlineLevel="0" collapsed="false">
      <c r="A21" s="2" t="s">
        <v>3565</v>
      </c>
      <c r="B21" s="2" t="s">
        <v>8069</v>
      </c>
      <c r="C21" s="2" t="s">
        <v>3566</v>
      </c>
      <c r="D21" s="2" t="s">
        <v>3567</v>
      </c>
      <c r="E21" s="2" t="s">
        <v>3568</v>
      </c>
      <c r="F21" s="2" t="s">
        <v>3569</v>
      </c>
      <c r="G21" s="2" t="s">
        <v>28</v>
      </c>
      <c r="H21" s="2" t="s">
        <v>3570</v>
      </c>
      <c r="I21" s="2" t="s">
        <v>3564</v>
      </c>
      <c r="J21" s="2" t="n">
        <v>1</v>
      </c>
    </row>
    <row r="22" customFormat="false" ht="61.15" hidden="false" customHeight="false" outlineLevel="0" collapsed="false">
      <c r="A22" s="2" t="s">
        <v>3571</v>
      </c>
      <c r="B22" s="2" t="s">
        <v>8069</v>
      </c>
      <c r="C22" s="2" t="s">
        <v>3572</v>
      </c>
      <c r="D22" s="2" t="s">
        <v>3573</v>
      </c>
      <c r="E22" s="2" t="s">
        <v>3574</v>
      </c>
      <c r="F22" s="2" t="s">
        <v>3575</v>
      </c>
      <c r="G22" s="2" t="s">
        <v>20</v>
      </c>
      <c r="H22" s="2" t="s">
        <v>3576</v>
      </c>
      <c r="I22" s="2" t="s">
        <v>3577</v>
      </c>
      <c r="J22" s="2" t="n">
        <v>1</v>
      </c>
    </row>
    <row r="23" customFormat="false" ht="76.1" hidden="false" customHeight="false" outlineLevel="0" collapsed="false">
      <c r="A23" s="2" t="s">
        <v>3578</v>
      </c>
      <c r="B23" s="2" t="s">
        <v>8069</v>
      </c>
      <c r="C23" s="2" t="s">
        <v>3579</v>
      </c>
      <c r="D23" s="2" t="s">
        <v>3580</v>
      </c>
      <c r="E23" s="2" t="s">
        <v>3581</v>
      </c>
      <c r="F23" s="2" t="s">
        <v>3582</v>
      </c>
      <c r="G23" s="2" t="s">
        <v>20</v>
      </c>
      <c r="H23" s="2" t="s">
        <v>3583</v>
      </c>
      <c r="I23" s="2" t="s">
        <v>3584</v>
      </c>
      <c r="J23" s="2" t="n">
        <v>2</v>
      </c>
    </row>
    <row r="24" customFormat="false" ht="61.15" hidden="false" customHeight="false" outlineLevel="0" collapsed="false">
      <c r="A24" s="2" t="s">
        <v>3585</v>
      </c>
      <c r="B24" s="2" t="s">
        <v>8069</v>
      </c>
      <c r="C24" s="2" t="s">
        <v>3586</v>
      </c>
      <c r="D24" s="2" t="s">
        <v>3587</v>
      </c>
      <c r="E24" s="2" t="s">
        <v>3588</v>
      </c>
      <c r="F24" s="2" t="s">
        <v>3589</v>
      </c>
      <c r="G24" s="2" t="s">
        <v>20</v>
      </c>
      <c r="H24" s="2" t="s">
        <v>3590</v>
      </c>
      <c r="I24" s="2" t="s">
        <v>3584</v>
      </c>
      <c r="J24" s="2" t="n">
        <v>2</v>
      </c>
    </row>
    <row r="25" customFormat="false" ht="76.1" hidden="false" customHeight="false" outlineLevel="0" collapsed="false">
      <c r="A25" s="2" t="s">
        <v>3591</v>
      </c>
      <c r="B25" s="2" t="s">
        <v>8068</v>
      </c>
      <c r="C25" s="2" t="s">
        <v>3592</v>
      </c>
      <c r="D25" s="2" t="s">
        <v>3593</v>
      </c>
      <c r="E25" s="2" t="s">
        <v>3594</v>
      </c>
      <c r="F25" s="2" t="s">
        <v>3595</v>
      </c>
      <c r="G25" s="2" t="s">
        <v>226</v>
      </c>
      <c r="H25" s="2" t="s">
        <v>3596</v>
      </c>
      <c r="I25" s="2" t="s">
        <v>3584</v>
      </c>
      <c r="J25" s="2" t="n">
        <v>2</v>
      </c>
    </row>
    <row r="26" customFormat="false" ht="61.15" hidden="false" customHeight="false" outlineLevel="0" collapsed="false">
      <c r="A26" s="2" t="s">
        <v>3597</v>
      </c>
      <c r="B26" s="2" t="s">
        <v>8069</v>
      </c>
      <c r="C26" s="2" t="s">
        <v>3598</v>
      </c>
      <c r="D26" s="2" t="s">
        <v>3599</v>
      </c>
      <c r="E26" s="2" t="s">
        <v>3600</v>
      </c>
      <c r="F26" s="2" t="s">
        <v>3601</v>
      </c>
      <c r="G26" s="2" t="s">
        <v>20</v>
      </c>
      <c r="H26" s="2" t="s">
        <v>3602</v>
      </c>
      <c r="I26" s="2" t="s">
        <v>3584</v>
      </c>
      <c r="J26" s="2" t="n">
        <v>2</v>
      </c>
    </row>
    <row r="27" customFormat="false" ht="46.25" hidden="false" customHeight="false" outlineLevel="0" collapsed="false">
      <c r="A27" s="2" t="s">
        <v>3603</v>
      </c>
      <c r="B27" s="2" t="s">
        <v>8069</v>
      </c>
      <c r="C27" s="2" t="s">
        <v>3604</v>
      </c>
      <c r="D27" s="2" t="s">
        <v>3605</v>
      </c>
      <c r="E27" s="2" t="s">
        <v>3606</v>
      </c>
      <c r="F27" s="2" t="s">
        <v>3607</v>
      </c>
      <c r="G27" s="2" t="s">
        <v>20</v>
      </c>
      <c r="H27" s="2" t="s">
        <v>3608</v>
      </c>
      <c r="I27" s="2" t="s">
        <v>3584</v>
      </c>
      <c r="J27" s="2" t="n">
        <v>2</v>
      </c>
    </row>
    <row r="28" customFormat="false" ht="46.25" hidden="false" customHeight="false" outlineLevel="0" collapsed="false">
      <c r="A28" s="2" t="s">
        <v>3609</v>
      </c>
      <c r="B28" s="2" t="s">
        <v>8069</v>
      </c>
      <c r="C28" s="2" t="s">
        <v>3610</v>
      </c>
      <c r="D28" s="2" t="s">
        <v>3611</v>
      </c>
      <c r="E28" s="2" t="s">
        <v>3612</v>
      </c>
      <c r="F28" s="2" t="s">
        <v>3613</v>
      </c>
      <c r="G28" s="2" t="s">
        <v>20</v>
      </c>
      <c r="H28" s="2" t="s">
        <v>3614</v>
      </c>
      <c r="I28" s="2" t="s">
        <v>3538</v>
      </c>
      <c r="J28" s="2" t="n">
        <v>1</v>
      </c>
    </row>
    <row r="29" customFormat="false" ht="46.25" hidden="false" customHeight="false" outlineLevel="0" collapsed="false">
      <c r="A29" s="2" t="s">
        <v>3615</v>
      </c>
      <c r="B29" s="2" t="s">
        <v>8068</v>
      </c>
      <c r="C29" s="2" t="s">
        <v>3616</v>
      </c>
      <c r="D29" s="2" t="s">
        <v>3617</v>
      </c>
      <c r="E29" s="2" t="s">
        <v>3618</v>
      </c>
      <c r="F29" s="2" t="s">
        <v>3619</v>
      </c>
      <c r="G29" s="2" t="s">
        <v>20</v>
      </c>
      <c r="H29" s="2" t="s">
        <v>3620</v>
      </c>
      <c r="I29" s="2" t="s">
        <v>3447</v>
      </c>
      <c r="J29" s="2" t="n">
        <v>2</v>
      </c>
    </row>
    <row r="30" customFormat="false" ht="61.15" hidden="false" customHeight="false" outlineLevel="0" collapsed="false">
      <c r="A30" s="2" t="s">
        <v>3621</v>
      </c>
      <c r="B30" s="2" t="s">
        <v>8069</v>
      </c>
      <c r="C30" s="2" t="s">
        <v>3622</v>
      </c>
      <c r="D30" s="2" t="s">
        <v>3623</v>
      </c>
      <c r="E30" s="2" t="s">
        <v>3624</v>
      </c>
      <c r="F30" s="2" t="s">
        <v>3625</v>
      </c>
      <c r="G30" s="2" t="s">
        <v>20</v>
      </c>
      <c r="H30" s="2" t="s">
        <v>3626</v>
      </c>
      <c r="I30" s="2" t="s">
        <v>3447</v>
      </c>
      <c r="J30" s="2" t="n">
        <v>1</v>
      </c>
    </row>
    <row r="31" customFormat="false" ht="91" hidden="false" customHeight="false" outlineLevel="0" collapsed="false">
      <c r="A31" s="2" t="s">
        <v>3627</v>
      </c>
      <c r="B31" s="2" t="s">
        <v>8069</v>
      </c>
      <c r="C31" s="2" t="s">
        <v>3628</v>
      </c>
      <c r="D31" s="2" t="s">
        <v>3629</v>
      </c>
      <c r="E31" s="2" t="s">
        <v>3630</v>
      </c>
      <c r="F31" s="2" t="s">
        <v>3631</v>
      </c>
      <c r="G31" s="2" t="s">
        <v>20</v>
      </c>
      <c r="H31" s="2" t="s">
        <v>3632</v>
      </c>
      <c r="I31" s="2" t="s">
        <v>3584</v>
      </c>
      <c r="J31" s="2" t="n">
        <v>2</v>
      </c>
    </row>
    <row r="32" customFormat="false" ht="61.15" hidden="false" customHeight="false" outlineLevel="0" collapsed="false">
      <c r="A32" s="2" t="s">
        <v>3633</v>
      </c>
      <c r="B32" s="2" t="s">
        <v>8068</v>
      </c>
      <c r="C32" s="2" t="s">
        <v>3634</v>
      </c>
      <c r="D32" s="2" t="s">
        <v>3635</v>
      </c>
      <c r="E32" s="2" t="s">
        <v>3636</v>
      </c>
      <c r="F32" s="2" t="s">
        <v>3637</v>
      </c>
      <c r="G32" s="2" t="s">
        <v>20</v>
      </c>
      <c r="H32" s="2" t="s">
        <v>3638</v>
      </c>
      <c r="I32" s="2" t="s">
        <v>3447</v>
      </c>
      <c r="J32" s="2" t="n">
        <v>2</v>
      </c>
    </row>
    <row r="33" customFormat="false" ht="61.15" hidden="false" customHeight="false" outlineLevel="0" collapsed="false">
      <c r="A33" s="2" t="s">
        <v>3639</v>
      </c>
      <c r="B33" s="2" t="s">
        <v>8068</v>
      </c>
      <c r="C33" s="2" t="s">
        <v>3640</v>
      </c>
      <c r="D33" s="2" t="s">
        <v>3641</v>
      </c>
      <c r="E33" s="2" t="s">
        <v>3642</v>
      </c>
      <c r="F33" s="2" t="s">
        <v>3643</v>
      </c>
      <c r="G33" s="2" t="s">
        <v>20</v>
      </c>
      <c r="H33" s="2" t="s">
        <v>3644</v>
      </c>
      <c r="I33" s="2" t="s">
        <v>3447</v>
      </c>
      <c r="J33" s="2" t="n">
        <v>2</v>
      </c>
    </row>
    <row r="34" customFormat="false" ht="61.15" hidden="false" customHeight="false" outlineLevel="0" collapsed="false">
      <c r="A34" s="2" t="s">
        <v>3645</v>
      </c>
      <c r="B34" s="2" t="s">
        <v>8069</v>
      </c>
      <c r="C34" s="2" t="s">
        <v>3646</v>
      </c>
      <c r="D34" s="2" t="s">
        <v>3647</v>
      </c>
      <c r="E34" s="2" t="s">
        <v>3648</v>
      </c>
      <c r="F34" s="2" t="s">
        <v>3649</v>
      </c>
      <c r="G34" s="2" t="s">
        <v>20</v>
      </c>
      <c r="H34" s="2" t="s">
        <v>3650</v>
      </c>
      <c r="I34" s="2" t="s">
        <v>3447</v>
      </c>
      <c r="J34" s="2" t="n">
        <v>1</v>
      </c>
    </row>
    <row r="35" customFormat="false" ht="46.25" hidden="false" customHeight="false" outlineLevel="0" collapsed="false">
      <c r="A35" s="2" t="s">
        <v>3651</v>
      </c>
      <c r="B35" s="2" t="s">
        <v>8068</v>
      </c>
      <c r="C35" s="2" t="s">
        <v>3652</v>
      </c>
      <c r="D35" s="2" t="s">
        <v>3653</v>
      </c>
      <c r="E35" s="2" t="s">
        <v>3654</v>
      </c>
      <c r="F35" s="2" t="s">
        <v>3655</v>
      </c>
      <c r="G35" s="2" t="s">
        <v>20</v>
      </c>
      <c r="H35" s="2" t="s">
        <v>3656</v>
      </c>
      <c r="I35" s="2" t="s">
        <v>3447</v>
      </c>
      <c r="J35" s="2" t="n">
        <v>2</v>
      </c>
    </row>
    <row r="36" customFormat="false" ht="46.25" hidden="false" customHeight="false" outlineLevel="0" collapsed="false">
      <c r="A36" s="2" t="s">
        <v>3657</v>
      </c>
      <c r="B36" s="2" t="s">
        <v>8069</v>
      </c>
      <c r="C36" s="2" t="s">
        <v>3658</v>
      </c>
      <c r="D36" s="2" t="s">
        <v>3659</v>
      </c>
      <c r="E36" s="2" t="s">
        <v>3660</v>
      </c>
      <c r="F36" s="2" t="s">
        <v>3661</v>
      </c>
      <c r="G36" s="2" t="s">
        <v>20</v>
      </c>
      <c r="H36" s="2" t="s">
        <v>3662</v>
      </c>
      <c r="I36" s="2" t="s">
        <v>3447</v>
      </c>
      <c r="J36" s="2" t="n">
        <v>1</v>
      </c>
    </row>
    <row r="37" customFormat="false" ht="61.15" hidden="false" customHeight="false" outlineLevel="0" collapsed="false">
      <c r="A37" s="2" t="s">
        <v>3663</v>
      </c>
      <c r="B37" s="2" t="s">
        <v>8068</v>
      </c>
      <c r="C37" s="2" t="s">
        <v>3664</v>
      </c>
      <c r="D37" s="2" t="s">
        <v>3665</v>
      </c>
      <c r="E37" s="2" t="s">
        <v>3666</v>
      </c>
      <c r="F37" s="2" t="s">
        <v>3667</v>
      </c>
      <c r="G37" s="2" t="s">
        <v>20</v>
      </c>
      <c r="H37" s="2" t="s">
        <v>3668</v>
      </c>
      <c r="I37" s="2" t="s">
        <v>3447</v>
      </c>
      <c r="J37" s="2" t="n">
        <v>2</v>
      </c>
    </row>
    <row r="38" customFormat="false" ht="61.15" hidden="false" customHeight="false" outlineLevel="0" collapsed="false">
      <c r="A38" s="2" t="s">
        <v>3669</v>
      </c>
      <c r="B38" s="2" t="s">
        <v>8069</v>
      </c>
      <c r="C38" s="2" t="s">
        <v>3670</v>
      </c>
      <c r="D38" s="2" t="s">
        <v>3671</v>
      </c>
      <c r="E38" s="2" t="s">
        <v>3672</v>
      </c>
      <c r="F38" s="2" t="s">
        <v>3673</v>
      </c>
      <c r="G38" s="2" t="s">
        <v>20</v>
      </c>
      <c r="H38" s="2" t="s">
        <v>3674</v>
      </c>
      <c r="I38" s="2" t="s">
        <v>3447</v>
      </c>
      <c r="J38" s="2" t="n">
        <v>2</v>
      </c>
    </row>
    <row r="39" customFormat="false" ht="61.15" hidden="false" customHeight="false" outlineLevel="0" collapsed="false">
      <c r="A39" s="2" t="s">
        <v>3675</v>
      </c>
      <c r="B39" s="2" t="s">
        <v>8068</v>
      </c>
      <c r="C39" s="2" t="s">
        <v>3676</v>
      </c>
      <c r="D39" s="2" t="s">
        <v>3677</v>
      </c>
      <c r="E39" s="2" t="s">
        <v>3678</v>
      </c>
      <c r="F39" s="2" t="s">
        <v>3679</v>
      </c>
      <c r="G39" s="2" t="s">
        <v>20</v>
      </c>
      <c r="H39" s="2" t="s">
        <v>3680</v>
      </c>
      <c r="I39" s="2" t="s">
        <v>3447</v>
      </c>
      <c r="J39" s="2" t="n">
        <v>2</v>
      </c>
    </row>
    <row r="40" customFormat="false" ht="46.25" hidden="false" customHeight="false" outlineLevel="0" collapsed="false">
      <c r="A40" s="2" t="s">
        <v>3681</v>
      </c>
      <c r="B40" s="2" t="s">
        <v>8068</v>
      </c>
      <c r="C40" s="2" t="s">
        <v>3682</v>
      </c>
      <c r="D40" s="2" t="s">
        <v>3683</v>
      </c>
      <c r="E40" s="2" t="s">
        <v>3684</v>
      </c>
      <c r="F40" s="2" t="s">
        <v>3685</v>
      </c>
      <c r="G40" s="2" t="s">
        <v>20</v>
      </c>
      <c r="H40" s="2" t="s">
        <v>3686</v>
      </c>
      <c r="I40" s="2" t="s">
        <v>3447</v>
      </c>
      <c r="J40" s="2" t="n">
        <v>2</v>
      </c>
    </row>
    <row r="41" customFormat="false" ht="46.25" hidden="false" customHeight="false" outlineLevel="0" collapsed="false">
      <c r="A41" s="2" t="s">
        <v>3687</v>
      </c>
      <c r="B41" s="2" t="s">
        <v>8069</v>
      </c>
      <c r="C41" s="2" t="s">
        <v>3688</v>
      </c>
      <c r="D41" s="2" t="s">
        <v>3689</v>
      </c>
      <c r="E41" s="2" t="s">
        <v>3690</v>
      </c>
      <c r="F41" s="2" t="s">
        <v>3691</v>
      </c>
      <c r="G41" s="2" t="s">
        <v>20</v>
      </c>
      <c r="H41" s="2" t="s">
        <v>3692</v>
      </c>
      <c r="I41" s="2" t="s">
        <v>3447</v>
      </c>
      <c r="J41" s="2" t="n">
        <v>1</v>
      </c>
    </row>
    <row r="42" customFormat="false" ht="61.15" hidden="false" customHeight="false" outlineLevel="0" collapsed="false">
      <c r="A42" s="2" t="s">
        <v>3693</v>
      </c>
      <c r="B42" s="2" t="s">
        <v>8068</v>
      </c>
      <c r="C42" s="2" t="s">
        <v>3694</v>
      </c>
      <c r="D42" s="2" t="s">
        <v>3695</v>
      </c>
      <c r="E42" s="2" t="s">
        <v>3696</v>
      </c>
      <c r="F42" s="2" t="s">
        <v>3697</v>
      </c>
      <c r="G42" s="2" t="s">
        <v>20</v>
      </c>
      <c r="H42" s="2" t="s">
        <v>3698</v>
      </c>
      <c r="I42" s="2" t="s">
        <v>3447</v>
      </c>
      <c r="J42" s="2" t="n">
        <v>2</v>
      </c>
    </row>
    <row r="43" customFormat="false" ht="120.85" hidden="false" customHeight="false" outlineLevel="0" collapsed="false">
      <c r="A43" s="2" t="s">
        <v>3699</v>
      </c>
      <c r="B43" s="2" t="s">
        <v>8068</v>
      </c>
      <c r="C43" s="2" t="s">
        <v>3700</v>
      </c>
      <c r="D43" s="2" t="s">
        <v>3701</v>
      </c>
      <c r="E43" s="2" t="s">
        <v>3702</v>
      </c>
      <c r="F43" s="2" t="s">
        <v>3703</v>
      </c>
      <c r="G43" s="2" t="s">
        <v>20</v>
      </c>
      <c r="H43" s="2" t="s">
        <v>3704</v>
      </c>
      <c r="I43" s="2" t="s">
        <v>3447</v>
      </c>
      <c r="J43" s="2" t="n">
        <v>2</v>
      </c>
    </row>
    <row r="44" customFormat="false" ht="76.1" hidden="false" customHeight="false" outlineLevel="0" collapsed="false">
      <c r="A44" s="2" t="s">
        <v>3705</v>
      </c>
      <c r="B44" s="2" t="s">
        <v>8068</v>
      </c>
      <c r="C44" s="2" t="s">
        <v>3706</v>
      </c>
      <c r="D44" s="2" t="s">
        <v>3707</v>
      </c>
      <c r="E44" s="2" t="s">
        <v>3708</v>
      </c>
      <c r="F44" s="2" t="s">
        <v>3709</v>
      </c>
      <c r="G44" s="2" t="s">
        <v>20</v>
      </c>
      <c r="H44" s="2" t="s">
        <v>3710</v>
      </c>
      <c r="I44" s="2" t="s">
        <v>3447</v>
      </c>
      <c r="J44" s="2" t="n">
        <v>3</v>
      </c>
    </row>
    <row r="45" customFormat="false" ht="76.1" hidden="false" customHeight="false" outlineLevel="0" collapsed="false">
      <c r="A45" s="2" t="s">
        <v>3711</v>
      </c>
      <c r="B45" s="2" t="s">
        <v>8068</v>
      </c>
      <c r="C45" s="2" t="s">
        <v>3712</v>
      </c>
      <c r="D45" s="2" t="s">
        <v>3713</v>
      </c>
      <c r="E45" s="2" t="s">
        <v>3714</v>
      </c>
      <c r="F45" s="2" t="s">
        <v>3715</v>
      </c>
      <c r="G45" s="2" t="s">
        <v>20</v>
      </c>
      <c r="H45" s="2" t="s">
        <v>3716</v>
      </c>
      <c r="I45" s="2" t="s">
        <v>3447</v>
      </c>
      <c r="J45" s="2" t="n">
        <v>3</v>
      </c>
    </row>
    <row r="46" customFormat="false" ht="135.8" hidden="false" customHeight="false" outlineLevel="0" collapsed="false">
      <c r="A46" s="2" t="s">
        <v>3717</v>
      </c>
      <c r="B46" s="2" t="s">
        <v>8069</v>
      </c>
      <c r="C46" s="2" t="s">
        <v>3718</v>
      </c>
      <c r="D46" s="2" t="s">
        <v>3719</v>
      </c>
      <c r="E46" s="2" t="s">
        <v>3720</v>
      </c>
      <c r="F46" s="2" t="s">
        <v>3721</v>
      </c>
      <c r="G46" s="2" t="s">
        <v>20</v>
      </c>
      <c r="H46" s="2" t="s">
        <v>3722</v>
      </c>
      <c r="I46" s="2" t="s">
        <v>3564</v>
      </c>
      <c r="J46" s="2" t="n">
        <v>3</v>
      </c>
    </row>
    <row r="47" customFormat="false" ht="120.85" hidden="false" customHeight="false" outlineLevel="0" collapsed="false">
      <c r="A47" s="2" t="s">
        <v>3723</v>
      </c>
      <c r="B47" s="2" t="s">
        <v>8068</v>
      </c>
      <c r="C47" s="2" t="s">
        <v>3724</v>
      </c>
      <c r="D47" s="2" t="s">
        <v>3725</v>
      </c>
      <c r="E47" s="2" t="s">
        <v>3726</v>
      </c>
      <c r="F47" s="2" t="s">
        <v>3727</v>
      </c>
      <c r="G47" s="2" t="s">
        <v>20</v>
      </c>
      <c r="H47" s="2" t="s">
        <v>3728</v>
      </c>
      <c r="I47" s="2" t="s">
        <v>3447</v>
      </c>
      <c r="J47" s="2" t="n">
        <v>4</v>
      </c>
    </row>
    <row r="48" customFormat="false" ht="76.1" hidden="false" customHeight="false" outlineLevel="0" collapsed="false">
      <c r="A48" s="2" t="s">
        <v>3729</v>
      </c>
      <c r="B48" s="2" t="s">
        <v>8068</v>
      </c>
      <c r="C48" s="2" t="s">
        <v>3730</v>
      </c>
      <c r="D48" s="2" t="s">
        <v>3731</v>
      </c>
      <c r="E48" s="2" t="s">
        <v>3732</v>
      </c>
      <c r="F48" s="2" t="s">
        <v>3733</v>
      </c>
      <c r="G48" s="2" t="s">
        <v>20</v>
      </c>
      <c r="H48" s="2" t="s">
        <v>3734</v>
      </c>
      <c r="I48" s="2" t="s">
        <v>3447</v>
      </c>
      <c r="J48" s="2" t="n">
        <v>3</v>
      </c>
    </row>
    <row r="49" customFormat="false" ht="76.1" hidden="false" customHeight="false" outlineLevel="0" collapsed="false">
      <c r="A49" s="2" t="s">
        <v>3735</v>
      </c>
      <c r="B49" s="2" t="s">
        <v>8068</v>
      </c>
      <c r="C49" s="2" t="s">
        <v>3736</v>
      </c>
      <c r="D49" s="2" t="s">
        <v>3737</v>
      </c>
      <c r="E49" s="2" t="s">
        <v>3738</v>
      </c>
      <c r="F49" s="2" t="s">
        <v>3739</v>
      </c>
      <c r="G49" s="2" t="s">
        <v>20</v>
      </c>
      <c r="H49" s="2" t="s">
        <v>3740</v>
      </c>
      <c r="I49" s="2" t="s">
        <v>3447</v>
      </c>
      <c r="J49" s="2" t="n">
        <v>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customHeight="false"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45"/>
    <col collapsed="false" customWidth="true" hidden="false" outlineLevel="0" max="6" min="4" style="0" width="32"/>
    <col collapsed="false" customWidth="true" hidden="false" outlineLevel="0" max="7" min="7" style="0" width="9"/>
    <col collapsed="false" customWidth="true" hidden="false" outlineLevel="0" max="8" min="8" style="0" width="42"/>
    <col collapsed="false" customWidth="true" hidden="false" outlineLevel="0" max="9" min="9" style="0" width="20"/>
    <col collapsed="false" customWidth="true" hidden="false" outlineLevel="0" max="10" min="10" style="0" width="10"/>
  </cols>
  <sheetData>
    <row r="1" customFormat="false" ht="16.4" hidden="false" customHeight="false" outlineLevel="0" collapsed="false">
      <c r="A1" s="1" t="s">
        <v>0</v>
      </c>
      <c r="B1" s="1" t="s">
        <v>8067</v>
      </c>
      <c r="C1" s="1" t="s">
        <v>3</v>
      </c>
      <c r="D1" s="1" t="s">
        <v>4</v>
      </c>
      <c r="E1" s="1" t="s">
        <v>5</v>
      </c>
      <c r="F1" s="1" t="s">
        <v>6</v>
      </c>
      <c r="G1" s="1" t="s">
        <v>7</v>
      </c>
      <c r="H1" s="1" t="s">
        <v>8</v>
      </c>
      <c r="I1" s="1" t="s">
        <v>9</v>
      </c>
      <c r="J1" s="1" t="s">
        <v>11</v>
      </c>
    </row>
    <row r="2" customFormat="false" ht="91" hidden="false" customHeight="false" outlineLevel="0" collapsed="false">
      <c r="A2" s="2" t="s">
        <v>3741</v>
      </c>
      <c r="B2" s="2" t="s">
        <v>8068</v>
      </c>
      <c r="C2" s="2" t="s">
        <v>3743</v>
      </c>
      <c r="D2" s="2" t="s">
        <v>3744</v>
      </c>
      <c r="E2" s="2" t="s">
        <v>3745</v>
      </c>
      <c r="F2" s="2" t="s">
        <v>3746</v>
      </c>
      <c r="G2" s="2" t="s">
        <v>28</v>
      </c>
      <c r="H2" s="2" t="s">
        <v>3747</v>
      </c>
      <c r="I2" s="2" t="s">
        <v>3742</v>
      </c>
      <c r="J2" s="2" t="n">
        <v>3</v>
      </c>
    </row>
    <row r="3" customFormat="false" ht="61.15" hidden="false" customHeight="false" outlineLevel="0" collapsed="false">
      <c r="A3" s="2" t="s">
        <v>3748</v>
      </c>
      <c r="B3" s="2" t="s">
        <v>8069</v>
      </c>
      <c r="C3" s="2" t="s">
        <v>3749</v>
      </c>
      <c r="D3" s="2" t="s">
        <v>3750</v>
      </c>
      <c r="E3" s="2" t="s">
        <v>3751</v>
      </c>
      <c r="F3" s="2" t="s">
        <v>3752</v>
      </c>
      <c r="G3" s="2" t="s">
        <v>20</v>
      </c>
      <c r="H3" s="2" t="s">
        <v>3753</v>
      </c>
      <c r="I3" s="2" t="s">
        <v>3754</v>
      </c>
      <c r="J3" s="2" t="n">
        <v>2</v>
      </c>
    </row>
    <row r="4" customFormat="false" ht="46.25" hidden="false" customHeight="false" outlineLevel="0" collapsed="false">
      <c r="A4" s="2" t="s">
        <v>3755</v>
      </c>
      <c r="B4" s="2" t="s">
        <v>8069</v>
      </c>
      <c r="C4" s="2" t="s">
        <v>3756</v>
      </c>
      <c r="D4" s="2" t="s">
        <v>3757</v>
      </c>
      <c r="E4" s="2" t="s">
        <v>3758</v>
      </c>
      <c r="F4" s="2" t="s">
        <v>3759</v>
      </c>
      <c r="G4" s="2" t="s">
        <v>20</v>
      </c>
      <c r="H4" s="2" t="s">
        <v>3760</v>
      </c>
      <c r="I4" s="2" t="s">
        <v>3761</v>
      </c>
      <c r="J4" s="2" t="n">
        <v>1</v>
      </c>
    </row>
    <row r="5" customFormat="false" ht="61.15" hidden="false" customHeight="false" outlineLevel="0" collapsed="false">
      <c r="A5" s="2" t="s">
        <v>3762</v>
      </c>
      <c r="B5" s="2" t="s">
        <v>8069</v>
      </c>
      <c r="C5" s="2" t="s">
        <v>3763</v>
      </c>
      <c r="D5" s="2" t="s">
        <v>3764</v>
      </c>
      <c r="E5" s="2" t="s">
        <v>3765</v>
      </c>
      <c r="F5" s="2" t="s">
        <v>3766</v>
      </c>
      <c r="G5" s="2" t="s">
        <v>20</v>
      </c>
      <c r="H5" s="2" t="s">
        <v>3767</v>
      </c>
      <c r="I5" s="2" t="s">
        <v>3761</v>
      </c>
      <c r="J5" s="2" t="n">
        <v>2</v>
      </c>
    </row>
    <row r="6" customFormat="false" ht="46.25" hidden="false" customHeight="false" outlineLevel="0" collapsed="false">
      <c r="A6" s="2" t="s">
        <v>3768</v>
      </c>
      <c r="B6" s="2" t="s">
        <v>8068</v>
      </c>
      <c r="C6" s="2" t="s">
        <v>3769</v>
      </c>
      <c r="D6" s="2" t="s">
        <v>3770</v>
      </c>
      <c r="E6" s="2" t="s">
        <v>3771</v>
      </c>
      <c r="F6" s="2" t="s">
        <v>3772</v>
      </c>
      <c r="G6" s="2" t="s">
        <v>28</v>
      </c>
      <c r="H6" s="2" t="s">
        <v>3773</v>
      </c>
      <c r="I6" s="2" t="s">
        <v>3761</v>
      </c>
      <c r="J6" s="2" t="n">
        <v>2</v>
      </c>
    </row>
    <row r="7" customFormat="false" ht="120.85" hidden="false" customHeight="false" outlineLevel="0" collapsed="false">
      <c r="A7" s="2" t="s">
        <v>3774</v>
      </c>
      <c r="B7" s="2" t="s">
        <v>8069</v>
      </c>
      <c r="C7" s="2" t="s">
        <v>3775</v>
      </c>
      <c r="D7" s="2" t="s">
        <v>3776</v>
      </c>
      <c r="E7" s="2" t="s">
        <v>3777</v>
      </c>
      <c r="F7" s="2" t="s">
        <v>3778</v>
      </c>
      <c r="G7" s="2" t="s">
        <v>226</v>
      </c>
      <c r="H7" s="2" t="s">
        <v>3779</v>
      </c>
      <c r="I7" s="2" t="s">
        <v>3780</v>
      </c>
      <c r="J7" s="2" t="n">
        <v>2</v>
      </c>
    </row>
    <row r="8" customFormat="false" ht="46.25" hidden="false" customHeight="false" outlineLevel="0" collapsed="false">
      <c r="A8" s="2" t="s">
        <v>3781</v>
      </c>
      <c r="B8" s="2" t="s">
        <v>8069</v>
      </c>
      <c r="C8" s="2" t="s">
        <v>3782</v>
      </c>
      <c r="D8" s="2" t="s">
        <v>3783</v>
      </c>
      <c r="E8" s="2" t="s">
        <v>3784</v>
      </c>
      <c r="F8" s="2" t="s">
        <v>3785</v>
      </c>
      <c r="G8" s="2" t="s">
        <v>20</v>
      </c>
      <c r="H8" s="2" t="s">
        <v>3786</v>
      </c>
      <c r="I8" s="2" t="s">
        <v>3780</v>
      </c>
      <c r="J8" s="2" t="n">
        <v>2</v>
      </c>
    </row>
    <row r="9" customFormat="false" ht="46.25" hidden="false" customHeight="false" outlineLevel="0" collapsed="false">
      <c r="A9" s="2" t="s">
        <v>3787</v>
      </c>
      <c r="B9" s="2" t="s">
        <v>8068</v>
      </c>
      <c r="C9" s="2" t="s">
        <v>3788</v>
      </c>
      <c r="D9" s="2" t="s">
        <v>3789</v>
      </c>
      <c r="E9" s="2" t="s">
        <v>3790</v>
      </c>
      <c r="F9" s="2" t="s">
        <v>3783</v>
      </c>
      <c r="G9" s="2" t="s">
        <v>20</v>
      </c>
      <c r="H9" s="2" t="s">
        <v>3791</v>
      </c>
      <c r="I9" s="2" t="s">
        <v>3780</v>
      </c>
      <c r="J9" s="2" t="n">
        <v>2</v>
      </c>
    </row>
    <row r="10" customFormat="false" ht="135.8" hidden="false" customHeight="false" outlineLevel="0" collapsed="false">
      <c r="A10" s="2" t="s">
        <v>3792</v>
      </c>
      <c r="B10" s="2" t="s">
        <v>8068</v>
      </c>
      <c r="C10" s="2" t="s">
        <v>3793</v>
      </c>
      <c r="D10" s="2" t="s">
        <v>3794</v>
      </c>
      <c r="E10" s="2" t="s">
        <v>3795</v>
      </c>
      <c r="F10" s="2" t="s">
        <v>3796</v>
      </c>
      <c r="G10" s="2" t="s">
        <v>20</v>
      </c>
      <c r="H10" s="2" t="s">
        <v>3797</v>
      </c>
      <c r="I10" s="2" t="s">
        <v>3780</v>
      </c>
      <c r="J10" s="2" t="n">
        <v>3</v>
      </c>
    </row>
    <row r="11" customFormat="false" ht="46.25" hidden="false" customHeight="false" outlineLevel="0" collapsed="false">
      <c r="A11" s="2" t="s">
        <v>3798</v>
      </c>
      <c r="B11" s="2" t="s">
        <v>8069</v>
      </c>
      <c r="C11" s="2" t="s">
        <v>3799</v>
      </c>
      <c r="D11" s="2" t="s">
        <v>3800</v>
      </c>
      <c r="E11" s="2" t="s">
        <v>3801</v>
      </c>
      <c r="F11" s="2" t="s">
        <v>3802</v>
      </c>
      <c r="G11" s="2" t="s">
        <v>226</v>
      </c>
      <c r="H11" s="2" t="s">
        <v>3803</v>
      </c>
      <c r="I11" s="2" t="s">
        <v>3780</v>
      </c>
      <c r="J11" s="2" t="n">
        <v>2</v>
      </c>
    </row>
    <row r="12" customFormat="false" ht="61.15" hidden="false" customHeight="false" outlineLevel="0" collapsed="false">
      <c r="A12" s="2" t="s">
        <v>3804</v>
      </c>
      <c r="B12" s="2" t="s">
        <v>8069</v>
      </c>
      <c r="C12" s="2" t="s">
        <v>3805</v>
      </c>
      <c r="D12" s="2" t="s">
        <v>3806</v>
      </c>
      <c r="E12" s="2" t="s">
        <v>3807</v>
      </c>
      <c r="F12" s="2" t="s">
        <v>3808</v>
      </c>
      <c r="G12" s="2" t="s">
        <v>20</v>
      </c>
      <c r="H12" s="2" t="s">
        <v>3809</v>
      </c>
      <c r="I12" s="2" t="s">
        <v>3780</v>
      </c>
      <c r="J12" s="2" t="n">
        <v>2</v>
      </c>
    </row>
    <row r="13" customFormat="false" ht="46.25" hidden="false" customHeight="false" outlineLevel="0" collapsed="false">
      <c r="A13" s="2" t="s">
        <v>3810</v>
      </c>
      <c r="B13" s="2" t="s">
        <v>8068</v>
      </c>
      <c r="C13" s="2" t="s">
        <v>3811</v>
      </c>
      <c r="D13" s="2" t="s">
        <v>3812</v>
      </c>
      <c r="E13" s="2" t="s">
        <v>3813</v>
      </c>
      <c r="F13" s="2" t="s">
        <v>3814</v>
      </c>
      <c r="G13" s="2" t="s">
        <v>20</v>
      </c>
      <c r="H13" s="2" t="s">
        <v>3815</v>
      </c>
      <c r="I13" s="2" t="s">
        <v>3780</v>
      </c>
      <c r="J13" s="2" t="n">
        <v>2</v>
      </c>
    </row>
    <row r="14" customFormat="false" ht="61.15" hidden="false" customHeight="false" outlineLevel="0" collapsed="false">
      <c r="A14" s="2" t="s">
        <v>3816</v>
      </c>
      <c r="B14" s="2" t="s">
        <v>8068</v>
      </c>
      <c r="C14" s="2" t="s">
        <v>3817</v>
      </c>
      <c r="D14" s="2" t="s">
        <v>3818</v>
      </c>
      <c r="E14" s="2" t="s">
        <v>3819</v>
      </c>
      <c r="F14" s="2" t="s">
        <v>3820</v>
      </c>
      <c r="G14" s="2" t="s">
        <v>20</v>
      </c>
      <c r="H14" s="2" t="s">
        <v>3821</v>
      </c>
      <c r="I14" s="2" t="s">
        <v>3822</v>
      </c>
      <c r="J14" s="2" t="n">
        <v>2</v>
      </c>
    </row>
    <row r="15" customFormat="false" ht="61.15" hidden="false" customHeight="false" outlineLevel="0" collapsed="false">
      <c r="A15" s="2" t="s">
        <v>3823</v>
      </c>
      <c r="B15" s="2" t="s">
        <v>8069</v>
      </c>
      <c r="C15" s="2" t="s">
        <v>3824</v>
      </c>
      <c r="D15" s="2" t="s">
        <v>3825</v>
      </c>
      <c r="E15" s="2" t="s">
        <v>3826</v>
      </c>
      <c r="F15" s="2" t="s">
        <v>3827</v>
      </c>
      <c r="G15" s="2" t="s">
        <v>20</v>
      </c>
      <c r="H15" s="2" t="s">
        <v>3828</v>
      </c>
      <c r="I15" s="2" t="s">
        <v>3822</v>
      </c>
      <c r="J15" s="2" t="n">
        <v>2</v>
      </c>
    </row>
    <row r="16" customFormat="false" ht="76.1" hidden="false" customHeight="false" outlineLevel="0" collapsed="false">
      <c r="A16" s="2" t="s">
        <v>3829</v>
      </c>
      <c r="B16" s="2" t="s">
        <v>8069</v>
      </c>
      <c r="C16" s="2" t="s">
        <v>3830</v>
      </c>
      <c r="D16" s="2" t="s">
        <v>3831</v>
      </c>
      <c r="E16" s="2" t="s">
        <v>3832</v>
      </c>
      <c r="F16" s="2" t="s">
        <v>3833</v>
      </c>
      <c r="G16" s="2" t="s">
        <v>20</v>
      </c>
      <c r="H16" s="2" t="s">
        <v>3834</v>
      </c>
      <c r="I16" s="2" t="s">
        <v>3835</v>
      </c>
      <c r="J16" s="2" t="n">
        <v>1</v>
      </c>
    </row>
    <row r="17" customFormat="false" ht="61.15" hidden="false" customHeight="false" outlineLevel="0" collapsed="false">
      <c r="A17" s="2" t="s">
        <v>3836</v>
      </c>
      <c r="B17" s="2" t="s">
        <v>8068</v>
      </c>
      <c r="C17" s="2" t="s">
        <v>3837</v>
      </c>
      <c r="D17" s="2" t="s">
        <v>3838</v>
      </c>
      <c r="E17" s="2" t="s">
        <v>3839</v>
      </c>
      <c r="F17" s="2" t="s">
        <v>3840</v>
      </c>
      <c r="G17" s="2" t="s">
        <v>20</v>
      </c>
      <c r="H17" s="2" t="s">
        <v>3841</v>
      </c>
      <c r="I17" s="2" t="s">
        <v>3742</v>
      </c>
      <c r="J17" s="2" t="n">
        <v>2</v>
      </c>
    </row>
    <row r="18" customFormat="false" ht="46.25" hidden="false" customHeight="false" outlineLevel="0" collapsed="false">
      <c r="A18" s="2" t="s">
        <v>3842</v>
      </c>
      <c r="B18" s="2" t="s">
        <v>8068</v>
      </c>
      <c r="C18" s="2" t="s">
        <v>3843</v>
      </c>
      <c r="D18" s="2" t="s">
        <v>3844</v>
      </c>
      <c r="E18" s="2" t="s">
        <v>3845</v>
      </c>
      <c r="F18" s="2" t="s">
        <v>3846</v>
      </c>
      <c r="G18" s="2" t="s">
        <v>20</v>
      </c>
      <c r="H18" s="2" t="s">
        <v>3847</v>
      </c>
      <c r="I18" s="2" t="s">
        <v>3742</v>
      </c>
      <c r="J18" s="2" t="n">
        <v>2</v>
      </c>
    </row>
    <row r="19" customFormat="false" ht="61.15" hidden="false" customHeight="false" outlineLevel="0" collapsed="false">
      <c r="A19" s="2" t="s">
        <v>3848</v>
      </c>
      <c r="B19" s="2" t="s">
        <v>8068</v>
      </c>
      <c r="C19" s="2" t="s">
        <v>3849</v>
      </c>
      <c r="D19" s="2" t="s">
        <v>3850</v>
      </c>
      <c r="E19" s="2" t="s">
        <v>3851</v>
      </c>
      <c r="F19" s="2" t="s">
        <v>3852</v>
      </c>
      <c r="G19" s="2" t="s">
        <v>20</v>
      </c>
      <c r="H19" s="2" t="s">
        <v>3853</v>
      </c>
      <c r="I19" s="2" t="s">
        <v>3742</v>
      </c>
      <c r="J19" s="2" t="n">
        <v>2</v>
      </c>
    </row>
    <row r="20" customFormat="false" ht="91" hidden="false" customHeight="false" outlineLevel="0" collapsed="false">
      <c r="A20" s="2" t="s">
        <v>3854</v>
      </c>
      <c r="B20" s="2" t="s">
        <v>8069</v>
      </c>
      <c r="C20" s="2" t="s">
        <v>3855</v>
      </c>
      <c r="D20" s="2" t="s">
        <v>3856</v>
      </c>
      <c r="E20" s="2" t="s">
        <v>3857</v>
      </c>
      <c r="F20" s="2" t="s">
        <v>3858</v>
      </c>
      <c r="G20" s="2" t="s">
        <v>28</v>
      </c>
      <c r="H20" s="2" t="s">
        <v>3859</v>
      </c>
      <c r="I20" s="2" t="s">
        <v>3742</v>
      </c>
      <c r="J20" s="2" t="n">
        <v>2</v>
      </c>
    </row>
    <row r="21" customFormat="false" ht="61.15" hidden="false" customHeight="false" outlineLevel="0" collapsed="false">
      <c r="A21" s="2" t="s">
        <v>3860</v>
      </c>
      <c r="B21" s="2" t="s">
        <v>8068</v>
      </c>
      <c r="C21" s="2" t="s">
        <v>3861</v>
      </c>
      <c r="D21" s="2" t="s">
        <v>2727</v>
      </c>
      <c r="E21" s="2" t="s">
        <v>3862</v>
      </c>
      <c r="F21" s="2" t="s">
        <v>3863</v>
      </c>
      <c r="G21" s="2" t="s">
        <v>20</v>
      </c>
      <c r="H21" s="2" t="s">
        <v>3864</v>
      </c>
      <c r="I21" s="2" t="s">
        <v>3742</v>
      </c>
      <c r="J21" s="2" t="n">
        <v>2</v>
      </c>
    </row>
    <row r="22" customFormat="false" ht="61.15" hidden="false" customHeight="false" outlineLevel="0" collapsed="false">
      <c r="A22" s="2" t="s">
        <v>3865</v>
      </c>
      <c r="B22" s="2" t="s">
        <v>8069</v>
      </c>
      <c r="C22" s="2" t="s">
        <v>3866</v>
      </c>
      <c r="D22" s="2" t="s">
        <v>3867</v>
      </c>
      <c r="E22" s="2" t="s">
        <v>3868</v>
      </c>
      <c r="F22" s="2" t="s">
        <v>3869</v>
      </c>
      <c r="G22" s="2" t="s">
        <v>20</v>
      </c>
      <c r="H22" s="2" t="s">
        <v>3870</v>
      </c>
      <c r="I22" s="2" t="s">
        <v>3742</v>
      </c>
      <c r="J22" s="2" t="n">
        <v>1</v>
      </c>
    </row>
    <row r="23" customFormat="false" ht="61.15" hidden="false" customHeight="false" outlineLevel="0" collapsed="false">
      <c r="A23" s="2" t="s">
        <v>3871</v>
      </c>
      <c r="B23" s="2" t="s">
        <v>8068</v>
      </c>
      <c r="C23" s="2" t="s">
        <v>3872</v>
      </c>
      <c r="D23" s="2" t="s">
        <v>3873</v>
      </c>
      <c r="E23" s="2" t="s">
        <v>3874</v>
      </c>
      <c r="F23" s="2" t="s">
        <v>3875</v>
      </c>
      <c r="G23" s="2" t="s">
        <v>20</v>
      </c>
      <c r="H23" s="2" t="s">
        <v>3876</v>
      </c>
      <c r="I23" s="2" t="s">
        <v>3742</v>
      </c>
      <c r="J23" s="2" t="n">
        <v>2</v>
      </c>
    </row>
    <row r="24" customFormat="false" ht="76.1" hidden="false" customHeight="false" outlineLevel="0" collapsed="false">
      <c r="A24" s="2" t="s">
        <v>3877</v>
      </c>
      <c r="B24" s="2" t="s">
        <v>8068</v>
      </c>
      <c r="C24" s="2" t="s">
        <v>3878</v>
      </c>
      <c r="D24" s="2" t="s">
        <v>3879</v>
      </c>
      <c r="E24" s="2" t="s">
        <v>3880</v>
      </c>
      <c r="F24" s="2" t="s">
        <v>3881</v>
      </c>
      <c r="G24" s="2" t="s">
        <v>20</v>
      </c>
      <c r="H24" s="2" t="s">
        <v>3882</v>
      </c>
      <c r="I24" s="2" t="s">
        <v>3742</v>
      </c>
      <c r="J24" s="2" t="n">
        <v>2</v>
      </c>
    </row>
    <row r="25" customFormat="false" ht="46.25" hidden="false" customHeight="false" outlineLevel="0" collapsed="false">
      <c r="A25" s="2" t="s">
        <v>3883</v>
      </c>
      <c r="B25" s="2" t="s">
        <v>8069</v>
      </c>
      <c r="C25" s="2" t="s">
        <v>3884</v>
      </c>
      <c r="D25" s="2" t="s">
        <v>3885</v>
      </c>
      <c r="E25" s="2" t="s">
        <v>3886</v>
      </c>
      <c r="F25" s="2" t="s">
        <v>3887</v>
      </c>
      <c r="G25" s="2" t="s">
        <v>20</v>
      </c>
      <c r="H25" s="2" t="s">
        <v>3888</v>
      </c>
      <c r="I25" s="2" t="s">
        <v>3742</v>
      </c>
      <c r="J25" s="2" t="n">
        <v>2</v>
      </c>
    </row>
    <row r="26" customFormat="false" ht="46.25" hidden="false" customHeight="false" outlineLevel="0" collapsed="false">
      <c r="A26" s="2" t="s">
        <v>3889</v>
      </c>
      <c r="B26" s="2" t="s">
        <v>8069</v>
      </c>
      <c r="C26" s="2" t="s">
        <v>3890</v>
      </c>
      <c r="D26" s="2" t="s">
        <v>3891</v>
      </c>
      <c r="E26" s="2" t="s">
        <v>3892</v>
      </c>
      <c r="F26" s="2" t="s">
        <v>3893</v>
      </c>
      <c r="G26" s="2" t="s">
        <v>20</v>
      </c>
      <c r="H26" s="2" t="s">
        <v>3894</v>
      </c>
      <c r="I26" s="2" t="s">
        <v>3742</v>
      </c>
      <c r="J26" s="2" t="n">
        <v>2</v>
      </c>
    </row>
    <row r="27" customFormat="false" ht="105.95" hidden="false" customHeight="false" outlineLevel="0" collapsed="false">
      <c r="A27" s="2" t="s">
        <v>3895</v>
      </c>
      <c r="B27" s="2" t="s">
        <v>8068</v>
      </c>
      <c r="C27" s="2" t="s">
        <v>3896</v>
      </c>
      <c r="D27" s="2" t="s">
        <v>3897</v>
      </c>
      <c r="E27" s="2" t="s">
        <v>3898</v>
      </c>
      <c r="F27" s="2" t="s">
        <v>3899</v>
      </c>
      <c r="G27" s="2" t="s">
        <v>20</v>
      </c>
      <c r="H27" s="2" t="s">
        <v>3900</v>
      </c>
      <c r="I27" s="2" t="s">
        <v>3742</v>
      </c>
      <c r="J27" s="2" t="n">
        <v>2</v>
      </c>
    </row>
    <row r="28" customFormat="false" ht="91" hidden="false" customHeight="false" outlineLevel="0" collapsed="false">
      <c r="A28" s="2" t="s">
        <v>3901</v>
      </c>
      <c r="B28" s="2" t="s">
        <v>8068</v>
      </c>
      <c r="C28" s="2" t="s">
        <v>3902</v>
      </c>
      <c r="D28" s="2" t="s">
        <v>3903</v>
      </c>
      <c r="E28" s="2" t="s">
        <v>3904</v>
      </c>
      <c r="F28" s="2" t="s">
        <v>3905</v>
      </c>
      <c r="G28" s="2" t="s">
        <v>20</v>
      </c>
      <c r="H28" s="2" t="s">
        <v>3906</v>
      </c>
      <c r="I28" s="2" t="s">
        <v>3907</v>
      </c>
      <c r="J28" s="2" t="n">
        <v>2</v>
      </c>
    </row>
    <row r="29" customFormat="false" ht="91" hidden="false" customHeight="false" outlineLevel="0" collapsed="false">
      <c r="A29" s="2" t="s">
        <v>3908</v>
      </c>
      <c r="B29" s="2" t="s">
        <v>8069</v>
      </c>
      <c r="C29" s="2" t="s">
        <v>3909</v>
      </c>
      <c r="D29" s="2" t="s">
        <v>3910</v>
      </c>
      <c r="E29" s="2" t="s">
        <v>3911</v>
      </c>
      <c r="F29" s="2" t="s">
        <v>3912</v>
      </c>
      <c r="G29" s="2" t="s">
        <v>20</v>
      </c>
      <c r="H29" s="2" t="s">
        <v>3913</v>
      </c>
      <c r="I29" s="2" t="s">
        <v>3742</v>
      </c>
      <c r="J29" s="2" t="n">
        <v>2</v>
      </c>
    </row>
    <row r="30" customFormat="false" ht="76.1" hidden="false" customHeight="false" outlineLevel="0" collapsed="false">
      <c r="A30" s="2" t="s">
        <v>3914</v>
      </c>
      <c r="B30" s="2" t="s">
        <v>8069</v>
      </c>
      <c r="C30" s="2" t="s">
        <v>3915</v>
      </c>
      <c r="D30" s="2" t="s">
        <v>480</v>
      </c>
      <c r="E30" s="2" t="s">
        <v>3916</v>
      </c>
      <c r="F30" s="2" t="s">
        <v>481</v>
      </c>
      <c r="G30" s="2" t="s">
        <v>20</v>
      </c>
      <c r="H30" s="2" t="s">
        <v>3917</v>
      </c>
      <c r="I30" s="2" t="s">
        <v>3742</v>
      </c>
      <c r="J30" s="2" t="n">
        <v>2</v>
      </c>
    </row>
    <row r="31" customFormat="false" ht="61.15" hidden="false" customHeight="false" outlineLevel="0" collapsed="false">
      <c r="A31" s="2" t="s">
        <v>3918</v>
      </c>
      <c r="B31" s="2" t="s">
        <v>8068</v>
      </c>
      <c r="C31" s="2" t="s">
        <v>3919</v>
      </c>
      <c r="D31" s="2" t="s">
        <v>3920</v>
      </c>
      <c r="E31" s="2" t="s">
        <v>3921</v>
      </c>
      <c r="F31" s="2" t="s">
        <v>3922</v>
      </c>
      <c r="G31" s="2" t="s">
        <v>20</v>
      </c>
      <c r="H31" s="2" t="s">
        <v>3923</v>
      </c>
      <c r="I31" s="2" t="s">
        <v>3742</v>
      </c>
      <c r="J31" s="2" t="n">
        <v>2</v>
      </c>
    </row>
    <row r="32" customFormat="false" ht="61.15" hidden="false" customHeight="false" outlineLevel="0" collapsed="false">
      <c r="A32" s="2" t="s">
        <v>3924</v>
      </c>
      <c r="B32" s="2" t="s">
        <v>8069</v>
      </c>
      <c r="C32" s="2" t="s">
        <v>3925</v>
      </c>
      <c r="D32" s="2" t="s">
        <v>3926</v>
      </c>
      <c r="E32" s="2" t="s">
        <v>3927</v>
      </c>
      <c r="F32" s="2" t="s">
        <v>3928</v>
      </c>
      <c r="G32" s="2" t="s">
        <v>20</v>
      </c>
      <c r="H32" s="2" t="s">
        <v>3929</v>
      </c>
      <c r="I32" s="2" t="s">
        <v>3742</v>
      </c>
      <c r="J32" s="2" t="n">
        <v>2</v>
      </c>
    </row>
    <row r="33" customFormat="false" ht="61.15" hidden="false" customHeight="false" outlineLevel="0" collapsed="false">
      <c r="A33" s="2" t="s">
        <v>3930</v>
      </c>
      <c r="B33" s="2" t="s">
        <v>8068</v>
      </c>
      <c r="C33" s="2" t="s">
        <v>3931</v>
      </c>
      <c r="D33" s="2" t="s">
        <v>3932</v>
      </c>
      <c r="E33" s="2" t="s">
        <v>3933</v>
      </c>
      <c r="F33" s="2" t="s">
        <v>3934</v>
      </c>
      <c r="G33" s="2" t="s">
        <v>20</v>
      </c>
      <c r="H33" s="2" t="s">
        <v>3935</v>
      </c>
      <c r="I33" s="2" t="s">
        <v>3780</v>
      </c>
      <c r="J33" s="2" t="n">
        <v>3</v>
      </c>
    </row>
    <row r="34" customFormat="false" ht="91" hidden="false" customHeight="false" outlineLevel="0" collapsed="false">
      <c r="A34" s="2" t="s">
        <v>3936</v>
      </c>
      <c r="B34" s="2" t="s">
        <v>8068</v>
      </c>
      <c r="C34" s="2" t="s">
        <v>3937</v>
      </c>
      <c r="D34" s="2" t="s">
        <v>3938</v>
      </c>
      <c r="E34" s="2" t="s">
        <v>3939</v>
      </c>
      <c r="F34" s="2" t="s">
        <v>3940</v>
      </c>
      <c r="G34" s="2" t="s">
        <v>20</v>
      </c>
      <c r="H34" s="2" t="s">
        <v>3941</v>
      </c>
      <c r="I34" s="2" t="s">
        <v>3742</v>
      </c>
      <c r="J34" s="2" t="n">
        <v>3</v>
      </c>
    </row>
    <row r="35" customFormat="false" ht="76.1" hidden="false" customHeight="false" outlineLevel="0" collapsed="false">
      <c r="A35" s="2" t="s">
        <v>3942</v>
      </c>
      <c r="B35" s="2" t="s">
        <v>8068</v>
      </c>
      <c r="C35" s="2" t="s">
        <v>3943</v>
      </c>
      <c r="D35" s="2" t="s">
        <v>3944</v>
      </c>
      <c r="E35" s="2" t="s">
        <v>3945</v>
      </c>
      <c r="F35" s="2" t="s">
        <v>3946</v>
      </c>
      <c r="G35" s="2" t="s">
        <v>20</v>
      </c>
      <c r="H35" s="2" t="s">
        <v>3947</v>
      </c>
      <c r="I35" s="2" t="s">
        <v>3907</v>
      </c>
      <c r="J35" s="2" t="n">
        <v>3</v>
      </c>
    </row>
    <row r="36" customFormat="false" ht="61.15" hidden="false" customHeight="false" outlineLevel="0" collapsed="false">
      <c r="A36" s="2" t="s">
        <v>3948</v>
      </c>
      <c r="B36" s="2" t="s">
        <v>8068</v>
      </c>
      <c r="C36" s="2" t="s">
        <v>3949</v>
      </c>
      <c r="D36" s="2" t="s">
        <v>3950</v>
      </c>
      <c r="E36" s="2" t="s">
        <v>3951</v>
      </c>
      <c r="F36" s="2" t="s">
        <v>3952</v>
      </c>
      <c r="G36" s="2" t="s">
        <v>20</v>
      </c>
      <c r="H36" s="2" t="s">
        <v>3953</v>
      </c>
      <c r="I36" s="2" t="s">
        <v>3742</v>
      </c>
      <c r="J36" s="2" t="n">
        <v>3</v>
      </c>
    </row>
    <row r="37" customFormat="false" ht="91" hidden="false" customHeight="false" outlineLevel="0" collapsed="false">
      <c r="A37" s="2" t="s">
        <v>3954</v>
      </c>
      <c r="B37" s="2" t="s">
        <v>8068</v>
      </c>
      <c r="C37" s="2" t="s">
        <v>3955</v>
      </c>
      <c r="D37" s="2" t="s">
        <v>3956</v>
      </c>
      <c r="E37" s="2" t="s">
        <v>3957</v>
      </c>
      <c r="F37" s="2" t="s">
        <v>3958</v>
      </c>
      <c r="G37" s="2" t="s">
        <v>20</v>
      </c>
      <c r="H37" s="2" t="s">
        <v>3959</v>
      </c>
      <c r="I37" s="2" t="s">
        <v>3742</v>
      </c>
      <c r="J37" s="2" t="n">
        <v>3</v>
      </c>
    </row>
    <row r="38" customFormat="false" ht="76.1" hidden="false" customHeight="false" outlineLevel="0" collapsed="false">
      <c r="A38" s="2" t="s">
        <v>3960</v>
      </c>
      <c r="B38" s="2" t="s">
        <v>8068</v>
      </c>
      <c r="C38" s="2" t="s">
        <v>3961</v>
      </c>
      <c r="D38" s="2" t="s">
        <v>3962</v>
      </c>
      <c r="E38" s="2" t="s">
        <v>3963</v>
      </c>
      <c r="F38" s="2" t="s">
        <v>3964</v>
      </c>
      <c r="G38" s="2" t="s">
        <v>20</v>
      </c>
      <c r="H38" s="2" t="s">
        <v>3965</v>
      </c>
      <c r="I38" s="2" t="s">
        <v>3742</v>
      </c>
      <c r="J38" s="2" t="n">
        <v>4</v>
      </c>
    </row>
    <row r="39" customFormat="false" ht="76.1" hidden="false" customHeight="false" outlineLevel="0" collapsed="false">
      <c r="A39" s="2" t="s">
        <v>3966</v>
      </c>
      <c r="B39" s="2" t="s">
        <v>8068</v>
      </c>
      <c r="C39" s="2" t="s">
        <v>3967</v>
      </c>
      <c r="D39" s="2" t="s">
        <v>3968</v>
      </c>
      <c r="E39" s="2" t="s">
        <v>3969</v>
      </c>
      <c r="F39" s="2" t="s">
        <v>3970</v>
      </c>
      <c r="G39" s="2" t="s">
        <v>20</v>
      </c>
      <c r="H39" s="2" t="s">
        <v>3971</v>
      </c>
      <c r="I39" s="2" t="s">
        <v>3742</v>
      </c>
      <c r="J39" s="2" t="n">
        <v>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customHeight="false"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45"/>
    <col collapsed="false" customWidth="true" hidden="false" outlineLevel="0" max="6" min="4" style="0" width="32"/>
    <col collapsed="false" customWidth="true" hidden="false" outlineLevel="0" max="7" min="7" style="0" width="9"/>
    <col collapsed="false" customWidth="true" hidden="false" outlineLevel="0" max="8" min="8" style="0" width="42"/>
    <col collapsed="false" customWidth="true" hidden="false" outlineLevel="0" max="9" min="9" style="0" width="20"/>
    <col collapsed="false" customWidth="true" hidden="false" outlineLevel="0" max="10" min="10" style="0" width="10"/>
  </cols>
  <sheetData>
    <row r="1" customFormat="false" ht="16.4" hidden="false" customHeight="false" outlineLevel="0" collapsed="false">
      <c r="A1" s="1" t="s">
        <v>0</v>
      </c>
      <c r="B1" s="1" t="s">
        <v>8067</v>
      </c>
      <c r="C1" s="1" t="s">
        <v>3</v>
      </c>
      <c r="D1" s="1" t="s">
        <v>4</v>
      </c>
      <c r="E1" s="1" t="s">
        <v>5</v>
      </c>
      <c r="F1" s="1" t="s">
        <v>6</v>
      </c>
      <c r="G1" s="1" t="s">
        <v>7</v>
      </c>
      <c r="H1" s="1" t="s">
        <v>8</v>
      </c>
      <c r="I1" s="1" t="s">
        <v>9</v>
      </c>
      <c r="J1" s="1" t="s">
        <v>11</v>
      </c>
    </row>
    <row r="2" customFormat="false" ht="91" hidden="false" customHeight="false" outlineLevel="0" collapsed="false">
      <c r="A2" s="2" t="s">
        <v>3972</v>
      </c>
      <c r="B2" s="2" t="s">
        <v>8068</v>
      </c>
      <c r="C2" s="2" t="s">
        <v>3974</v>
      </c>
      <c r="D2" s="2" t="s">
        <v>3975</v>
      </c>
      <c r="E2" s="2" t="s">
        <v>3976</v>
      </c>
      <c r="F2" s="2" t="s">
        <v>3977</v>
      </c>
      <c r="G2" s="2" t="s">
        <v>20</v>
      </c>
      <c r="H2" s="2" t="s">
        <v>3978</v>
      </c>
      <c r="I2" s="2" t="s">
        <v>3973</v>
      </c>
      <c r="J2" s="2" t="n">
        <v>3</v>
      </c>
    </row>
    <row r="3" customFormat="false" ht="76.1" hidden="false" customHeight="false" outlineLevel="0" collapsed="false">
      <c r="A3" s="2" t="s">
        <v>3979</v>
      </c>
      <c r="B3" s="2" t="s">
        <v>8069</v>
      </c>
      <c r="C3" s="2" t="s">
        <v>3980</v>
      </c>
      <c r="D3" s="2" t="s">
        <v>3981</v>
      </c>
      <c r="E3" s="2" t="s">
        <v>3982</v>
      </c>
      <c r="F3" s="2" t="s">
        <v>3983</v>
      </c>
      <c r="G3" s="2" t="s">
        <v>20</v>
      </c>
      <c r="H3" s="2" t="s">
        <v>3984</v>
      </c>
      <c r="I3" s="2" t="s">
        <v>3973</v>
      </c>
      <c r="J3" s="2" t="n">
        <v>1</v>
      </c>
    </row>
    <row r="4" customFormat="false" ht="91" hidden="false" customHeight="false" outlineLevel="0" collapsed="false">
      <c r="A4" s="2" t="s">
        <v>3985</v>
      </c>
      <c r="B4" s="2" t="s">
        <v>8068</v>
      </c>
      <c r="C4" s="2" t="s">
        <v>3986</v>
      </c>
      <c r="D4" s="2" t="s">
        <v>3987</v>
      </c>
      <c r="E4" s="2" t="s">
        <v>3988</v>
      </c>
      <c r="F4" s="2" t="s">
        <v>3989</v>
      </c>
      <c r="G4" s="2" t="s">
        <v>20</v>
      </c>
      <c r="H4" s="2" t="s">
        <v>3990</v>
      </c>
      <c r="I4" s="2" t="s">
        <v>3973</v>
      </c>
      <c r="J4" s="2" t="n">
        <v>4</v>
      </c>
    </row>
    <row r="5" customFormat="false" ht="91" hidden="false" customHeight="false" outlineLevel="0" collapsed="false">
      <c r="A5" s="2" t="s">
        <v>3991</v>
      </c>
      <c r="B5" s="2" t="s">
        <v>8068</v>
      </c>
      <c r="C5" s="2" t="s">
        <v>3992</v>
      </c>
      <c r="D5" s="2" t="s">
        <v>3993</v>
      </c>
      <c r="E5" s="2" t="s">
        <v>3994</v>
      </c>
      <c r="F5" s="2" t="s">
        <v>3995</v>
      </c>
      <c r="G5" s="2" t="s">
        <v>20</v>
      </c>
      <c r="H5" s="2" t="s">
        <v>3996</v>
      </c>
      <c r="I5" s="2" t="s">
        <v>3973</v>
      </c>
      <c r="J5" s="2" t="n">
        <v>3</v>
      </c>
    </row>
    <row r="6" customFormat="false" ht="61.15" hidden="false" customHeight="false" outlineLevel="0" collapsed="false">
      <c r="A6" s="2" t="s">
        <v>3997</v>
      </c>
      <c r="B6" s="2" t="s">
        <v>8068</v>
      </c>
      <c r="C6" s="2" t="s">
        <v>3998</v>
      </c>
      <c r="D6" s="2" t="s">
        <v>3999</v>
      </c>
      <c r="E6" s="2" t="s">
        <v>4000</v>
      </c>
      <c r="F6" s="2" t="s">
        <v>4001</v>
      </c>
      <c r="G6" s="2" t="s">
        <v>20</v>
      </c>
      <c r="H6" s="2" t="s">
        <v>4002</v>
      </c>
      <c r="I6" s="2" t="s">
        <v>3973</v>
      </c>
      <c r="J6" s="2" t="n">
        <v>2</v>
      </c>
    </row>
    <row r="7" customFormat="false" ht="46.25" hidden="false" customHeight="false" outlineLevel="0" collapsed="false">
      <c r="A7" s="2" t="s">
        <v>4003</v>
      </c>
      <c r="B7" s="2" t="s">
        <v>8068</v>
      </c>
      <c r="C7" s="2" t="s">
        <v>4004</v>
      </c>
      <c r="D7" s="2" t="s">
        <v>1948</v>
      </c>
      <c r="E7" s="2" t="s">
        <v>4005</v>
      </c>
      <c r="F7" s="2" t="s">
        <v>3178</v>
      </c>
      <c r="G7" s="2" t="s">
        <v>20</v>
      </c>
      <c r="H7" s="2" t="s">
        <v>4006</v>
      </c>
      <c r="I7" s="2" t="s">
        <v>3973</v>
      </c>
      <c r="J7" s="2" t="n">
        <v>1</v>
      </c>
    </row>
    <row r="8" customFormat="false" ht="46.25" hidden="false" customHeight="false" outlineLevel="0" collapsed="false">
      <c r="A8" s="2" t="s">
        <v>4007</v>
      </c>
      <c r="B8" s="2" t="s">
        <v>8068</v>
      </c>
      <c r="C8" s="2" t="s">
        <v>4008</v>
      </c>
      <c r="D8" s="2" t="s">
        <v>2727</v>
      </c>
      <c r="E8" s="2" t="s">
        <v>4009</v>
      </c>
      <c r="F8" s="2" t="s">
        <v>4010</v>
      </c>
      <c r="G8" s="2" t="s">
        <v>20</v>
      </c>
      <c r="H8" s="2" t="s">
        <v>4011</v>
      </c>
      <c r="I8" s="2" t="s">
        <v>4012</v>
      </c>
      <c r="J8" s="2" t="n">
        <v>2</v>
      </c>
    </row>
    <row r="9" customFormat="false" ht="91" hidden="false" customHeight="false" outlineLevel="0" collapsed="false">
      <c r="A9" s="2" t="s">
        <v>4013</v>
      </c>
      <c r="B9" s="2" t="s">
        <v>8068</v>
      </c>
      <c r="C9" s="2" t="s">
        <v>4014</v>
      </c>
      <c r="D9" s="2" t="s">
        <v>4015</v>
      </c>
      <c r="E9" s="2" t="s">
        <v>4016</v>
      </c>
      <c r="F9" s="2" t="s">
        <v>4017</v>
      </c>
      <c r="G9" s="2" t="s">
        <v>20</v>
      </c>
      <c r="H9" s="2" t="s">
        <v>4018</v>
      </c>
      <c r="I9" s="2" t="s">
        <v>4012</v>
      </c>
      <c r="J9" s="2" t="n">
        <v>2</v>
      </c>
    </row>
    <row r="10" customFormat="false" ht="46.25" hidden="false" customHeight="false" outlineLevel="0" collapsed="false">
      <c r="A10" s="2" t="s">
        <v>4019</v>
      </c>
      <c r="B10" s="2" t="s">
        <v>8069</v>
      </c>
      <c r="C10" s="2" t="s">
        <v>4020</v>
      </c>
      <c r="D10" s="2" t="s">
        <v>4021</v>
      </c>
      <c r="E10" s="2" t="s">
        <v>4022</v>
      </c>
      <c r="F10" s="2" t="s">
        <v>4023</v>
      </c>
      <c r="G10" s="2" t="s">
        <v>20</v>
      </c>
      <c r="H10" s="2" t="s">
        <v>4024</v>
      </c>
      <c r="I10" s="2" t="s">
        <v>4012</v>
      </c>
      <c r="J10" s="2" t="n">
        <v>1</v>
      </c>
    </row>
    <row r="11" customFormat="false" ht="61.15" hidden="false" customHeight="false" outlineLevel="0" collapsed="false">
      <c r="A11" s="2" t="s">
        <v>4025</v>
      </c>
      <c r="B11" s="2" t="s">
        <v>8069</v>
      </c>
      <c r="C11" s="2" t="s">
        <v>4026</v>
      </c>
      <c r="D11" s="2" t="s">
        <v>4027</v>
      </c>
      <c r="E11" s="2" t="s">
        <v>4028</v>
      </c>
      <c r="F11" s="2" t="s">
        <v>4029</v>
      </c>
      <c r="G11" s="2" t="s">
        <v>20</v>
      </c>
      <c r="H11" s="2" t="s">
        <v>4030</v>
      </c>
      <c r="I11" s="2" t="s">
        <v>4012</v>
      </c>
      <c r="J11" s="2" t="n">
        <v>1</v>
      </c>
    </row>
    <row r="12" customFormat="false" ht="61.15" hidden="false" customHeight="false" outlineLevel="0" collapsed="false">
      <c r="A12" s="2" t="s">
        <v>4031</v>
      </c>
      <c r="B12" s="2" t="s">
        <v>8068</v>
      </c>
      <c r="C12" s="2" t="s">
        <v>4032</v>
      </c>
      <c r="D12" s="2" t="s">
        <v>4033</v>
      </c>
      <c r="E12" s="2" t="s">
        <v>4034</v>
      </c>
      <c r="F12" s="2" t="s">
        <v>4035</v>
      </c>
      <c r="G12" s="2" t="s">
        <v>226</v>
      </c>
      <c r="H12" s="2" t="s">
        <v>4036</v>
      </c>
      <c r="I12" s="2" t="s">
        <v>4012</v>
      </c>
      <c r="J12" s="2" t="n">
        <v>2</v>
      </c>
    </row>
    <row r="13" customFormat="false" ht="76.1" hidden="false" customHeight="false" outlineLevel="0" collapsed="false">
      <c r="A13" s="2" t="s">
        <v>4037</v>
      </c>
      <c r="B13" s="2" t="s">
        <v>8068</v>
      </c>
      <c r="C13" s="2" t="s">
        <v>4038</v>
      </c>
      <c r="D13" s="2" t="s">
        <v>4039</v>
      </c>
      <c r="E13" s="2" t="s">
        <v>4040</v>
      </c>
      <c r="F13" s="2" t="s">
        <v>4041</v>
      </c>
      <c r="G13" s="2" t="s">
        <v>20</v>
      </c>
      <c r="H13" s="2" t="s">
        <v>4042</v>
      </c>
      <c r="I13" s="2" t="s">
        <v>4012</v>
      </c>
      <c r="J13" s="2" t="n">
        <v>2</v>
      </c>
    </row>
    <row r="14" customFormat="false" ht="76.1" hidden="false" customHeight="false" outlineLevel="0" collapsed="false">
      <c r="A14" s="2" t="s">
        <v>4043</v>
      </c>
      <c r="B14" s="2" t="s">
        <v>8068</v>
      </c>
      <c r="C14" s="2" t="s">
        <v>4044</v>
      </c>
      <c r="D14" s="2" t="s">
        <v>4045</v>
      </c>
      <c r="E14" s="2" t="s">
        <v>4046</v>
      </c>
      <c r="F14" s="2" t="s">
        <v>4047</v>
      </c>
      <c r="G14" s="2" t="s">
        <v>20</v>
      </c>
      <c r="H14" s="2" t="s">
        <v>4048</v>
      </c>
      <c r="I14" s="2" t="s">
        <v>4012</v>
      </c>
      <c r="J14" s="2" t="n">
        <v>2</v>
      </c>
    </row>
    <row r="15" customFormat="false" ht="61.15" hidden="false" customHeight="false" outlineLevel="0" collapsed="false">
      <c r="A15" s="2" t="s">
        <v>4049</v>
      </c>
      <c r="B15" s="2" t="s">
        <v>8069</v>
      </c>
      <c r="C15" s="2" t="s">
        <v>4050</v>
      </c>
      <c r="D15" s="2" t="s">
        <v>4051</v>
      </c>
      <c r="E15" s="2" t="s">
        <v>4052</v>
      </c>
      <c r="F15" s="2" t="s">
        <v>4053</v>
      </c>
      <c r="G15" s="2" t="s">
        <v>226</v>
      </c>
      <c r="H15" s="2" t="s">
        <v>4054</v>
      </c>
      <c r="I15" s="2" t="s">
        <v>4055</v>
      </c>
      <c r="J15" s="2" t="n">
        <v>2</v>
      </c>
    </row>
    <row r="16" customFormat="false" ht="61.15" hidden="false" customHeight="false" outlineLevel="0" collapsed="false">
      <c r="A16" s="2" t="s">
        <v>4056</v>
      </c>
      <c r="B16" s="2" t="s">
        <v>8068</v>
      </c>
      <c r="C16" s="2" t="s">
        <v>4057</v>
      </c>
      <c r="D16" s="2" t="s">
        <v>4058</v>
      </c>
      <c r="E16" s="2" t="s">
        <v>4059</v>
      </c>
      <c r="F16" s="2" t="s">
        <v>4060</v>
      </c>
      <c r="G16" s="2" t="s">
        <v>226</v>
      </c>
      <c r="H16" s="2" t="s">
        <v>4061</v>
      </c>
      <c r="I16" s="2" t="s">
        <v>4055</v>
      </c>
      <c r="J16" s="2" t="n">
        <v>2</v>
      </c>
    </row>
    <row r="17" customFormat="false" ht="76.1" hidden="false" customHeight="false" outlineLevel="0" collapsed="false">
      <c r="A17" s="2" t="s">
        <v>4062</v>
      </c>
      <c r="B17" s="2" t="s">
        <v>8068</v>
      </c>
      <c r="C17" s="2" t="s">
        <v>4063</v>
      </c>
      <c r="D17" s="2" t="s">
        <v>4064</v>
      </c>
      <c r="E17" s="2" t="s">
        <v>4065</v>
      </c>
      <c r="F17" s="2" t="s">
        <v>4066</v>
      </c>
      <c r="G17" s="2" t="s">
        <v>226</v>
      </c>
      <c r="H17" s="2" t="s">
        <v>4067</v>
      </c>
      <c r="I17" s="2" t="s">
        <v>4055</v>
      </c>
      <c r="J17" s="2" t="n">
        <v>2</v>
      </c>
    </row>
    <row r="18" customFormat="false" ht="61.15" hidden="false" customHeight="false" outlineLevel="0" collapsed="false">
      <c r="A18" s="2" t="s">
        <v>4068</v>
      </c>
      <c r="B18" s="2" t="s">
        <v>8068</v>
      </c>
      <c r="C18" s="2" t="s">
        <v>4069</v>
      </c>
      <c r="D18" s="2" t="s">
        <v>4070</v>
      </c>
      <c r="E18" s="2" t="s">
        <v>4071</v>
      </c>
      <c r="F18" s="2" t="s">
        <v>4072</v>
      </c>
      <c r="G18" s="2" t="s">
        <v>226</v>
      </c>
      <c r="H18" s="2" t="s">
        <v>4073</v>
      </c>
      <c r="I18" s="2" t="s">
        <v>4055</v>
      </c>
      <c r="J18" s="2" t="n">
        <v>2</v>
      </c>
    </row>
    <row r="19" customFormat="false" ht="61.15" hidden="false" customHeight="false" outlineLevel="0" collapsed="false">
      <c r="A19" s="2" t="s">
        <v>4074</v>
      </c>
      <c r="B19" s="2" t="s">
        <v>8069</v>
      </c>
      <c r="C19" s="2" t="s">
        <v>4075</v>
      </c>
      <c r="D19" s="2" t="s">
        <v>4076</v>
      </c>
      <c r="E19" s="2" t="s">
        <v>4077</v>
      </c>
      <c r="F19" s="2" t="s">
        <v>4078</v>
      </c>
      <c r="G19" s="2" t="s">
        <v>20</v>
      </c>
      <c r="H19" s="2" t="s">
        <v>4079</v>
      </c>
      <c r="I19" s="2" t="s">
        <v>4055</v>
      </c>
      <c r="J19" s="2" t="n">
        <v>1</v>
      </c>
    </row>
    <row r="20" customFormat="false" ht="76.1" hidden="false" customHeight="false" outlineLevel="0" collapsed="false">
      <c r="A20" s="2" t="s">
        <v>4080</v>
      </c>
      <c r="B20" s="2" t="s">
        <v>8068</v>
      </c>
      <c r="C20" s="2" t="s">
        <v>4081</v>
      </c>
      <c r="D20" s="2" t="s">
        <v>4082</v>
      </c>
      <c r="E20" s="2" t="s">
        <v>4083</v>
      </c>
      <c r="F20" s="2" t="s">
        <v>4084</v>
      </c>
      <c r="G20" s="2" t="s">
        <v>20</v>
      </c>
      <c r="H20" s="2" t="s">
        <v>4085</v>
      </c>
      <c r="I20" s="2" t="s">
        <v>4055</v>
      </c>
      <c r="J20" s="2" t="n">
        <v>2</v>
      </c>
    </row>
    <row r="21" customFormat="false" ht="76.1" hidden="false" customHeight="false" outlineLevel="0" collapsed="false">
      <c r="A21" s="2" t="s">
        <v>4086</v>
      </c>
      <c r="B21" s="2" t="s">
        <v>8068</v>
      </c>
      <c r="C21" s="2" t="s">
        <v>4087</v>
      </c>
      <c r="D21" s="2" t="s">
        <v>4088</v>
      </c>
      <c r="E21" s="2" t="s">
        <v>4089</v>
      </c>
      <c r="F21" s="2" t="s">
        <v>4090</v>
      </c>
      <c r="G21" s="2" t="s">
        <v>20</v>
      </c>
      <c r="H21" s="2" t="s">
        <v>4091</v>
      </c>
      <c r="I21" s="2" t="s">
        <v>4055</v>
      </c>
      <c r="J21" s="2" t="n">
        <v>2</v>
      </c>
    </row>
    <row r="22" customFormat="false" ht="76.1" hidden="false" customHeight="false" outlineLevel="0" collapsed="false">
      <c r="A22" s="2" t="s">
        <v>4092</v>
      </c>
      <c r="B22" s="2" t="s">
        <v>8068</v>
      </c>
      <c r="C22" s="2" t="s">
        <v>4093</v>
      </c>
      <c r="D22" s="2" t="s">
        <v>4094</v>
      </c>
      <c r="E22" s="2" t="s">
        <v>4095</v>
      </c>
      <c r="F22" s="2" t="s">
        <v>4096</v>
      </c>
      <c r="G22" s="2" t="s">
        <v>20</v>
      </c>
      <c r="H22" s="2" t="s">
        <v>4097</v>
      </c>
      <c r="I22" s="2" t="s">
        <v>4055</v>
      </c>
      <c r="J22" s="2" t="n">
        <v>3</v>
      </c>
    </row>
    <row r="23" customFormat="false" ht="76.1" hidden="false" customHeight="false" outlineLevel="0" collapsed="false">
      <c r="A23" s="2" t="s">
        <v>4098</v>
      </c>
      <c r="B23" s="2" t="s">
        <v>8068</v>
      </c>
      <c r="C23" s="2" t="s">
        <v>4099</v>
      </c>
      <c r="D23" s="2" t="s">
        <v>4100</v>
      </c>
      <c r="E23" s="2" t="s">
        <v>4101</v>
      </c>
      <c r="F23" s="2" t="s">
        <v>4102</v>
      </c>
      <c r="G23" s="2" t="s">
        <v>20</v>
      </c>
      <c r="H23" s="2" t="s">
        <v>4103</v>
      </c>
      <c r="I23" s="2" t="s">
        <v>3973</v>
      </c>
      <c r="J23" s="2" t="n">
        <v>3</v>
      </c>
    </row>
    <row r="24" customFormat="false" ht="61.15" hidden="false" customHeight="false" outlineLevel="0" collapsed="false">
      <c r="A24" s="2" t="s">
        <v>4104</v>
      </c>
      <c r="B24" s="2" t="s">
        <v>8068</v>
      </c>
      <c r="C24" s="2" t="s">
        <v>4105</v>
      </c>
      <c r="D24" s="2" t="s">
        <v>4106</v>
      </c>
      <c r="E24" s="2" t="s">
        <v>4107</v>
      </c>
      <c r="F24" s="2" t="s">
        <v>4108</v>
      </c>
      <c r="G24" s="2" t="s">
        <v>20</v>
      </c>
      <c r="H24" s="2" t="s">
        <v>4109</v>
      </c>
      <c r="I24" s="2" t="s">
        <v>3973</v>
      </c>
      <c r="J24" s="2" t="n">
        <v>2</v>
      </c>
    </row>
    <row r="25" customFormat="false" ht="46.25" hidden="false" customHeight="false" outlineLevel="0" collapsed="false">
      <c r="A25" s="2" t="s">
        <v>4110</v>
      </c>
      <c r="B25" s="2" t="s">
        <v>8068</v>
      </c>
      <c r="C25" s="2" t="s">
        <v>4111</v>
      </c>
      <c r="D25" s="2" t="s">
        <v>4112</v>
      </c>
      <c r="E25" s="2" t="s">
        <v>4113</v>
      </c>
      <c r="F25" s="2" t="s">
        <v>4114</v>
      </c>
      <c r="G25" s="2" t="s">
        <v>20</v>
      </c>
      <c r="H25" s="2" t="s">
        <v>4115</v>
      </c>
      <c r="I25" s="2" t="s">
        <v>3973</v>
      </c>
      <c r="J25" s="2" t="n">
        <v>1</v>
      </c>
    </row>
    <row r="26" customFormat="false" ht="61.15" hidden="false" customHeight="false" outlineLevel="0" collapsed="false">
      <c r="A26" s="2" t="s">
        <v>4116</v>
      </c>
      <c r="B26" s="2" t="s">
        <v>8068</v>
      </c>
      <c r="C26" s="2" t="s">
        <v>4117</v>
      </c>
      <c r="D26" s="2" t="s">
        <v>4118</v>
      </c>
      <c r="E26" s="2" t="s">
        <v>4119</v>
      </c>
      <c r="F26" s="2" t="s">
        <v>4120</v>
      </c>
      <c r="G26" s="2" t="s">
        <v>20</v>
      </c>
      <c r="H26" s="2" t="s">
        <v>4121</v>
      </c>
      <c r="I26" s="2" t="s">
        <v>3973</v>
      </c>
      <c r="J26" s="2" t="n">
        <v>2</v>
      </c>
    </row>
    <row r="27" customFormat="false" ht="105.95" hidden="false" customHeight="false" outlineLevel="0" collapsed="false">
      <c r="A27" s="2" t="s">
        <v>4122</v>
      </c>
      <c r="B27" s="2" t="s">
        <v>8068</v>
      </c>
      <c r="C27" s="2" t="s">
        <v>4123</v>
      </c>
      <c r="D27" s="2" t="s">
        <v>4124</v>
      </c>
      <c r="E27" s="2" t="s">
        <v>4125</v>
      </c>
      <c r="F27" s="2" t="s">
        <v>4126</v>
      </c>
      <c r="G27" s="2" t="s">
        <v>20</v>
      </c>
      <c r="H27" s="2" t="s">
        <v>4127</v>
      </c>
      <c r="I27" s="2" t="s">
        <v>4055</v>
      </c>
      <c r="J27" s="2" t="n">
        <v>1</v>
      </c>
    </row>
    <row r="28" customFormat="false" ht="91" hidden="false" customHeight="false" outlineLevel="0" collapsed="false">
      <c r="A28" s="2" t="s">
        <v>4128</v>
      </c>
      <c r="B28" s="2" t="s">
        <v>8068</v>
      </c>
      <c r="C28" s="2" t="s">
        <v>4129</v>
      </c>
      <c r="D28" s="2" t="s">
        <v>4130</v>
      </c>
      <c r="E28" s="2" t="s">
        <v>4131</v>
      </c>
      <c r="F28" s="2" t="s">
        <v>4132</v>
      </c>
      <c r="G28" s="2" t="s">
        <v>20</v>
      </c>
      <c r="H28" s="2" t="s">
        <v>4133</v>
      </c>
      <c r="I28" s="2" t="s">
        <v>4055</v>
      </c>
      <c r="J28" s="2" t="n">
        <v>2</v>
      </c>
    </row>
    <row r="29" customFormat="false" ht="105.95" hidden="false" customHeight="false" outlineLevel="0" collapsed="false">
      <c r="A29" s="2" t="s">
        <v>4134</v>
      </c>
      <c r="B29" s="2" t="s">
        <v>8068</v>
      </c>
      <c r="C29" s="2" t="s">
        <v>4135</v>
      </c>
      <c r="D29" s="2" t="s">
        <v>4136</v>
      </c>
      <c r="E29" s="2" t="s">
        <v>4137</v>
      </c>
      <c r="F29" s="2" t="s">
        <v>4138</v>
      </c>
      <c r="G29" s="2" t="s">
        <v>20</v>
      </c>
      <c r="H29" s="2" t="s">
        <v>4139</v>
      </c>
      <c r="I29" s="2" t="s">
        <v>3973</v>
      </c>
      <c r="J29" s="2" t="n">
        <v>2</v>
      </c>
    </row>
    <row r="30" customFormat="false" ht="61.15" hidden="false" customHeight="false" outlineLevel="0" collapsed="false">
      <c r="A30" s="2" t="s">
        <v>4140</v>
      </c>
      <c r="B30" s="2" t="s">
        <v>8068</v>
      </c>
      <c r="C30" s="2" t="s">
        <v>4141</v>
      </c>
      <c r="D30" s="2" t="s">
        <v>4142</v>
      </c>
      <c r="E30" s="2" t="s">
        <v>4143</v>
      </c>
      <c r="F30" s="2" t="s">
        <v>4144</v>
      </c>
      <c r="G30" s="2" t="s">
        <v>20</v>
      </c>
      <c r="H30" s="2" t="s">
        <v>4145</v>
      </c>
      <c r="I30" s="2" t="s">
        <v>3973</v>
      </c>
      <c r="J30" s="2" t="n">
        <v>2</v>
      </c>
    </row>
    <row r="31" customFormat="false" ht="61.15" hidden="false" customHeight="false" outlineLevel="0" collapsed="false">
      <c r="A31" s="2" t="s">
        <v>4146</v>
      </c>
      <c r="B31" s="2" t="s">
        <v>8068</v>
      </c>
      <c r="C31" s="2" t="s">
        <v>4147</v>
      </c>
      <c r="D31" s="2" t="s">
        <v>4148</v>
      </c>
      <c r="E31" s="2" t="s">
        <v>4149</v>
      </c>
      <c r="F31" s="2" t="s">
        <v>4150</v>
      </c>
      <c r="G31" s="2" t="s">
        <v>20</v>
      </c>
      <c r="H31" s="2" t="s">
        <v>4151</v>
      </c>
      <c r="I31" s="2" t="s">
        <v>3973</v>
      </c>
      <c r="J31" s="2" t="n">
        <v>2</v>
      </c>
    </row>
    <row r="32" customFormat="false" ht="61.15" hidden="false" customHeight="false" outlineLevel="0" collapsed="false">
      <c r="A32" s="2" t="s">
        <v>4152</v>
      </c>
      <c r="B32" s="2" t="s">
        <v>8068</v>
      </c>
      <c r="C32" s="2" t="s">
        <v>4153</v>
      </c>
      <c r="D32" s="2" t="s">
        <v>4154</v>
      </c>
      <c r="E32" s="2" t="s">
        <v>4155</v>
      </c>
      <c r="F32" s="2" t="s">
        <v>4156</v>
      </c>
      <c r="G32" s="2" t="s">
        <v>20</v>
      </c>
      <c r="H32" s="2" t="s">
        <v>4157</v>
      </c>
      <c r="I32" s="2" t="s">
        <v>4055</v>
      </c>
      <c r="J32" s="2" t="n">
        <v>2</v>
      </c>
    </row>
    <row r="33" customFormat="false" ht="61.15" hidden="false" customHeight="false" outlineLevel="0" collapsed="false">
      <c r="A33" s="2" t="s">
        <v>4158</v>
      </c>
      <c r="B33" s="2" t="s">
        <v>8068</v>
      </c>
      <c r="C33" s="2" t="s">
        <v>4159</v>
      </c>
      <c r="D33" s="2" t="s">
        <v>4160</v>
      </c>
      <c r="E33" s="2" t="s">
        <v>1338</v>
      </c>
      <c r="F33" s="2" t="s">
        <v>1366</v>
      </c>
      <c r="G33" s="2" t="s">
        <v>20</v>
      </c>
      <c r="H33" s="2" t="s">
        <v>4161</v>
      </c>
      <c r="I33" s="2" t="s">
        <v>3973</v>
      </c>
      <c r="J33" s="2" t="n">
        <v>2</v>
      </c>
    </row>
    <row r="34" customFormat="false" ht="61.15" hidden="false" customHeight="false" outlineLevel="0" collapsed="false">
      <c r="A34" s="2" t="s">
        <v>4162</v>
      </c>
      <c r="B34" s="2" t="s">
        <v>8068</v>
      </c>
      <c r="C34" s="2" t="s">
        <v>4163</v>
      </c>
      <c r="D34" s="2" t="s">
        <v>4164</v>
      </c>
      <c r="E34" s="2" t="s">
        <v>4165</v>
      </c>
      <c r="F34" s="2" t="s">
        <v>4166</v>
      </c>
      <c r="G34" s="2" t="s">
        <v>20</v>
      </c>
      <c r="H34" s="2" t="s">
        <v>4167</v>
      </c>
      <c r="I34" s="2" t="s">
        <v>3973</v>
      </c>
      <c r="J34" s="2" t="n">
        <v>2</v>
      </c>
    </row>
    <row r="35" customFormat="false" ht="76.1" hidden="false" customHeight="false" outlineLevel="0" collapsed="false">
      <c r="A35" s="2" t="s">
        <v>4168</v>
      </c>
      <c r="B35" s="2" t="s">
        <v>8068</v>
      </c>
      <c r="C35" s="2" t="s">
        <v>4169</v>
      </c>
      <c r="D35" s="2" t="s">
        <v>4170</v>
      </c>
      <c r="E35" s="2" t="s">
        <v>4171</v>
      </c>
      <c r="F35" s="2" t="s">
        <v>4172</v>
      </c>
      <c r="G35" s="2" t="s">
        <v>20</v>
      </c>
      <c r="H35" s="2" t="s">
        <v>4173</v>
      </c>
      <c r="I35" s="2" t="s">
        <v>3973</v>
      </c>
      <c r="J35" s="2" t="n">
        <v>3</v>
      </c>
    </row>
    <row r="36" customFormat="false" ht="61.15" hidden="false" customHeight="false" outlineLevel="0" collapsed="false">
      <c r="A36" s="2" t="s">
        <v>4174</v>
      </c>
      <c r="B36" s="2" t="s">
        <v>8068</v>
      </c>
      <c r="C36" s="2" t="s">
        <v>4175</v>
      </c>
      <c r="D36" s="2" t="s">
        <v>4154</v>
      </c>
      <c r="E36" s="2" t="s">
        <v>4170</v>
      </c>
      <c r="F36" s="2" t="s">
        <v>4172</v>
      </c>
      <c r="G36" s="2" t="s">
        <v>20</v>
      </c>
      <c r="H36" s="2" t="s">
        <v>4176</v>
      </c>
      <c r="I36" s="2" t="s">
        <v>3973</v>
      </c>
      <c r="J36" s="2" t="n">
        <v>3</v>
      </c>
    </row>
    <row r="37" customFormat="false" ht="76.1" hidden="false" customHeight="false" outlineLevel="0" collapsed="false">
      <c r="A37" s="2" t="s">
        <v>4177</v>
      </c>
      <c r="B37" s="2" t="s">
        <v>8068</v>
      </c>
      <c r="C37" s="2" t="s">
        <v>4178</v>
      </c>
      <c r="D37" s="2" t="s">
        <v>3993</v>
      </c>
      <c r="E37" s="2" t="s">
        <v>4179</v>
      </c>
      <c r="F37" s="2" t="s">
        <v>3995</v>
      </c>
      <c r="G37" s="2" t="s">
        <v>20</v>
      </c>
      <c r="H37" s="2" t="s">
        <v>4180</v>
      </c>
      <c r="I37" s="2" t="s">
        <v>3973</v>
      </c>
      <c r="J37" s="2" t="n">
        <v>4</v>
      </c>
    </row>
    <row r="38" customFormat="false" ht="76.1" hidden="false" customHeight="false" outlineLevel="0" collapsed="false">
      <c r="A38" s="2" t="s">
        <v>4181</v>
      </c>
      <c r="B38" s="2" t="s">
        <v>8068</v>
      </c>
      <c r="C38" s="2" t="s">
        <v>4182</v>
      </c>
      <c r="D38" s="2" t="s">
        <v>4183</v>
      </c>
      <c r="E38" s="2" t="s">
        <v>4184</v>
      </c>
      <c r="F38" s="2" t="s">
        <v>4185</v>
      </c>
      <c r="G38" s="2" t="s">
        <v>20</v>
      </c>
      <c r="H38" s="2" t="s">
        <v>4186</v>
      </c>
      <c r="I38" s="2" t="s">
        <v>3973</v>
      </c>
      <c r="J38" s="2" t="n">
        <v>3</v>
      </c>
    </row>
    <row r="39" customFormat="false" ht="76.1" hidden="false" customHeight="false" outlineLevel="0" collapsed="false">
      <c r="A39" s="2" t="s">
        <v>4187</v>
      </c>
      <c r="B39" s="2" t="s">
        <v>8068</v>
      </c>
      <c r="C39" s="2" t="s">
        <v>4188</v>
      </c>
      <c r="D39" s="2" t="s">
        <v>4189</v>
      </c>
      <c r="E39" s="2" t="s">
        <v>4184</v>
      </c>
      <c r="F39" s="2" t="s">
        <v>4183</v>
      </c>
      <c r="G39" s="2" t="s">
        <v>20</v>
      </c>
      <c r="H39" s="2" t="s">
        <v>4190</v>
      </c>
      <c r="I39" s="2" t="s">
        <v>3973</v>
      </c>
      <c r="J39" s="2" t="n">
        <v>3</v>
      </c>
    </row>
    <row r="40" customFormat="false" ht="76.1" hidden="false" customHeight="false" outlineLevel="0" collapsed="false">
      <c r="A40" s="2" t="s">
        <v>4191</v>
      </c>
      <c r="B40" s="2" t="s">
        <v>8068</v>
      </c>
      <c r="C40" s="2" t="s">
        <v>4192</v>
      </c>
      <c r="D40" s="2" t="s">
        <v>4193</v>
      </c>
      <c r="E40" s="2" t="s">
        <v>4170</v>
      </c>
      <c r="F40" s="2" t="s">
        <v>4172</v>
      </c>
      <c r="G40" s="2" t="s">
        <v>20</v>
      </c>
      <c r="H40" s="2" t="s">
        <v>4194</v>
      </c>
      <c r="I40" s="2" t="s">
        <v>3973</v>
      </c>
      <c r="J40" s="2" t="n">
        <v>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customHeight="false"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45"/>
    <col collapsed="false" customWidth="true" hidden="false" outlineLevel="0" max="6" min="4" style="0" width="32"/>
    <col collapsed="false" customWidth="true" hidden="false" outlineLevel="0" max="7" min="7" style="0" width="9"/>
    <col collapsed="false" customWidth="true" hidden="false" outlineLevel="0" max="8" min="8" style="0" width="42"/>
    <col collapsed="false" customWidth="true" hidden="false" outlineLevel="0" max="9" min="9" style="0" width="20"/>
    <col collapsed="false" customWidth="true" hidden="false" outlineLevel="0" max="10" min="10" style="0" width="10"/>
  </cols>
  <sheetData>
    <row r="1" customFormat="false" ht="16.4" hidden="false" customHeight="false" outlineLevel="0" collapsed="false">
      <c r="A1" s="1" t="s">
        <v>0</v>
      </c>
      <c r="B1" s="1" t="s">
        <v>8067</v>
      </c>
      <c r="C1" s="1" t="s">
        <v>3</v>
      </c>
      <c r="D1" s="1" t="s">
        <v>4</v>
      </c>
      <c r="E1" s="1" t="s">
        <v>5</v>
      </c>
      <c r="F1" s="1" t="s">
        <v>6</v>
      </c>
      <c r="G1" s="1" t="s">
        <v>7</v>
      </c>
      <c r="H1" s="1" t="s">
        <v>8</v>
      </c>
      <c r="I1" s="1" t="s">
        <v>9</v>
      </c>
      <c r="J1" s="1" t="s">
        <v>11</v>
      </c>
    </row>
    <row r="2" customFormat="false" ht="76.1" hidden="false" customHeight="false" outlineLevel="0" collapsed="false">
      <c r="A2" s="2" t="s">
        <v>4195</v>
      </c>
      <c r="B2" s="2" t="s">
        <v>8068</v>
      </c>
      <c r="C2" s="2" t="s">
        <v>4197</v>
      </c>
      <c r="D2" s="2" t="s">
        <v>4198</v>
      </c>
      <c r="E2" s="2" t="s">
        <v>4199</v>
      </c>
      <c r="F2" s="2" t="s">
        <v>4200</v>
      </c>
      <c r="G2" s="2" t="s">
        <v>20</v>
      </c>
      <c r="H2" s="2" t="s">
        <v>4201</v>
      </c>
      <c r="I2" s="2" t="s">
        <v>4196</v>
      </c>
      <c r="J2" s="2" t="n">
        <v>4</v>
      </c>
    </row>
    <row r="3" customFormat="false" ht="76.1" hidden="false" customHeight="false" outlineLevel="0" collapsed="false">
      <c r="A3" s="2" t="s">
        <v>4202</v>
      </c>
      <c r="B3" s="2" t="s">
        <v>8068</v>
      </c>
      <c r="C3" s="2" t="s">
        <v>4203</v>
      </c>
      <c r="D3" s="2" t="s">
        <v>4183</v>
      </c>
      <c r="E3" s="2" t="s">
        <v>4204</v>
      </c>
      <c r="F3" s="2" t="s">
        <v>4205</v>
      </c>
      <c r="G3" s="2" t="s">
        <v>20</v>
      </c>
      <c r="H3" s="2" t="s">
        <v>4206</v>
      </c>
      <c r="I3" s="2" t="s">
        <v>4196</v>
      </c>
      <c r="J3" s="2" t="n">
        <v>3</v>
      </c>
    </row>
    <row r="4" customFormat="false" ht="76.1" hidden="false" customHeight="false" outlineLevel="0" collapsed="false">
      <c r="A4" s="2" t="s">
        <v>4207</v>
      </c>
      <c r="B4" s="2" t="s">
        <v>8068</v>
      </c>
      <c r="C4" s="2" t="s">
        <v>4208</v>
      </c>
      <c r="D4" s="2" t="s">
        <v>4209</v>
      </c>
      <c r="E4" s="2" t="s">
        <v>4210</v>
      </c>
      <c r="F4" s="2" t="s">
        <v>4211</v>
      </c>
      <c r="G4" s="2" t="s">
        <v>226</v>
      </c>
      <c r="H4" s="2" t="s">
        <v>4212</v>
      </c>
      <c r="I4" s="2" t="s">
        <v>4196</v>
      </c>
      <c r="J4" s="2" t="n">
        <v>4</v>
      </c>
    </row>
    <row r="5" customFormat="false" ht="76.1" hidden="false" customHeight="false" outlineLevel="0" collapsed="false">
      <c r="A5" s="2" t="s">
        <v>4213</v>
      </c>
      <c r="B5" s="2" t="s">
        <v>8068</v>
      </c>
      <c r="C5" s="2" t="s">
        <v>4214</v>
      </c>
      <c r="D5" s="2" t="s">
        <v>2940</v>
      </c>
      <c r="E5" s="2" t="s">
        <v>4215</v>
      </c>
      <c r="F5" s="2" t="s">
        <v>4216</v>
      </c>
      <c r="G5" s="2" t="s">
        <v>20</v>
      </c>
      <c r="H5" s="2" t="s">
        <v>4217</v>
      </c>
      <c r="I5" s="2" t="s">
        <v>4196</v>
      </c>
      <c r="J5" s="2" t="n">
        <v>3</v>
      </c>
    </row>
    <row r="6" customFormat="false" ht="61.15" hidden="false" customHeight="false" outlineLevel="0" collapsed="false">
      <c r="A6" s="2" t="s">
        <v>4218</v>
      </c>
      <c r="B6" s="2" t="s">
        <v>8068</v>
      </c>
      <c r="C6" s="2" t="s">
        <v>4219</v>
      </c>
      <c r="D6" s="2" t="s">
        <v>1948</v>
      </c>
      <c r="E6" s="2" t="s">
        <v>4220</v>
      </c>
      <c r="F6" s="2" t="s">
        <v>2295</v>
      </c>
      <c r="G6" s="2" t="s">
        <v>20</v>
      </c>
      <c r="H6" s="2" t="s">
        <v>4221</v>
      </c>
      <c r="I6" s="2" t="s">
        <v>4196</v>
      </c>
      <c r="J6" s="2" t="n">
        <v>4</v>
      </c>
    </row>
    <row r="7" customFormat="false" ht="46.25" hidden="false" customHeight="false" outlineLevel="0" collapsed="false">
      <c r="A7" s="2" t="s">
        <v>4222</v>
      </c>
      <c r="B7" s="2" t="s">
        <v>8068</v>
      </c>
      <c r="C7" s="2" t="s">
        <v>4223</v>
      </c>
      <c r="D7" s="2" t="s">
        <v>4224</v>
      </c>
      <c r="E7" s="2" t="s">
        <v>4225</v>
      </c>
      <c r="F7" s="2" t="s">
        <v>4226</v>
      </c>
      <c r="G7" s="2" t="s">
        <v>20</v>
      </c>
      <c r="H7" s="2" t="s">
        <v>4227</v>
      </c>
      <c r="I7" s="2" t="s">
        <v>4228</v>
      </c>
      <c r="J7" s="2" t="n">
        <v>1</v>
      </c>
    </row>
    <row r="8" customFormat="false" ht="91" hidden="false" customHeight="false" outlineLevel="0" collapsed="false">
      <c r="A8" s="2" t="s">
        <v>4229</v>
      </c>
      <c r="B8" s="2" t="s">
        <v>8068</v>
      </c>
      <c r="C8" s="2" t="s">
        <v>4230</v>
      </c>
      <c r="D8" s="2" t="s">
        <v>4231</v>
      </c>
      <c r="E8" s="2" t="s">
        <v>4232</v>
      </c>
      <c r="F8" s="2" t="s">
        <v>4233</v>
      </c>
      <c r="G8" s="2" t="s">
        <v>20</v>
      </c>
      <c r="H8" s="2" t="s">
        <v>4234</v>
      </c>
      <c r="I8" s="2" t="s">
        <v>4228</v>
      </c>
      <c r="J8" s="2" t="n">
        <v>3</v>
      </c>
    </row>
    <row r="9" customFormat="false" ht="76.1" hidden="false" customHeight="false" outlineLevel="0" collapsed="false">
      <c r="A9" s="2" t="s">
        <v>4235</v>
      </c>
      <c r="B9" s="2" t="s">
        <v>8068</v>
      </c>
      <c r="C9" s="2" t="s">
        <v>4236</v>
      </c>
      <c r="D9" s="2" t="s">
        <v>4237</v>
      </c>
      <c r="E9" s="2" t="s">
        <v>4238</v>
      </c>
      <c r="F9" s="2" t="s">
        <v>4239</v>
      </c>
      <c r="G9" s="2" t="s">
        <v>20</v>
      </c>
      <c r="H9" s="2" t="s">
        <v>4240</v>
      </c>
      <c r="I9" s="2" t="s">
        <v>4228</v>
      </c>
      <c r="J9" s="2" t="n">
        <v>2</v>
      </c>
    </row>
    <row r="10" customFormat="false" ht="61.15" hidden="false" customHeight="false" outlineLevel="0" collapsed="false">
      <c r="A10" s="2" t="s">
        <v>4241</v>
      </c>
      <c r="B10" s="2" t="s">
        <v>8068</v>
      </c>
      <c r="C10" s="2" t="s">
        <v>4242</v>
      </c>
      <c r="D10" s="2" t="s">
        <v>1948</v>
      </c>
      <c r="E10" s="2" t="s">
        <v>3178</v>
      </c>
      <c r="F10" s="2" t="s">
        <v>4005</v>
      </c>
      <c r="G10" s="2" t="s">
        <v>20</v>
      </c>
      <c r="H10" s="2" t="s">
        <v>4243</v>
      </c>
      <c r="I10" s="2" t="s">
        <v>4228</v>
      </c>
      <c r="J10" s="2" t="n">
        <v>1</v>
      </c>
    </row>
    <row r="11" customFormat="false" ht="76.1" hidden="false" customHeight="false" outlineLevel="0" collapsed="false">
      <c r="A11" s="2" t="s">
        <v>4244</v>
      </c>
      <c r="B11" s="2" t="s">
        <v>8068</v>
      </c>
      <c r="C11" s="2" t="s">
        <v>4245</v>
      </c>
      <c r="D11" s="2" t="s">
        <v>2940</v>
      </c>
      <c r="E11" s="2" t="s">
        <v>4246</v>
      </c>
      <c r="F11" s="2" t="s">
        <v>4247</v>
      </c>
      <c r="G11" s="2" t="s">
        <v>20</v>
      </c>
      <c r="H11" s="2" t="s">
        <v>4248</v>
      </c>
      <c r="I11" s="2" t="s">
        <v>4249</v>
      </c>
      <c r="J11" s="2" t="n">
        <v>2</v>
      </c>
    </row>
    <row r="12" customFormat="false" ht="46.25" hidden="false" customHeight="false" outlineLevel="0" collapsed="false">
      <c r="A12" s="2" t="s">
        <v>4250</v>
      </c>
      <c r="B12" s="2" t="s">
        <v>8068</v>
      </c>
      <c r="C12" s="2" t="s">
        <v>4251</v>
      </c>
      <c r="D12" s="2" t="s">
        <v>4252</v>
      </c>
      <c r="E12" s="2" t="s">
        <v>4253</v>
      </c>
      <c r="F12" s="2" t="s">
        <v>4254</v>
      </c>
      <c r="G12" s="2" t="s">
        <v>226</v>
      </c>
      <c r="H12" s="2" t="s">
        <v>4255</v>
      </c>
      <c r="I12" s="2" t="s">
        <v>4249</v>
      </c>
      <c r="J12" s="2" t="n">
        <v>1</v>
      </c>
    </row>
    <row r="13" customFormat="false" ht="91" hidden="false" customHeight="false" outlineLevel="0" collapsed="false">
      <c r="A13" s="2" t="s">
        <v>4256</v>
      </c>
      <c r="B13" s="2" t="s">
        <v>8068</v>
      </c>
      <c r="C13" s="2" t="s">
        <v>4257</v>
      </c>
      <c r="D13" s="2" t="s">
        <v>4258</v>
      </c>
      <c r="E13" s="2" t="s">
        <v>4259</v>
      </c>
      <c r="F13" s="2" t="s">
        <v>4260</v>
      </c>
      <c r="G13" s="2" t="s">
        <v>20</v>
      </c>
      <c r="H13" s="2" t="s">
        <v>4261</v>
      </c>
      <c r="I13" s="2" t="s">
        <v>4249</v>
      </c>
      <c r="J13" s="2" t="n">
        <v>3</v>
      </c>
    </row>
    <row r="14" customFormat="false" ht="76.1" hidden="false" customHeight="false" outlineLevel="0" collapsed="false">
      <c r="A14" s="2" t="s">
        <v>4262</v>
      </c>
      <c r="B14" s="2" t="s">
        <v>8068</v>
      </c>
      <c r="C14" s="2" t="s">
        <v>4263</v>
      </c>
      <c r="D14" s="2" t="s">
        <v>4264</v>
      </c>
      <c r="E14" s="2" t="s">
        <v>4265</v>
      </c>
      <c r="F14" s="2" t="s">
        <v>4266</v>
      </c>
      <c r="G14" s="2" t="s">
        <v>226</v>
      </c>
      <c r="H14" s="2" t="s">
        <v>4267</v>
      </c>
      <c r="I14" s="2" t="s">
        <v>4249</v>
      </c>
      <c r="J14" s="2" t="n">
        <v>3</v>
      </c>
    </row>
    <row r="15" customFormat="false" ht="61.15" hidden="false" customHeight="false" outlineLevel="0" collapsed="false">
      <c r="A15" s="2" t="s">
        <v>4268</v>
      </c>
      <c r="B15" s="2" t="s">
        <v>8069</v>
      </c>
      <c r="C15" s="2" t="s">
        <v>4269</v>
      </c>
      <c r="D15" s="2" t="s">
        <v>4270</v>
      </c>
      <c r="E15" s="2" t="s">
        <v>4271</v>
      </c>
      <c r="F15" s="2" t="s">
        <v>4272</v>
      </c>
      <c r="G15" s="2" t="s">
        <v>28</v>
      </c>
      <c r="H15" s="2" t="s">
        <v>4273</v>
      </c>
      <c r="I15" s="2" t="s">
        <v>4249</v>
      </c>
      <c r="J15" s="2" t="n">
        <v>2</v>
      </c>
    </row>
    <row r="16" customFormat="false" ht="91" hidden="false" customHeight="false" outlineLevel="0" collapsed="false">
      <c r="A16" s="2" t="s">
        <v>4274</v>
      </c>
      <c r="B16" s="2" t="s">
        <v>8068</v>
      </c>
      <c r="C16" s="2" t="s">
        <v>4275</v>
      </c>
      <c r="D16" s="2" t="s">
        <v>4276</v>
      </c>
      <c r="E16" s="2" t="s">
        <v>4277</v>
      </c>
      <c r="F16" s="2" t="s">
        <v>4278</v>
      </c>
      <c r="G16" s="2" t="s">
        <v>20</v>
      </c>
      <c r="H16" s="2" t="s">
        <v>4279</v>
      </c>
      <c r="I16" s="2" t="s">
        <v>4196</v>
      </c>
      <c r="J16" s="2" t="n">
        <v>2</v>
      </c>
    </row>
    <row r="17" customFormat="false" ht="61.15" hidden="false" customHeight="false" outlineLevel="0" collapsed="false">
      <c r="A17" s="2" t="s">
        <v>4280</v>
      </c>
      <c r="B17" s="2" t="s">
        <v>8068</v>
      </c>
      <c r="C17" s="2" t="s">
        <v>4281</v>
      </c>
      <c r="D17" s="2" t="s">
        <v>4282</v>
      </c>
      <c r="E17" s="2" t="s">
        <v>4283</v>
      </c>
      <c r="F17" s="2" t="s">
        <v>4284</v>
      </c>
      <c r="G17" s="2" t="s">
        <v>20</v>
      </c>
      <c r="H17" s="2" t="s">
        <v>4285</v>
      </c>
      <c r="I17" s="2" t="s">
        <v>4196</v>
      </c>
      <c r="J17" s="2" t="n">
        <v>2</v>
      </c>
    </row>
    <row r="18" customFormat="false" ht="76.1" hidden="false" customHeight="false" outlineLevel="0" collapsed="false">
      <c r="A18" s="2" t="s">
        <v>4286</v>
      </c>
      <c r="B18" s="2" t="s">
        <v>8068</v>
      </c>
      <c r="C18" s="2" t="s">
        <v>4287</v>
      </c>
      <c r="D18" s="2" t="s">
        <v>4288</v>
      </c>
      <c r="E18" s="2" t="s">
        <v>4289</v>
      </c>
      <c r="F18" s="2" t="s">
        <v>4290</v>
      </c>
      <c r="G18" s="2" t="s">
        <v>20</v>
      </c>
      <c r="H18" s="2" t="s">
        <v>4291</v>
      </c>
      <c r="I18" s="2" t="s">
        <v>4196</v>
      </c>
      <c r="J18" s="2" t="n">
        <v>2</v>
      </c>
    </row>
    <row r="19" customFormat="false" ht="61.15" hidden="false" customHeight="false" outlineLevel="0" collapsed="false">
      <c r="A19" s="2" t="s">
        <v>4292</v>
      </c>
      <c r="B19" s="2" t="s">
        <v>8068</v>
      </c>
      <c r="C19" s="2" t="s">
        <v>4293</v>
      </c>
      <c r="D19" s="2" t="s">
        <v>1948</v>
      </c>
      <c r="E19" s="2" t="s">
        <v>4294</v>
      </c>
      <c r="F19" s="2" t="s">
        <v>4295</v>
      </c>
      <c r="G19" s="2" t="s">
        <v>20</v>
      </c>
      <c r="H19" s="2" t="s">
        <v>4296</v>
      </c>
      <c r="I19" s="2" t="s">
        <v>4196</v>
      </c>
      <c r="J19" s="2" t="n">
        <v>2</v>
      </c>
    </row>
    <row r="20" customFormat="false" ht="76.1" hidden="false" customHeight="false" outlineLevel="0" collapsed="false">
      <c r="A20" s="2" t="s">
        <v>4297</v>
      </c>
      <c r="B20" s="2" t="s">
        <v>8068</v>
      </c>
      <c r="C20" s="2" t="s">
        <v>4298</v>
      </c>
      <c r="D20" s="2" t="s">
        <v>4299</v>
      </c>
      <c r="E20" s="2" t="s">
        <v>4300</v>
      </c>
      <c r="F20" s="2" t="s">
        <v>4301</v>
      </c>
      <c r="G20" s="2" t="s">
        <v>20</v>
      </c>
      <c r="H20" s="2" t="s">
        <v>4302</v>
      </c>
      <c r="I20" s="2" t="s">
        <v>4196</v>
      </c>
      <c r="J20" s="2" t="n">
        <v>2</v>
      </c>
    </row>
    <row r="21" customFormat="false" ht="120.85" hidden="false" customHeight="false" outlineLevel="0" collapsed="false">
      <c r="A21" s="2" t="s">
        <v>4303</v>
      </c>
      <c r="B21" s="2" t="s">
        <v>8068</v>
      </c>
      <c r="C21" s="2" t="s">
        <v>4304</v>
      </c>
      <c r="D21" s="2" t="s">
        <v>4156</v>
      </c>
      <c r="E21" s="2" t="s">
        <v>4305</v>
      </c>
      <c r="F21" s="2" t="s">
        <v>4306</v>
      </c>
      <c r="G21" s="2" t="s">
        <v>20</v>
      </c>
      <c r="H21" s="2" t="s">
        <v>4307</v>
      </c>
      <c r="I21" s="2" t="s">
        <v>4249</v>
      </c>
      <c r="J21" s="2" t="n">
        <v>3</v>
      </c>
    </row>
    <row r="22" customFormat="false" ht="61.15" hidden="false" customHeight="false" outlineLevel="0" collapsed="false">
      <c r="A22" s="2" t="s">
        <v>4308</v>
      </c>
      <c r="B22" s="2" t="s">
        <v>8068</v>
      </c>
      <c r="C22" s="2" t="s">
        <v>4309</v>
      </c>
      <c r="D22" s="2" t="s">
        <v>4310</v>
      </c>
      <c r="E22" s="2" t="s">
        <v>4311</v>
      </c>
      <c r="F22" s="2" t="s">
        <v>4312</v>
      </c>
      <c r="G22" s="2" t="s">
        <v>20</v>
      </c>
      <c r="H22" s="2" t="s">
        <v>4313</v>
      </c>
      <c r="I22" s="2" t="s">
        <v>4196</v>
      </c>
      <c r="J22" s="2" t="n">
        <v>2</v>
      </c>
    </row>
    <row r="23" customFormat="false" ht="61.15" hidden="false" customHeight="false" outlineLevel="0" collapsed="false">
      <c r="A23" s="2" t="s">
        <v>4314</v>
      </c>
      <c r="B23" s="2" t="s">
        <v>8068</v>
      </c>
      <c r="C23" s="2" t="s">
        <v>4315</v>
      </c>
      <c r="D23" s="2" t="s">
        <v>4316</v>
      </c>
      <c r="E23" s="2" t="s">
        <v>4317</v>
      </c>
      <c r="F23" s="2" t="s">
        <v>4318</v>
      </c>
      <c r="G23" s="2" t="s">
        <v>20</v>
      </c>
      <c r="H23" s="2" t="s">
        <v>4319</v>
      </c>
      <c r="I23" s="2" t="s">
        <v>4196</v>
      </c>
      <c r="J23" s="2" t="n">
        <v>2</v>
      </c>
    </row>
    <row r="24" customFormat="false" ht="91" hidden="false" customHeight="false" outlineLevel="0" collapsed="false">
      <c r="A24" s="2" t="s">
        <v>4320</v>
      </c>
      <c r="B24" s="2" t="s">
        <v>8068</v>
      </c>
      <c r="C24" s="2" t="s">
        <v>4321</v>
      </c>
      <c r="D24" s="2" t="s">
        <v>4322</v>
      </c>
      <c r="E24" s="2" t="s">
        <v>4323</v>
      </c>
      <c r="F24" s="2" t="s">
        <v>4324</v>
      </c>
      <c r="G24" s="2" t="s">
        <v>20</v>
      </c>
      <c r="H24" s="2" t="s">
        <v>4325</v>
      </c>
      <c r="I24" s="2" t="s">
        <v>4196</v>
      </c>
      <c r="J24" s="2" t="n">
        <v>2</v>
      </c>
    </row>
    <row r="25" customFormat="false" ht="61.15" hidden="false" customHeight="false" outlineLevel="0" collapsed="false">
      <c r="A25" s="2" t="s">
        <v>4326</v>
      </c>
      <c r="B25" s="2" t="s">
        <v>8068</v>
      </c>
      <c r="C25" s="2" t="s">
        <v>4327</v>
      </c>
      <c r="D25" s="2" t="s">
        <v>4328</v>
      </c>
      <c r="E25" s="2" t="s">
        <v>4329</v>
      </c>
      <c r="F25" s="2" t="s">
        <v>4330</v>
      </c>
      <c r="G25" s="2" t="s">
        <v>20</v>
      </c>
      <c r="H25" s="2" t="s">
        <v>4331</v>
      </c>
      <c r="I25" s="2" t="s">
        <v>4196</v>
      </c>
      <c r="J25" s="2" t="n">
        <v>2</v>
      </c>
    </row>
    <row r="26" customFormat="false" ht="46.25" hidden="false" customHeight="false" outlineLevel="0" collapsed="false">
      <c r="A26" s="2" t="s">
        <v>4332</v>
      </c>
      <c r="B26" s="2" t="s">
        <v>8068</v>
      </c>
      <c r="C26" s="2" t="s">
        <v>4333</v>
      </c>
      <c r="D26" s="2" t="s">
        <v>2940</v>
      </c>
      <c r="E26" s="2" t="s">
        <v>4334</v>
      </c>
      <c r="F26" s="2" t="s">
        <v>4335</v>
      </c>
      <c r="G26" s="2" t="s">
        <v>20</v>
      </c>
      <c r="H26" s="2" t="s">
        <v>4336</v>
      </c>
      <c r="I26" s="2" t="s">
        <v>4196</v>
      </c>
      <c r="J26" s="2" t="n">
        <v>2</v>
      </c>
    </row>
    <row r="27" customFormat="false" ht="76.1" hidden="false" customHeight="false" outlineLevel="0" collapsed="false">
      <c r="A27" s="2" t="s">
        <v>4337</v>
      </c>
      <c r="B27" s="2" t="s">
        <v>8068</v>
      </c>
      <c r="C27" s="2" t="s">
        <v>4338</v>
      </c>
      <c r="D27" s="2" t="s">
        <v>4339</v>
      </c>
      <c r="E27" s="2" t="s">
        <v>4340</v>
      </c>
      <c r="F27" s="2" t="s">
        <v>4341</v>
      </c>
      <c r="G27" s="2" t="s">
        <v>20</v>
      </c>
      <c r="H27" s="2" t="s">
        <v>4342</v>
      </c>
      <c r="I27" s="2" t="s">
        <v>4196</v>
      </c>
      <c r="J27" s="2" t="n">
        <v>3</v>
      </c>
    </row>
    <row r="28" customFormat="false" ht="91" hidden="false" customHeight="false" outlineLevel="0" collapsed="false">
      <c r="A28" s="2" t="s">
        <v>4343</v>
      </c>
      <c r="B28" s="2" t="s">
        <v>8068</v>
      </c>
      <c r="C28" s="2" t="s">
        <v>4344</v>
      </c>
      <c r="D28" s="2" t="s">
        <v>4345</v>
      </c>
      <c r="E28" s="2" t="s">
        <v>4346</v>
      </c>
      <c r="F28" s="2" t="s">
        <v>4347</v>
      </c>
      <c r="G28" s="2" t="s">
        <v>20</v>
      </c>
      <c r="H28" s="2" t="s">
        <v>4348</v>
      </c>
      <c r="I28" s="2" t="s">
        <v>4196</v>
      </c>
      <c r="J28" s="2" t="n">
        <v>4</v>
      </c>
    </row>
    <row r="29" customFormat="false" ht="76.1" hidden="false" customHeight="false" outlineLevel="0" collapsed="false">
      <c r="A29" s="2" t="s">
        <v>4349</v>
      </c>
      <c r="B29" s="2" t="s">
        <v>8068</v>
      </c>
      <c r="C29" s="2" t="s">
        <v>4350</v>
      </c>
      <c r="D29" s="2" t="s">
        <v>4351</v>
      </c>
      <c r="E29" s="2" t="s">
        <v>4352</v>
      </c>
      <c r="F29" s="2" t="s">
        <v>4353</v>
      </c>
      <c r="G29" s="2" t="s">
        <v>20</v>
      </c>
      <c r="H29" s="2" t="s">
        <v>4354</v>
      </c>
      <c r="I29" s="2" t="s">
        <v>4196</v>
      </c>
      <c r="J29" s="2" t="n">
        <v>3</v>
      </c>
    </row>
    <row r="30" customFormat="false" ht="76.1" hidden="false" customHeight="false" outlineLevel="0" collapsed="false">
      <c r="A30" s="2" t="s">
        <v>4355</v>
      </c>
      <c r="B30" s="2" t="s">
        <v>8068</v>
      </c>
      <c r="C30" s="2" t="s">
        <v>4356</v>
      </c>
      <c r="D30" s="2" t="s">
        <v>4357</v>
      </c>
      <c r="E30" s="2" t="s">
        <v>4358</v>
      </c>
      <c r="F30" s="2" t="s">
        <v>4359</v>
      </c>
      <c r="G30" s="2" t="s">
        <v>20</v>
      </c>
      <c r="H30" s="2" t="s">
        <v>4360</v>
      </c>
      <c r="I30" s="2" t="s">
        <v>4196</v>
      </c>
      <c r="J30" s="2" t="n">
        <v>3</v>
      </c>
    </row>
    <row r="31" customFormat="false" ht="91" hidden="false" customHeight="false" outlineLevel="0" collapsed="false">
      <c r="A31" s="2" t="s">
        <v>4361</v>
      </c>
      <c r="B31" s="2" t="s">
        <v>8068</v>
      </c>
      <c r="C31" s="2" t="s">
        <v>4362</v>
      </c>
      <c r="D31" s="2" t="s">
        <v>4363</v>
      </c>
      <c r="E31" s="2" t="s">
        <v>4364</v>
      </c>
      <c r="F31" s="2" t="s">
        <v>4365</v>
      </c>
      <c r="G31" s="2" t="s">
        <v>20</v>
      </c>
      <c r="H31" s="2" t="s">
        <v>4366</v>
      </c>
      <c r="I31" s="2" t="s">
        <v>4196</v>
      </c>
      <c r="J31" s="2" t="n">
        <v>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customHeight="false"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45"/>
    <col collapsed="false" customWidth="true" hidden="false" outlineLevel="0" max="6" min="4" style="0" width="32"/>
    <col collapsed="false" customWidth="true" hidden="false" outlineLevel="0" max="7" min="7" style="0" width="9"/>
    <col collapsed="false" customWidth="true" hidden="false" outlineLevel="0" max="8" min="8" style="0" width="42"/>
    <col collapsed="false" customWidth="true" hidden="false" outlineLevel="0" max="9" min="9" style="0" width="20"/>
    <col collapsed="false" customWidth="true" hidden="false" outlineLevel="0" max="10" min="10" style="0" width="10"/>
  </cols>
  <sheetData>
    <row r="1" customFormat="false" ht="16.4" hidden="false" customHeight="false" outlineLevel="0" collapsed="false">
      <c r="A1" s="1" t="s">
        <v>0</v>
      </c>
      <c r="B1" s="1" t="s">
        <v>8067</v>
      </c>
      <c r="C1" s="1" t="s">
        <v>3</v>
      </c>
      <c r="D1" s="1" t="s">
        <v>4</v>
      </c>
      <c r="E1" s="1" t="s">
        <v>5</v>
      </c>
      <c r="F1" s="1" t="s">
        <v>6</v>
      </c>
      <c r="G1" s="1" t="s">
        <v>7</v>
      </c>
      <c r="H1" s="1" t="s">
        <v>8</v>
      </c>
      <c r="I1" s="1" t="s">
        <v>9</v>
      </c>
      <c r="J1" s="1" t="s">
        <v>11</v>
      </c>
    </row>
    <row r="2" customFormat="false" ht="46.25" hidden="false" customHeight="false" outlineLevel="0" collapsed="false">
      <c r="A2" s="2" t="s">
        <v>4367</v>
      </c>
      <c r="B2" s="2" t="s">
        <v>8068</v>
      </c>
      <c r="C2" s="2" t="s">
        <v>4369</v>
      </c>
      <c r="D2" s="2" t="s">
        <v>1833</v>
      </c>
      <c r="E2" s="2" t="s">
        <v>2356</v>
      </c>
      <c r="F2" s="2" t="s">
        <v>4370</v>
      </c>
      <c r="G2" s="2" t="s">
        <v>20</v>
      </c>
      <c r="H2" s="2" t="s">
        <v>4371</v>
      </c>
      <c r="I2" s="2" t="s">
        <v>4372</v>
      </c>
      <c r="J2" s="2" t="n">
        <v>2</v>
      </c>
    </row>
    <row r="3" customFormat="false" ht="61.15" hidden="false" customHeight="false" outlineLevel="0" collapsed="false">
      <c r="A3" s="2" t="s">
        <v>4373</v>
      </c>
      <c r="B3" s="2" t="s">
        <v>8068</v>
      </c>
      <c r="C3" s="2" t="s">
        <v>4374</v>
      </c>
      <c r="D3" s="2" t="s">
        <v>1948</v>
      </c>
      <c r="E3" s="2" t="s">
        <v>4375</v>
      </c>
      <c r="F3" s="2" t="s">
        <v>4376</v>
      </c>
      <c r="G3" s="2" t="s">
        <v>20</v>
      </c>
      <c r="H3" s="2" t="s">
        <v>4377</v>
      </c>
      <c r="I3" s="2" t="s">
        <v>4372</v>
      </c>
      <c r="J3" s="2" t="n">
        <v>2</v>
      </c>
    </row>
    <row r="4" customFormat="false" ht="91" hidden="false" customHeight="false" outlineLevel="0" collapsed="false">
      <c r="A4" s="2" t="s">
        <v>4378</v>
      </c>
      <c r="B4" s="2" t="s">
        <v>8069</v>
      </c>
      <c r="C4" s="2" t="s">
        <v>4379</v>
      </c>
      <c r="D4" s="2" t="s">
        <v>4380</v>
      </c>
      <c r="E4" s="2" t="s">
        <v>4381</v>
      </c>
      <c r="F4" s="2" t="s">
        <v>4382</v>
      </c>
      <c r="G4" s="2" t="s">
        <v>20</v>
      </c>
      <c r="H4" s="2" t="s">
        <v>4383</v>
      </c>
      <c r="I4" s="2" t="s">
        <v>4384</v>
      </c>
      <c r="J4" s="2" t="n">
        <v>2</v>
      </c>
    </row>
    <row r="5" customFormat="false" ht="61.15" hidden="false" customHeight="false" outlineLevel="0" collapsed="false">
      <c r="A5" s="2" t="s">
        <v>4385</v>
      </c>
      <c r="B5" s="2" t="s">
        <v>8069</v>
      </c>
      <c r="C5" s="2" t="s">
        <v>4386</v>
      </c>
      <c r="D5" s="2" t="s">
        <v>4387</v>
      </c>
      <c r="E5" s="2" t="s">
        <v>4388</v>
      </c>
      <c r="F5" s="2" t="s">
        <v>4389</v>
      </c>
      <c r="G5" s="2" t="s">
        <v>20</v>
      </c>
      <c r="H5" s="2" t="s">
        <v>4390</v>
      </c>
      <c r="I5" s="2" t="s">
        <v>4384</v>
      </c>
      <c r="J5" s="2" t="n">
        <v>2</v>
      </c>
    </row>
    <row r="6" customFormat="false" ht="61.15" hidden="false" customHeight="false" outlineLevel="0" collapsed="false">
      <c r="A6" s="2" t="s">
        <v>4391</v>
      </c>
      <c r="B6" s="2" t="s">
        <v>8068</v>
      </c>
      <c r="C6" s="2" t="s">
        <v>4392</v>
      </c>
      <c r="D6" s="2" t="s">
        <v>2727</v>
      </c>
      <c r="E6" s="2" t="s">
        <v>4393</v>
      </c>
      <c r="F6" s="2" t="s">
        <v>4394</v>
      </c>
      <c r="G6" s="2" t="s">
        <v>20</v>
      </c>
      <c r="H6" s="2" t="s">
        <v>4395</v>
      </c>
      <c r="I6" s="2" t="s">
        <v>4396</v>
      </c>
      <c r="J6" s="2" t="n">
        <v>2</v>
      </c>
    </row>
    <row r="7" customFormat="false" ht="61.15" hidden="false" customHeight="false" outlineLevel="0" collapsed="false">
      <c r="A7" s="2" t="s">
        <v>4397</v>
      </c>
      <c r="B7" s="2" t="s">
        <v>8069</v>
      </c>
      <c r="C7" s="2" t="s">
        <v>4398</v>
      </c>
      <c r="D7" s="2" t="s">
        <v>4399</v>
      </c>
      <c r="E7" s="2" t="s">
        <v>4400</v>
      </c>
      <c r="F7" s="2" t="s">
        <v>4401</v>
      </c>
      <c r="G7" s="2" t="s">
        <v>20</v>
      </c>
      <c r="H7" s="2" t="s">
        <v>4402</v>
      </c>
      <c r="I7" s="2" t="s">
        <v>4396</v>
      </c>
      <c r="J7" s="2" t="n">
        <v>2</v>
      </c>
    </row>
    <row r="8" customFormat="false" ht="61.15" hidden="false" customHeight="false" outlineLevel="0" collapsed="false">
      <c r="A8" s="2" t="s">
        <v>4403</v>
      </c>
      <c r="B8" s="2" t="s">
        <v>8068</v>
      </c>
      <c r="C8" s="2" t="s">
        <v>4404</v>
      </c>
      <c r="D8" s="2" t="s">
        <v>4405</v>
      </c>
      <c r="E8" s="2" t="s">
        <v>4406</v>
      </c>
      <c r="F8" s="2" t="s">
        <v>4407</v>
      </c>
      <c r="G8" s="2" t="s">
        <v>226</v>
      </c>
      <c r="H8" s="2" t="s">
        <v>4408</v>
      </c>
      <c r="I8" s="2" t="s">
        <v>4396</v>
      </c>
      <c r="J8" s="2" t="n">
        <v>2</v>
      </c>
    </row>
    <row r="9" customFormat="false" ht="76.1" hidden="false" customHeight="false" outlineLevel="0" collapsed="false">
      <c r="A9" s="2" t="s">
        <v>4409</v>
      </c>
      <c r="B9" s="2" t="s">
        <v>8069</v>
      </c>
      <c r="C9" s="2" t="s">
        <v>4410</v>
      </c>
      <c r="D9" s="2" t="s">
        <v>4411</v>
      </c>
      <c r="E9" s="2" t="s">
        <v>4412</v>
      </c>
      <c r="F9" s="2" t="s">
        <v>4413</v>
      </c>
      <c r="G9" s="2" t="s">
        <v>20</v>
      </c>
      <c r="H9" s="2" t="s">
        <v>4414</v>
      </c>
      <c r="I9" s="2" t="s">
        <v>4396</v>
      </c>
      <c r="J9" s="2" t="n">
        <v>2</v>
      </c>
    </row>
    <row r="10" customFormat="false" ht="61.15" hidden="false" customHeight="false" outlineLevel="0" collapsed="false">
      <c r="A10" s="2" t="s">
        <v>4415</v>
      </c>
      <c r="B10" s="2" t="s">
        <v>8069</v>
      </c>
      <c r="C10" s="2" t="s">
        <v>4416</v>
      </c>
      <c r="D10" s="2" t="s">
        <v>4417</v>
      </c>
      <c r="E10" s="2" t="s">
        <v>4418</v>
      </c>
      <c r="F10" s="2" t="s">
        <v>4419</v>
      </c>
      <c r="G10" s="2" t="s">
        <v>226</v>
      </c>
      <c r="H10" s="2" t="s">
        <v>4420</v>
      </c>
      <c r="I10" s="2" t="s">
        <v>4396</v>
      </c>
      <c r="J10" s="2" t="n">
        <v>2</v>
      </c>
    </row>
    <row r="11" customFormat="false" ht="76.1" hidden="false" customHeight="false" outlineLevel="0" collapsed="false">
      <c r="A11" s="2" t="s">
        <v>4421</v>
      </c>
      <c r="B11" s="2" t="s">
        <v>8068</v>
      </c>
      <c r="C11" s="2" t="s">
        <v>4422</v>
      </c>
      <c r="D11" s="2" t="s">
        <v>4423</v>
      </c>
      <c r="E11" s="2" t="s">
        <v>4424</v>
      </c>
      <c r="F11" s="2" t="s">
        <v>4425</v>
      </c>
      <c r="G11" s="2" t="s">
        <v>28</v>
      </c>
      <c r="H11" s="2" t="s">
        <v>4426</v>
      </c>
      <c r="I11" s="2" t="s">
        <v>4396</v>
      </c>
      <c r="J11" s="2" t="n">
        <v>2</v>
      </c>
    </row>
    <row r="12" customFormat="false" ht="76.1" hidden="false" customHeight="false" outlineLevel="0" collapsed="false">
      <c r="A12" s="2" t="s">
        <v>4427</v>
      </c>
      <c r="B12" s="2" t="s">
        <v>8068</v>
      </c>
      <c r="C12" s="2" t="s">
        <v>4428</v>
      </c>
      <c r="D12" s="2" t="s">
        <v>4429</v>
      </c>
      <c r="E12" s="2" t="s">
        <v>4430</v>
      </c>
      <c r="F12" s="2" t="s">
        <v>4431</v>
      </c>
      <c r="G12" s="2" t="s">
        <v>20</v>
      </c>
      <c r="H12" s="2" t="s">
        <v>4432</v>
      </c>
      <c r="I12" s="2" t="s">
        <v>4396</v>
      </c>
      <c r="J12" s="2" t="n">
        <v>3</v>
      </c>
    </row>
    <row r="13" customFormat="false" ht="46.25" hidden="false" customHeight="false" outlineLevel="0" collapsed="false">
      <c r="A13" s="2" t="s">
        <v>4433</v>
      </c>
      <c r="B13" s="2" t="s">
        <v>8068</v>
      </c>
      <c r="C13" s="2" t="s">
        <v>4434</v>
      </c>
      <c r="D13" s="2" t="s">
        <v>4435</v>
      </c>
      <c r="E13" s="2" t="s">
        <v>4436</v>
      </c>
      <c r="F13" s="2" t="s">
        <v>4437</v>
      </c>
      <c r="G13" s="2" t="s">
        <v>20</v>
      </c>
      <c r="H13" s="2" t="s">
        <v>4438</v>
      </c>
      <c r="I13" s="2" t="s">
        <v>4396</v>
      </c>
      <c r="J13" s="2" t="n">
        <v>3</v>
      </c>
    </row>
    <row r="14" customFormat="false" ht="61.15" hidden="false" customHeight="false" outlineLevel="0" collapsed="false">
      <c r="A14" s="2" t="s">
        <v>4439</v>
      </c>
      <c r="B14" s="2" t="s">
        <v>8069</v>
      </c>
      <c r="C14" s="2" t="s">
        <v>4440</v>
      </c>
      <c r="D14" s="2" t="s">
        <v>4441</v>
      </c>
      <c r="E14" s="2" t="s">
        <v>4442</v>
      </c>
      <c r="F14" s="2" t="s">
        <v>4443</v>
      </c>
      <c r="G14" s="2" t="s">
        <v>20</v>
      </c>
      <c r="H14" s="2" t="s">
        <v>4444</v>
      </c>
      <c r="I14" s="2" t="s">
        <v>4396</v>
      </c>
      <c r="J14" s="2" t="n">
        <v>2</v>
      </c>
    </row>
    <row r="15" customFormat="false" ht="61.15" hidden="false" customHeight="false" outlineLevel="0" collapsed="false">
      <c r="A15" s="2" t="s">
        <v>4445</v>
      </c>
      <c r="B15" s="2" t="s">
        <v>8069</v>
      </c>
      <c r="C15" s="2" t="s">
        <v>4446</v>
      </c>
      <c r="D15" s="2" t="s">
        <v>4447</v>
      </c>
      <c r="E15" s="2" t="s">
        <v>4448</v>
      </c>
      <c r="F15" s="2" t="s">
        <v>4449</v>
      </c>
      <c r="G15" s="2" t="s">
        <v>20</v>
      </c>
      <c r="H15" s="2" t="s">
        <v>4450</v>
      </c>
      <c r="I15" s="2" t="s">
        <v>4396</v>
      </c>
      <c r="J15" s="2" t="n">
        <v>2</v>
      </c>
    </row>
    <row r="16" customFormat="false" ht="76.1" hidden="false" customHeight="false" outlineLevel="0" collapsed="false">
      <c r="A16" s="2" t="s">
        <v>4451</v>
      </c>
      <c r="B16" s="2" t="s">
        <v>8068</v>
      </c>
      <c r="C16" s="2" t="s">
        <v>4452</v>
      </c>
      <c r="D16" s="2" t="s">
        <v>4453</v>
      </c>
      <c r="E16" s="2" t="s">
        <v>4454</v>
      </c>
      <c r="F16" s="2" t="s">
        <v>4455</v>
      </c>
      <c r="G16" s="2" t="s">
        <v>28</v>
      </c>
      <c r="H16" s="2" t="s">
        <v>4456</v>
      </c>
      <c r="I16" s="2" t="s">
        <v>4396</v>
      </c>
      <c r="J16" s="2" t="n">
        <v>2</v>
      </c>
    </row>
    <row r="17" customFormat="false" ht="46.25" hidden="false" customHeight="false" outlineLevel="0" collapsed="false">
      <c r="A17" s="2" t="s">
        <v>4457</v>
      </c>
      <c r="B17" s="2" t="s">
        <v>8068</v>
      </c>
      <c r="C17" s="2" t="s">
        <v>4458</v>
      </c>
      <c r="D17" s="2" t="s">
        <v>4459</v>
      </c>
      <c r="E17" s="2" t="s">
        <v>4460</v>
      </c>
      <c r="F17" s="2" t="s">
        <v>4461</v>
      </c>
      <c r="G17" s="2" t="s">
        <v>20</v>
      </c>
      <c r="H17" s="2" t="s">
        <v>4462</v>
      </c>
      <c r="I17" s="2" t="s">
        <v>4396</v>
      </c>
      <c r="J17" s="2" t="n">
        <v>2</v>
      </c>
    </row>
    <row r="18" customFormat="false" ht="61.15" hidden="false" customHeight="false" outlineLevel="0" collapsed="false">
      <c r="A18" s="2" t="s">
        <v>4463</v>
      </c>
      <c r="B18" s="2" t="s">
        <v>8068</v>
      </c>
      <c r="C18" s="2" t="s">
        <v>4464</v>
      </c>
      <c r="D18" s="2" t="s">
        <v>4465</v>
      </c>
      <c r="E18" s="2" t="s">
        <v>4466</v>
      </c>
      <c r="F18" s="2" t="s">
        <v>4467</v>
      </c>
      <c r="G18" s="2" t="s">
        <v>20</v>
      </c>
      <c r="H18" s="2" t="s">
        <v>4468</v>
      </c>
      <c r="I18" s="2" t="s">
        <v>4396</v>
      </c>
      <c r="J18" s="2" t="n">
        <v>3</v>
      </c>
    </row>
    <row r="19" customFormat="false" ht="46.25" hidden="false" customHeight="false" outlineLevel="0" collapsed="false">
      <c r="A19" s="2" t="s">
        <v>4469</v>
      </c>
      <c r="B19" s="2" t="s">
        <v>8068</v>
      </c>
      <c r="C19" s="2" t="s">
        <v>4470</v>
      </c>
      <c r="D19" s="2" t="s">
        <v>4471</v>
      </c>
      <c r="E19" s="2" t="s">
        <v>4472</v>
      </c>
      <c r="F19" s="2" t="s">
        <v>4473</v>
      </c>
      <c r="G19" s="2" t="s">
        <v>20</v>
      </c>
      <c r="H19" s="2" t="s">
        <v>4474</v>
      </c>
      <c r="I19" s="2" t="s">
        <v>4396</v>
      </c>
      <c r="J19" s="2" t="n">
        <v>3</v>
      </c>
    </row>
    <row r="20" customFormat="false" ht="61.15" hidden="false" customHeight="false" outlineLevel="0" collapsed="false">
      <c r="A20" s="2" t="s">
        <v>4475</v>
      </c>
      <c r="B20" s="2" t="s">
        <v>8068</v>
      </c>
      <c r="C20" s="2" t="s">
        <v>4476</v>
      </c>
      <c r="D20" s="2" t="s">
        <v>4477</v>
      </c>
      <c r="E20" s="2" t="s">
        <v>4478</v>
      </c>
      <c r="F20" s="2" t="s">
        <v>4479</v>
      </c>
      <c r="G20" s="2" t="s">
        <v>226</v>
      </c>
      <c r="H20" s="2" t="s">
        <v>4480</v>
      </c>
      <c r="I20" s="2" t="s">
        <v>4396</v>
      </c>
      <c r="J20" s="2" t="n">
        <v>3</v>
      </c>
    </row>
    <row r="21" customFormat="false" ht="76.1" hidden="false" customHeight="false" outlineLevel="0" collapsed="false">
      <c r="A21" s="2" t="s">
        <v>4481</v>
      </c>
      <c r="B21" s="2" t="s">
        <v>8068</v>
      </c>
      <c r="C21" s="2" t="s">
        <v>4482</v>
      </c>
      <c r="D21" s="2" t="s">
        <v>4483</v>
      </c>
      <c r="E21" s="2" t="s">
        <v>4484</v>
      </c>
      <c r="F21" s="2" t="s">
        <v>4485</v>
      </c>
      <c r="G21" s="2" t="s">
        <v>28</v>
      </c>
      <c r="H21" s="2" t="s">
        <v>4486</v>
      </c>
      <c r="I21" s="2" t="s">
        <v>4396</v>
      </c>
      <c r="J21" s="2" t="n">
        <v>3</v>
      </c>
    </row>
    <row r="22" customFormat="false" ht="76.1" hidden="false" customHeight="false" outlineLevel="0" collapsed="false">
      <c r="A22" s="2" t="s">
        <v>4487</v>
      </c>
      <c r="B22" s="2" t="s">
        <v>8068</v>
      </c>
      <c r="C22" s="2" t="s">
        <v>4488</v>
      </c>
      <c r="D22" s="2" t="s">
        <v>4489</v>
      </c>
      <c r="E22" s="2" t="s">
        <v>4490</v>
      </c>
      <c r="F22" s="2" t="s">
        <v>4491</v>
      </c>
      <c r="G22" s="2" t="s">
        <v>20</v>
      </c>
      <c r="H22" s="2" t="s">
        <v>4492</v>
      </c>
      <c r="I22" s="2" t="s">
        <v>4396</v>
      </c>
      <c r="J22" s="2" t="n">
        <v>2</v>
      </c>
    </row>
    <row r="23" customFormat="false" ht="76.1" hidden="false" customHeight="false" outlineLevel="0" collapsed="false">
      <c r="A23" s="2" t="s">
        <v>4493</v>
      </c>
      <c r="B23" s="2" t="s">
        <v>8068</v>
      </c>
      <c r="C23" s="2" t="s">
        <v>4494</v>
      </c>
      <c r="D23" s="2" t="s">
        <v>4495</v>
      </c>
      <c r="E23" s="2" t="s">
        <v>4496</v>
      </c>
      <c r="F23" s="2" t="s">
        <v>4497</v>
      </c>
      <c r="G23" s="2" t="s">
        <v>20</v>
      </c>
      <c r="H23" s="2" t="s">
        <v>4498</v>
      </c>
      <c r="I23" s="2" t="s">
        <v>4396</v>
      </c>
      <c r="J23" s="2" t="n">
        <v>2</v>
      </c>
    </row>
    <row r="24" customFormat="false" ht="61.15" hidden="false" customHeight="false" outlineLevel="0" collapsed="false">
      <c r="A24" s="2" t="s">
        <v>4499</v>
      </c>
      <c r="B24" s="2" t="s">
        <v>8068</v>
      </c>
      <c r="C24" s="2" t="s">
        <v>4500</v>
      </c>
      <c r="D24" s="2" t="s">
        <v>4501</v>
      </c>
      <c r="E24" s="2" t="s">
        <v>4502</v>
      </c>
      <c r="F24" s="2" t="s">
        <v>4503</v>
      </c>
      <c r="G24" s="2" t="s">
        <v>20</v>
      </c>
      <c r="H24" s="2" t="s">
        <v>4504</v>
      </c>
      <c r="I24" s="2" t="s">
        <v>4396</v>
      </c>
      <c r="J24" s="2" t="n">
        <v>2</v>
      </c>
    </row>
    <row r="25" customFormat="false" ht="61.15" hidden="false" customHeight="false" outlineLevel="0" collapsed="false">
      <c r="A25" s="2" t="s">
        <v>4505</v>
      </c>
      <c r="B25" s="2" t="s">
        <v>8068</v>
      </c>
      <c r="C25" s="2" t="s">
        <v>4506</v>
      </c>
      <c r="D25" s="2" t="s">
        <v>4507</v>
      </c>
      <c r="E25" s="2" t="s">
        <v>4508</v>
      </c>
      <c r="F25" s="2" t="s">
        <v>4509</v>
      </c>
      <c r="G25" s="2" t="s">
        <v>226</v>
      </c>
      <c r="H25" s="2" t="s">
        <v>4510</v>
      </c>
      <c r="I25" s="2" t="s">
        <v>4396</v>
      </c>
      <c r="J25" s="2" t="n">
        <v>2</v>
      </c>
    </row>
    <row r="26" customFormat="false" ht="61.15" hidden="false" customHeight="false" outlineLevel="0" collapsed="false">
      <c r="A26" s="2" t="s">
        <v>4511</v>
      </c>
      <c r="B26" s="2" t="s">
        <v>8069</v>
      </c>
      <c r="C26" s="2" t="s">
        <v>4512</v>
      </c>
      <c r="D26" s="2" t="s">
        <v>4513</v>
      </c>
      <c r="E26" s="2" t="s">
        <v>4514</v>
      </c>
      <c r="F26" s="2" t="s">
        <v>4515</v>
      </c>
      <c r="G26" s="2" t="s">
        <v>20</v>
      </c>
      <c r="H26" s="2" t="s">
        <v>4516</v>
      </c>
      <c r="I26" s="2" t="s">
        <v>4396</v>
      </c>
      <c r="J26" s="2" t="n">
        <v>1</v>
      </c>
    </row>
    <row r="27" customFormat="false" ht="61.15" hidden="false" customHeight="false" outlineLevel="0" collapsed="false">
      <c r="A27" s="2" t="s">
        <v>4517</v>
      </c>
      <c r="B27" s="2" t="s">
        <v>8068</v>
      </c>
      <c r="C27" s="2" t="s">
        <v>4518</v>
      </c>
      <c r="D27" s="2" t="s">
        <v>4519</v>
      </c>
      <c r="E27" s="2" t="s">
        <v>4520</v>
      </c>
      <c r="F27" s="2" t="s">
        <v>4521</v>
      </c>
      <c r="G27" s="2" t="s">
        <v>20</v>
      </c>
      <c r="H27" s="2" t="s">
        <v>4522</v>
      </c>
      <c r="I27" s="2" t="s">
        <v>4396</v>
      </c>
      <c r="J27" s="2" t="n">
        <v>2</v>
      </c>
    </row>
    <row r="28" customFormat="false" ht="46.25" hidden="false" customHeight="false" outlineLevel="0" collapsed="false">
      <c r="A28" s="2" t="s">
        <v>4523</v>
      </c>
      <c r="B28" s="2" t="s">
        <v>8068</v>
      </c>
      <c r="C28" s="2" t="s">
        <v>4524</v>
      </c>
      <c r="D28" s="2" t="s">
        <v>4525</v>
      </c>
      <c r="E28" s="2" t="s">
        <v>4526</v>
      </c>
      <c r="F28" s="2" t="s">
        <v>4527</v>
      </c>
      <c r="G28" s="2" t="s">
        <v>20</v>
      </c>
      <c r="H28" s="2" t="s">
        <v>4528</v>
      </c>
      <c r="I28" s="2" t="s">
        <v>4396</v>
      </c>
      <c r="J28" s="2" t="n">
        <v>2</v>
      </c>
    </row>
    <row r="29" customFormat="false" ht="61.15" hidden="false" customHeight="false" outlineLevel="0" collapsed="false">
      <c r="A29" s="2" t="s">
        <v>4529</v>
      </c>
      <c r="B29" s="2" t="s">
        <v>8068</v>
      </c>
      <c r="C29" s="2" t="s">
        <v>4530</v>
      </c>
      <c r="D29" s="2" t="s">
        <v>4531</v>
      </c>
      <c r="E29" s="2" t="s">
        <v>4532</v>
      </c>
      <c r="F29" s="2" t="s">
        <v>4533</v>
      </c>
      <c r="G29" s="2" t="s">
        <v>28</v>
      </c>
      <c r="H29" s="2" t="s">
        <v>4534</v>
      </c>
      <c r="I29" s="2" t="s">
        <v>4396</v>
      </c>
      <c r="J29" s="2" t="n">
        <v>2</v>
      </c>
    </row>
    <row r="30" customFormat="false" ht="76.1" hidden="false" customHeight="false" outlineLevel="0" collapsed="false">
      <c r="A30" s="2" t="s">
        <v>4535</v>
      </c>
      <c r="B30" s="2" t="s">
        <v>8068</v>
      </c>
      <c r="C30" s="2" t="s">
        <v>4536</v>
      </c>
      <c r="D30" s="2" t="s">
        <v>4537</v>
      </c>
      <c r="E30" s="2" t="s">
        <v>4538</v>
      </c>
      <c r="F30" s="2" t="s">
        <v>4539</v>
      </c>
      <c r="G30" s="2" t="s">
        <v>20</v>
      </c>
      <c r="H30" s="2" t="s">
        <v>4540</v>
      </c>
      <c r="I30" s="2" t="s">
        <v>4541</v>
      </c>
      <c r="J30" s="2" t="n">
        <v>3</v>
      </c>
    </row>
    <row r="31" customFormat="false" ht="91" hidden="false" customHeight="false" outlineLevel="0" collapsed="false">
      <c r="A31" s="2" t="s">
        <v>4542</v>
      </c>
      <c r="B31" s="2" t="s">
        <v>8068</v>
      </c>
      <c r="C31" s="2" t="s">
        <v>4543</v>
      </c>
      <c r="D31" s="2" t="s">
        <v>4544</v>
      </c>
      <c r="E31" s="2" t="s">
        <v>4545</v>
      </c>
      <c r="F31" s="2" t="s">
        <v>4546</v>
      </c>
      <c r="G31" s="2" t="s">
        <v>20</v>
      </c>
      <c r="H31" s="2" t="s">
        <v>4547</v>
      </c>
      <c r="I31" s="2" t="s">
        <v>4396</v>
      </c>
      <c r="J31" s="2" t="n">
        <v>2</v>
      </c>
    </row>
    <row r="32" customFormat="false" ht="76.1" hidden="false" customHeight="false" outlineLevel="0" collapsed="false">
      <c r="A32" s="2" t="s">
        <v>4548</v>
      </c>
      <c r="B32" s="2" t="s">
        <v>8068</v>
      </c>
      <c r="C32" s="2" t="s">
        <v>4549</v>
      </c>
      <c r="D32" s="2" t="s">
        <v>1831</v>
      </c>
      <c r="E32" s="2" t="s">
        <v>4550</v>
      </c>
      <c r="F32" s="2" t="s">
        <v>4551</v>
      </c>
      <c r="G32" s="2" t="s">
        <v>20</v>
      </c>
      <c r="H32" s="2" t="s">
        <v>4552</v>
      </c>
      <c r="I32" s="2" t="s">
        <v>4368</v>
      </c>
      <c r="J32" s="2" t="n">
        <v>2</v>
      </c>
    </row>
    <row r="33" customFormat="false" ht="46.25" hidden="false" customHeight="false" outlineLevel="0" collapsed="false">
      <c r="A33" s="2" t="s">
        <v>4553</v>
      </c>
      <c r="B33" s="2" t="s">
        <v>8068</v>
      </c>
      <c r="C33" s="2" t="s">
        <v>4554</v>
      </c>
      <c r="D33" s="2" t="s">
        <v>4555</v>
      </c>
      <c r="E33" s="2" t="s">
        <v>4556</v>
      </c>
      <c r="F33" s="2" t="s">
        <v>4557</v>
      </c>
      <c r="G33" s="2" t="s">
        <v>20</v>
      </c>
      <c r="H33" s="2" t="s">
        <v>4558</v>
      </c>
      <c r="I33" s="2" t="s">
        <v>4368</v>
      </c>
      <c r="J33" s="2" t="n">
        <v>2</v>
      </c>
    </row>
    <row r="34" customFormat="false" ht="61.15" hidden="false" customHeight="false" outlineLevel="0" collapsed="false">
      <c r="A34" s="2" t="s">
        <v>4559</v>
      </c>
      <c r="B34" s="2" t="s">
        <v>8068</v>
      </c>
      <c r="C34" s="2" t="s">
        <v>4560</v>
      </c>
      <c r="D34" s="2" t="s">
        <v>4561</v>
      </c>
      <c r="E34" s="2" t="s">
        <v>4562</v>
      </c>
      <c r="F34" s="2" t="s">
        <v>4563</v>
      </c>
      <c r="G34" s="2" t="s">
        <v>20</v>
      </c>
      <c r="H34" s="2" t="s">
        <v>4564</v>
      </c>
      <c r="I34" s="2" t="s">
        <v>4368</v>
      </c>
      <c r="J34" s="2" t="n">
        <v>2</v>
      </c>
    </row>
    <row r="35" customFormat="false" ht="61.15" hidden="false" customHeight="false" outlineLevel="0" collapsed="false">
      <c r="A35" s="2" t="s">
        <v>4565</v>
      </c>
      <c r="B35" s="2" t="s">
        <v>8068</v>
      </c>
      <c r="C35" s="2" t="s">
        <v>4566</v>
      </c>
      <c r="D35" s="2" t="s">
        <v>4567</v>
      </c>
      <c r="E35" s="2" t="s">
        <v>4568</v>
      </c>
      <c r="F35" s="2" t="s">
        <v>4569</v>
      </c>
      <c r="G35" s="2" t="s">
        <v>20</v>
      </c>
      <c r="H35" s="2" t="s">
        <v>4570</v>
      </c>
      <c r="I35" s="2" t="s">
        <v>4396</v>
      </c>
      <c r="J35" s="2" t="n">
        <v>2</v>
      </c>
    </row>
    <row r="36" customFormat="false" ht="46.25" hidden="false" customHeight="false" outlineLevel="0" collapsed="false">
      <c r="A36" s="2" t="s">
        <v>4571</v>
      </c>
      <c r="B36" s="2" t="s">
        <v>8068</v>
      </c>
      <c r="C36" s="2" t="s">
        <v>4572</v>
      </c>
      <c r="D36" s="2" t="s">
        <v>4573</v>
      </c>
      <c r="E36" s="2" t="s">
        <v>4574</v>
      </c>
      <c r="F36" s="2" t="s">
        <v>4575</v>
      </c>
      <c r="G36" s="2" t="s">
        <v>20</v>
      </c>
      <c r="H36" s="2" t="s">
        <v>4576</v>
      </c>
      <c r="I36" s="2" t="s">
        <v>4368</v>
      </c>
      <c r="J36" s="2" t="n">
        <v>2</v>
      </c>
    </row>
    <row r="37" customFormat="false" ht="61.15" hidden="false" customHeight="false" outlineLevel="0" collapsed="false">
      <c r="A37" s="2" t="s">
        <v>4577</v>
      </c>
      <c r="B37" s="2" t="s">
        <v>8068</v>
      </c>
      <c r="C37" s="2" t="s">
        <v>4578</v>
      </c>
      <c r="D37" s="2" t="s">
        <v>4579</v>
      </c>
      <c r="E37" s="2" t="s">
        <v>4580</v>
      </c>
      <c r="F37" s="2" t="s">
        <v>4581</v>
      </c>
      <c r="G37" s="2" t="s">
        <v>20</v>
      </c>
      <c r="H37" s="2" t="s">
        <v>4582</v>
      </c>
      <c r="I37" s="2" t="s">
        <v>4368</v>
      </c>
      <c r="J37" s="2" t="n">
        <v>2</v>
      </c>
    </row>
    <row r="38" customFormat="false" ht="91" hidden="false" customHeight="false" outlineLevel="0" collapsed="false">
      <c r="A38" s="2" t="s">
        <v>4583</v>
      </c>
      <c r="B38" s="2" t="s">
        <v>8068</v>
      </c>
      <c r="C38" s="2" t="s">
        <v>4584</v>
      </c>
      <c r="D38" s="2" t="s">
        <v>2356</v>
      </c>
      <c r="E38" s="2" t="s">
        <v>4585</v>
      </c>
      <c r="F38" s="2" t="s">
        <v>1831</v>
      </c>
      <c r="G38" s="2" t="s">
        <v>28</v>
      </c>
      <c r="H38" s="2" t="s">
        <v>4586</v>
      </c>
      <c r="I38" s="2" t="s">
        <v>4368</v>
      </c>
      <c r="J38" s="2" t="n">
        <v>3</v>
      </c>
    </row>
    <row r="39" customFormat="false" ht="61.15" hidden="false" customHeight="false" outlineLevel="0" collapsed="false">
      <c r="A39" s="2" t="s">
        <v>4587</v>
      </c>
      <c r="B39" s="2" t="s">
        <v>8068</v>
      </c>
      <c r="C39" s="2" t="s">
        <v>4588</v>
      </c>
      <c r="D39" s="2" t="s">
        <v>4589</v>
      </c>
      <c r="E39" s="2" t="s">
        <v>4590</v>
      </c>
      <c r="F39" s="2" t="s">
        <v>4591</v>
      </c>
      <c r="G39" s="2" t="s">
        <v>20</v>
      </c>
      <c r="H39" s="2" t="s">
        <v>4592</v>
      </c>
      <c r="I39" s="2" t="s">
        <v>4368</v>
      </c>
      <c r="J39" s="2" t="n">
        <v>2</v>
      </c>
    </row>
    <row r="40" customFormat="false" ht="61.15" hidden="false" customHeight="false" outlineLevel="0" collapsed="false">
      <c r="A40" s="2" t="s">
        <v>4593</v>
      </c>
      <c r="B40" s="2" t="s">
        <v>8068</v>
      </c>
      <c r="C40" s="2" t="s">
        <v>4594</v>
      </c>
      <c r="D40" s="2" t="s">
        <v>2958</v>
      </c>
      <c r="E40" s="2" t="s">
        <v>4595</v>
      </c>
      <c r="F40" s="2" t="s">
        <v>4596</v>
      </c>
      <c r="G40" s="2" t="s">
        <v>28</v>
      </c>
      <c r="H40" s="2" t="s">
        <v>4597</v>
      </c>
      <c r="I40" s="2" t="s">
        <v>4368</v>
      </c>
      <c r="J40" s="2" t="n">
        <v>2</v>
      </c>
    </row>
    <row r="41" customFormat="false" ht="61.15" hidden="false" customHeight="false" outlineLevel="0" collapsed="false">
      <c r="A41" s="2" t="s">
        <v>4598</v>
      </c>
      <c r="B41" s="2" t="s">
        <v>8069</v>
      </c>
      <c r="C41" s="2" t="s">
        <v>4599</v>
      </c>
      <c r="D41" s="2" t="s">
        <v>4600</v>
      </c>
      <c r="E41" s="2" t="s">
        <v>4601</v>
      </c>
      <c r="F41" s="2" t="s">
        <v>4602</v>
      </c>
      <c r="G41" s="2" t="s">
        <v>20</v>
      </c>
      <c r="H41" s="2" t="s">
        <v>4603</v>
      </c>
      <c r="I41" s="2" t="s">
        <v>4368</v>
      </c>
      <c r="J41" s="2" t="n">
        <v>2</v>
      </c>
    </row>
    <row r="42" customFormat="false" ht="61.15" hidden="false" customHeight="false" outlineLevel="0" collapsed="false">
      <c r="A42" s="2" t="s">
        <v>4604</v>
      </c>
      <c r="B42" s="2" t="s">
        <v>8068</v>
      </c>
      <c r="C42" s="2" t="s">
        <v>4605</v>
      </c>
      <c r="D42" s="2" t="s">
        <v>4606</v>
      </c>
      <c r="E42" s="2" t="s">
        <v>4607</v>
      </c>
      <c r="F42" s="2" t="s">
        <v>4608</v>
      </c>
      <c r="G42" s="2" t="s">
        <v>20</v>
      </c>
      <c r="H42" s="2" t="s">
        <v>4609</v>
      </c>
      <c r="I42" s="2" t="s">
        <v>4368</v>
      </c>
      <c r="J42" s="2" t="n">
        <v>2</v>
      </c>
    </row>
    <row r="43" customFormat="false" ht="61.15" hidden="false" customHeight="false" outlineLevel="0" collapsed="false">
      <c r="A43" s="2" t="s">
        <v>4610</v>
      </c>
      <c r="B43" s="2" t="s">
        <v>8068</v>
      </c>
      <c r="C43" s="2" t="s">
        <v>4611</v>
      </c>
      <c r="D43" s="2" t="s">
        <v>4612</v>
      </c>
      <c r="E43" s="2" t="s">
        <v>4613</v>
      </c>
      <c r="F43" s="2" t="s">
        <v>4614</v>
      </c>
      <c r="G43" s="2" t="s">
        <v>20</v>
      </c>
      <c r="H43" s="2" t="s">
        <v>4615</v>
      </c>
      <c r="I43" s="2" t="s">
        <v>4368</v>
      </c>
      <c r="J43" s="2" t="n">
        <v>2</v>
      </c>
    </row>
    <row r="44" customFormat="false" ht="46.25" hidden="false" customHeight="false" outlineLevel="0" collapsed="false">
      <c r="A44" s="2" t="s">
        <v>4616</v>
      </c>
      <c r="B44" s="2" t="s">
        <v>8069</v>
      </c>
      <c r="C44" s="2" t="s">
        <v>4617</v>
      </c>
      <c r="D44" s="2" t="s">
        <v>4618</v>
      </c>
      <c r="E44" s="2" t="s">
        <v>4619</v>
      </c>
      <c r="F44" s="2" t="s">
        <v>4620</v>
      </c>
      <c r="G44" s="2" t="s">
        <v>20</v>
      </c>
      <c r="H44" s="2" t="s">
        <v>4621</v>
      </c>
      <c r="I44" s="2" t="s">
        <v>4368</v>
      </c>
      <c r="J44" s="2" t="n">
        <v>2</v>
      </c>
    </row>
    <row r="45" customFormat="false" ht="61.15" hidden="false" customHeight="false" outlineLevel="0" collapsed="false">
      <c r="A45" s="2" t="s">
        <v>4622</v>
      </c>
      <c r="B45" s="2" t="s">
        <v>8068</v>
      </c>
      <c r="C45" s="2" t="s">
        <v>4623</v>
      </c>
      <c r="D45" s="2" t="s">
        <v>4624</v>
      </c>
      <c r="E45" s="2" t="s">
        <v>4625</v>
      </c>
      <c r="F45" s="2" t="s">
        <v>4626</v>
      </c>
      <c r="G45" s="2" t="s">
        <v>20</v>
      </c>
      <c r="H45" s="2" t="s">
        <v>4627</v>
      </c>
      <c r="I45" s="2" t="s">
        <v>4368</v>
      </c>
      <c r="J45" s="2" t="n">
        <v>2</v>
      </c>
    </row>
    <row r="46" customFormat="false" ht="91" hidden="false" customHeight="false" outlineLevel="0" collapsed="false">
      <c r="A46" s="2" t="s">
        <v>4628</v>
      </c>
      <c r="B46" s="2" t="s">
        <v>8068</v>
      </c>
      <c r="C46" s="2" t="s">
        <v>4629</v>
      </c>
      <c r="D46" s="2" t="s">
        <v>1831</v>
      </c>
      <c r="E46" s="2" t="s">
        <v>4550</v>
      </c>
      <c r="F46" s="2" t="s">
        <v>4630</v>
      </c>
      <c r="G46" s="2" t="s">
        <v>20</v>
      </c>
      <c r="H46" s="2" t="s">
        <v>4631</v>
      </c>
      <c r="I46" s="2" t="s">
        <v>1854</v>
      </c>
      <c r="J46" s="2" t="n">
        <v>2</v>
      </c>
    </row>
    <row r="47" customFormat="false" ht="76.1" hidden="false" customHeight="false" outlineLevel="0" collapsed="false">
      <c r="A47" s="2" t="s">
        <v>4632</v>
      </c>
      <c r="B47" s="2" t="s">
        <v>8068</v>
      </c>
      <c r="C47" s="2" t="s">
        <v>4633</v>
      </c>
      <c r="D47" s="2" t="s">
        <v>4634</v>
      </c>
      <c r="E47" s="2" t="s">
        <v>4635</v>
      </c>
      <c r="F47" s="2" t="s">
        <v>4636</v>
      </c>
      <c r="G47" s="2" t="s">
        <v>20</v>
      </c>
      <c r="H47" s="2" t="s">
        <v>4637</v>
      </c>
      <c r="I47" s="2" t="s">
        <v>4368</v>
      </c>
      <c r="J47" s="2" t="n">
        <v>3</v>
      </c>
    </row>
    <row r="48" customFormat="false" ht="91" hidden="false" customHeight="false" outlineLevel="0" collapsed="false">
      <c r="A48" s="2" t="s">
        <v>4638</v>
      </c>
      <c r="B48" s="2" t="s">
        <v>8068</v>
      </c>
      <c r="C48" s="2" t="s">
        <v>4639</v>
      </c>
      <c r="D48" s="2" t="s">
        <v>4640</v>
      </c>
      <c r="E48" s="2" t="s">
        <v>4641</v>
      </c>
      <c r="F48" s="2" t="s">
        <v>4642</v>
      </c>
      <c r="G48" s="2" t="s">
        <v>20</v>
      </c>
      <c r="H48" s="2" t="s">
        <v>4643</v>
      </c>
      <c r="I48" s="2" t="s">
        <v>4368</v>
      </c>
      <c r="J48" s="2" t="n">
        <v>3</v>
      </c>
    </row>
    <row r="49" customFormat="false" ht="76.1" hidden="false" customHeight="false" outlineLevel="0" collapsed="false">
      <c r="A49" s="2" t="s">
        <v>4644</v>
      </c>
      <c r="B49" s="2" t="s">
        <v>8068</v>
      </c>
      <c r="C49" s="2" t="s">
        <v>4645</v>
      </c>
      <c r="D49" s="2" t="s">
        <v>4646</v>
      </c>
      <c r="E49" s="2" t="s">
        <v>4647</v>
      </c>
      <c r="F49" s="2" t="s">
        <v>4648</v>
      </c>
      <c r="G49" s="2" t="s">
        <v>20</v>
      </c>
      <c r="H49" s="2" t="s">
        <v>4649</v>
      </c>
      <c r="I49" s="2" t="s">
        <v>4368</v>
      </c>
      <c r="J49" s="2" t="n">
        <v>3</v>
      </c>
    </row>
    <row r="50" customFormat="false" ht="76.1" hidden="false" customHeight="false" outlineLevel="0" collapsed="false">
      <c r="A50" s="2" t="s">
        <v>4650</v>
      </c>
      <c r="B50" s="2" t="s">
        <v>8068</v>
      </c>
      <c r="C50" s="2" t="s">
        <v>4651</v>
      </c>
      <c r="D50" s="2" t="s">
        <v>4652</v>
      </c>
      <c r="E50" s="2" t="s">
        <v>4653</v>
      </c>
      <c r="F50" s="2" t="s">
        <v>4654</v>
      </c>
      <c r="G50" s="2" t="s">
        <v>20</v>
      </c>
      <c r="H50" s="2" t="s">
        <v>4655</v>
      </c>
      <c r="I50" s="2" t="s">
        <v>4368</v>
      </c>
      <c r="J50" s="2" t="n">
        <v>3</v>
      </c>
    </row>
    <row r="51" customFormat="false" ht="91" hidden="false" customHeight="false" outlineLevel="0" collapsed="false">
      <c r="A51" s="2" t="s">
        <v>4656</v>
      </c>
      <c r="B51" s="2" t="s">
        <v>8068</v>
      </c>
      <c r="C51" s="2" t="s">
        <v>4657</v>
      </c>
      <c r="D51" s="2" t="s">
        <v>1831</v>
      </c>
      <c r="E51" s="2" t="s">
        <v>4550</v>
      </c>
      <c r="F51" s="2" t="s">
        <v>4551</v>
      </c>
      <c r="G51" s="2" t="s">
        <v>20</v>
      </c>
      <c r="H51" s="2" t="s">
        <v>4658</v>
      </c>
      <c r="I51" s="2" t="s">
        <v>4368</v>
      </c>
      <c r="J51" s="2" t="n">
        <v>3</v>
      </c>
    </row>
    <row r="52" customFormat="false" ht="91" hidden="false" customHeight="false" outlineLevel="0" collapsed="false">
      <c r="A52" s="2" t="s">
        <v>4659</v>
      </c>
      <c r="B52" s="2" t="s">
        <v>8068</v>
      </c>
      <c r="C52" s="2" t="s">
        <v>4660</v>
      </c>
      <c r="D52" s="2" t="s">
        <v>4661</v>
      </c>
      <c r="E52" s="2" t="s">
        <v>4662</v>
      </c>
      <c r="F52" s="2" t="s">
        <v>4663</v>
      </c>
      <c r="G52" s="2" t="s">
        <v>20</v>
      </c>
      <c r="H52" s="2" t="s">
        <v>4664</v>
      </c>
      <c r="I52" s="2" t="s">
        <v>4368</v>
      </c>
      <c r="J52" s="2" t="n">
        <v>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customHeight="false"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45"/>
    <col collapsed="false" customWidth="true" hidden="false" outlineLevel="0" max="6" min="4" style="0" width="32"/>
    <col collapsed="false" customWidth="true" hidden="false" outlineLevel="0" max="7" min="7" style="0" width="9"/>
    <col collapsed="false" customWidth="true" hidden="false" outlineLevel="0" max="8" min="8" style="0" width="42"/>
    <col collapsed="false" customWidth="true" hidden="false" outlineLevel="0" max="9" min="9" style="0" width="20"/>
    <col collapsed="false" customWidth="true" hidden="false" outlineLevel="0" max="10" min="10" style="0" width="10"/>
  </cols>
  <sheetData>
    <row r="1" customFormat="false" ht="16.4" hidden="false" customHeight="false" outlineLevel="0" collapsed="false">
      <c r="A1" s="1" t="s">
        <v>0</v>
      </c>
      <c r="B1" s="1" t="s">
        <v>8067</v>
      </c>
      <c r="C1" s="1" t="s">
        <v>3</v>
      </c>
      <c r="D1" s="1" t="s">
        <v>4</v>
      </c>
      <c r="E1" s="1" t="s">
        <v>5</v>
      </c>
      <c r="F1" s="1" t="s">
        <v>6</v>
      </c>
      <c r="G1" s="1" t="s">
        <v>7</v>
      </c>
      <c r="H1" s="1" t="s">
        <v>8</v>
      </c>
      <c r="I1" s="1" t="s">
        <v>9</v>
      </c>
      <c r="J1" s="1" t="s">
        <v>11</v>
      </c>
    </row>
    <row r="2" customFormat="false" ht="135.8" hidden="false" customHeight="false" outlineLevel="0" collapsed="false">
      <c r="A2" s="2" t="s">
        <v>4665</v>
      </c>
      <c r="B2" s="2" t="s">
        <v>8068</v>
      </c>
      <c r="C2" s="2" t="s">
        <v>4667</v>
      </c>
      <c r="D2" s="2" t="s">
        <v>4668</v>
      </c>
      <c r="E2" s="2" t="s">
        <v>4669</v>
      </c>
      <c r="F2" s="2" t="s">
        <v>4670</v>
      </c>
      <c r="G2" s="2" t="s">
        <v>28</v>
      </c>
      <c r="H2" s="2" t="s">
        <v>4671</v>
      </c>
      <c r="I2" s="2" t="s">
        <v>4666</v>
      </c>
      <c r="J2" s="2" t="n">
        <v>4</v>
      </c>
    </row>
    <row r="3" customFormat="false" ht="76.1" hidden="false" customHeight="false" outlineLevel="0" collapsed="false">
      <c r="A3" s="2" t="s">
        <v>4672</v>
      </c>
      <c r="B3" s="2" t="s">
        <v>8068</v>
      </c>
      <c r="C3" s="2" t="s">
        <v>4673</v>
      </c>
      <c r="D3" s="2" t="s">
        <v>4674</v>
      </c>
      <c r="E3" s="2" t="s">
        <v>4675</v>
      </c>
      <c r="F3" s="2" t="s">
        <v>4676</v>
      </c>
      <c r="G3" s="2" t="s">
        <v>226</v>
      </c>
      <c r="H3" s="2" t="s">
        <v>4677</v>
      </c>
      <c r="I3" s="2" t="s">
        <v>4666</v>
      </c>
      <c r="J3" s="2" t="n">
        <v>4</v>
      </c>
    </row>
    <row r="4" customFormat="false" ht="61.15" hidden="false" customHeight="false" outlineLevel="0" collapsed="false">
      <c r="A4" s="2" t="s">
        <v>4678</v>
      </c>
      <c r="B4" s="2" t="s">
        <v>8068</v>
      </c>
      <c r="C4" s="2" t="s">
        <v>4679</v>
      </c>
      <c r="D4" s="2" t="s">
        <v>4680</v>
      </c>
      <c r="E4" s="2" t="s">
        <v>4681</v>
      </c>
      <c r="F4" s="2" t="s">
        <v>4682</v>
      </c>
      <c r="G4" s="2" t="s">
        <v>28</v>
      </c>
      <c r="H4" s="2" t="s">
        <v>4683</v>
      </c>
      <c r="I4" s="2" t="s">
        <v>4666</v>
      </c>
      <c r="J4" s="2" t="n">
        <v>1</v>
      </c>
    </row>
    <row r="5" customFormat="false" ht="105.95" hidden="false" customHeight="false" outlineLevel="0" collapsed="false">
      <c r="A5" s="2" t="s">
        <v>4684</v>
      </c>
      <c r="B5" s="2" t="s">
        <v>8068</v>
      </c>
      <c r="C5" s="2" t="s">
        <v>4685</v>
      </c>
      <c r="D5" s="2" t="s">
        <v>4686</v>
      </c>
      <c r="E5" s="2" t="s">
        <v>2940</v>
      </c>
      <c r="F5" s="2" t="s">
        <v>4687</v>
      </c>
      <c r="G5" s="2" t="s">
        <v>28</v>
      </c>
      <c r="H5" s="2" t="s">
        <v>4688</v>
      </c>
      <c r="I5" s="2" t="s">
        <v>4666</v>
      </c>
      <c r="J5" s="2" t="n">
        <v>2</v>
      </c>
    </row>
    <row r="6" customFormat="false" ht="76.1" hidden="false" customHeight="false" outlineLevel="0" collapsed="false">
      <c r="A6" s="2" t="s">
        <v>4689</v>
      </c>
      <c r="B6" s="2" t="s">
        <v>8068</v>
      </c>
      <c r="C6" s="2" t="s">
        <v>4690</v>
      </c>
      <c r="D6" s="2" t="s">
        <v>4691</v>
      </c>
      <c r="E6" s="2" t="s">
        <v>4692</v>
      </c>
      <c r="F6" s="2" t="s">
        <v>4693</v>
      </c>
      <c r="G6" s="2" t="s">
        <v>20</v>
      </c>
      <c r="H6" s="2" t="s">
        <v>4694</v>
      </c>
      <c r="I6" s="2" t="s">
        <v>4666</v>
      </c>
      <c r="J6" s="2" t="n">
        <v>4</v>
      </c>
    </row>
    <row r="7" customFormat="false" ht="31.3" hidden="false" customHeight="false" outlineLevel="0" collapsed="false">
      <c r="A7" s="2" t="s">
        <v>4695</v>
      </c>
      <c r="B7" s="2" t="s">
        <v>8068</v>
      </c>
      <c r="C7" s="2" t="s">
        <v>4696</v>
      </c>
      <c r="D7" s="2" t="s">
        <v>4697</v>
      </c>
      <c r="E7" s="2" t="s">
        <v>4698</v>
      </c>
      <c r="F7" s="2" t="s">
        <v>4699</v>
      </c>
      <c r="G7" s="2" t="s">
        <v>20</v>
      </c>
      <c r="H7" s="2" t="s">
        <v>4700</v>
      </c>
      <c r="I7" s="2" t="s">
        <v>4701</v>
      </c>
      <c r="J7" s="2" t="n">
        <v>1</v>
      </c>
    </row>
    <row r="8" customFormat="false" ht="76.1" hidden="false" customHeight="false" outlineLevel="0" collapsed="false">
      <c r="A8" s="2" t="s">
        <v>4702</v>
      </c>
      <c r="B8" s="2" t="s">
        <v>8069</v>
      </c>
      <c r="C8" s="2" t="s">
        <v>4703</v>
      </c>
      <c r="D8" s="2" t="s">
        <v>4704</v>
      </c>
      <c r="E8" s="2" t="s">
        <v>4705</v>
      </c>
      <c r="F8" s="2" t="s">
        <v>4706</v>
      </c>
      <c r="G8" s="2" t="s">
        <v>20</v>
      </c>
      <c r="H8" s="2" t="s">
        <v>4707</v>
      </c>
      <c r="I8" s="2" t="s">
        <v>4701</v>
      </c>
      <c r="J8" s="2" t="n">
        <v>2</v>
      </c>
    </row>
    <row r="9" customFormat="false" ht="76.1" hidden="false" customHeight="false" outlineLevel="0" collapsed="false">
      <c r="A9" s="2" t="s">
        <v>4708</v>
      </c>
      <c r="B9" s="2" t="s">
        <v>8069</v>
      </c>
      <c r="C9" s="2" t="s">
        <v>4709</v>
      </c>
      <c r="D9" s="2" t="s">
        <v>4710</v>
      </c>
      <c r="E9" s="2" t="s">
        <v>4711</v>
      </c>
      <c r="F9" s="2" t="s">
        <v>4712</v>
      </c>
      <c r="G9" s="2" t="s">
        <v>20</v>
      </c>
      <c r="H9" s="2" t="s">
        <v>4713</v>
      </c>
      <c r="I9" s="2" t="s">
        <v>4701</v>
      </c>
      <c r="J9" s="2" t="n">
        <v>1</v>
      </c>
    </row>
    <row r="10" customFormat="false" ht="61.15" hidden="false" customHeight="false" outlineLevel="0" collapsed="false">
      <c r="A10" s="2" t="s">
        <v>4714</v>
      </c>
      <c r="B10" s="2" t="s">
        <v>8068</v>
      </c>
      <c r="C10" s="2" t="s">
        <v>4715</v>
      </c>
      <c r="D10" s="2" t="s">
        <v>2727</v>
      </c>
      <c r="E10" s="2" t="s">
        <v>4716</v>
      </c>
      <c r="F10" s="2" t="s">
        <v>4717</v>
      </c>
      <c r="G10" s="2" t="s">
        <v>20</v>
      </c>
      <c r="H10" s="2" t="s">
        <v>4718</v>
      </c>
      <c r="I10" s="2" t="s">
        <v>4701</v>
      </c>
      <c r="J10" s="2" t="n">
        <v>2</v>
      </c>
    </row>
    <row r="11" customFormat="false" ht="76.1" hidden="false" customHeight="false" outlineLevel="0" collapsed="false">
      <c r="A11" s="2" t="s">
        <v>4719</v>
      </c>
      <c r="B11" s="2" t="s">
        <v>8069</v>
      </c>
      <c r="C11" s="2" t="s">
        <v>4720</v>
      </c>
      <c r="D11" s="2" t="s">
        <v>4721</v>
      </c>
      <c r="E11" s="2" t="s">
        <v>4722</v>
      </c>
      <c r="F11" s="2" t="s">
        <v>4723</v>
      </c>
      <c r="G11" s="2" t="s">
        <v>28</v>
      </c>
      <c r="H11" s="2" t="s">
        <v>4724</v>
      </c>
      <c r="I11" s="2" t="s">
        <v>4725</v>
      </c>
      <c r="J11" s="2" t="n">
        <v>2</v>
      </c>
    </row>
    <row r="12" customFormat="false" ht="91" hidden="false" customHeight="false" outlineLevel="0" collapsed="false">
      <c r="A12" s="2" t="s">
        <v>4726</v>
      </c>
      <c r="B12" s="2" t="s">
        <v>8069</v>
      </c>
      <c r="C12" s="2" t="s">
        <v>4727</v>
      </c>
      <c r="D12" s="2" t="s">
        <v>4728</v>
      </c>
      <c r="E12" s="2" t="s">
        <v>4729</v>
      </c>
      <c r="F12" s="2" t="s">
        <v>4730</v>
      </c>
      <c r="G12" s="2" t="s">
        <v>28</v>
      </c>
      <c r="H12" s="2" t="s">
        <v>4731</v>
      </c>
      <c r="I12" s="2" t="s">
        <v>4725</v>
      </c>
      <c r="J12" s="2" t="n">
        <v>2</v>
      </c>
    </row>
    <row r="13" customFormat="false" ht="76.1" hidden="false" customHeight="false" outlineLevel="0" collapsed="false">
      <c r="A13" s="2" t="s">
        <v>4732</v>
      </c>
      <c r="B13" s="2" t="s">
        <v>8068</v>
      </c>
      <c r="C13" s="2" t="s">
        <v>4733</v>
      </c>
      <c r="D13" s="2" t="s">
        <v>4734</v>
      </c>
      <c r="E13" s="2" t="s">
        <v>4735</v>
      </c>
      <c r="F13" s="2" t="s">
        <v>4736</v>
      </c>
      <c r="G13" s="2" t="s">
        <v>20</v>
      </c>
      <c r="H13" s="2" t="s">
        <v>4737</v>
      </c>
      <c r="I13" s="2" t="s">
        <v>4725</v>
      </c>
      <c r="J13" s="2" t="n">
        <v>3</v>
      </c>
    </row>
    <row r="14" customFormat="false" ht="91" hidden="false" customHeight="false" outlineLevel="0" collapsed="false">
      <c r="A14" s="2" t="s">
        <v>4738</v>
      </c>
      <c r="B14" s="2" t="s">
        <v>8068</v>
      </c>
      <c r="C14" s="2" t="s">
        <v>4739</v>
      </c>
      <c r="D14" s="2" t="s">
        <v>4740</v>
      </c>
      <c r="E14" s="2" t="s">
        <v>4741</v>
      </c>
      <c r="F14" s="2" t="s">
        <v>4742</v>
      </c>
      <c r="G14" s="2" t="s">
        <v>28</v>
      </c>
      <c r="H14" s="2" t="s">
        <v>4743</v>
      </c>
      <c r="I14" s="2" t="s">
        <v>4725</v>
      </c>
      <c r="J14" s="2" t="n">
        <v>3</v>
      </c>
    </row>
    <row r="15" customFormat="false" ht="61.15" hidden="false" customHeight="false" outlineLevel="0" collapsed="false">
      <c r="A15" s="2" t="s">
        <v>4744</v>
      </c>
      <c r="B15" s="2" t="s">
        <v>8069</v>
      </c>
      <c r="C15" s="2" t="s">
        <v>4745</v>
      </c>
      <c r="D15" s="2" t="s">
        <v>4746</v>
      </c>
      <c r="E15" s="2" t="s">
        <v>4747</v>
      </c>
      <c r="F15" s="2" t="s">
        <v>4748</v>
      </c>
      <c r="G15" s="2" t="s">
        <v>226</v>
      </c>
      <c r="H15" s="2" t="s">
        <v>4749</v>
      </c>
      <c r="I15" s="2" t="s">
        <v>4725</v>
      </c>
      <c r="J15" s="2" t="n">
        <v>3</v>
      </c>
    </row>
    <row r="16" customFormat="false" ht="76.1" hidden="false" customHeight="false" outlineLevel="0" collapsed="false">
      <c r="A16" s="2" t="s">
        <v>4750</v>
      </c>
      <c r="B16" s="2" t="s">
        <v>8068</v>
      </c>
      <c r="C16" s="2" t="s">
        <v>4751</v>
      </c>
      <c r="D16" s="2" t="s">
        <v>4752</v>
      </c>
      <c r="E16" s="2" t="s">
        <v>4753</v>
      </c>
      <c r="F16" s="2" t="s">
        <v>4754</v>
      </c>
      <c r="G16" s="2" t="s">
        <v>20</v>
      </c>
      <c r="H16" s="2" t="s">
        <v>4755</v>
      </c>
      <c r="I16" s="2" t="s">
        <v>4725</v>
      </c>
      <c r="J16" s="2" t="n">
        <v>3</v>
      </c>
    </row>
    <row r="17" customFormat="false" ht="120.85" hidden="false" customHeight="false" outlineLevel="0" collapsed="false">
      <c r="A17" s="2" t="s">
        <v>4756</v>
      </c>
      <c r="B17" s="2" t="s">
        <v>8069</v>
      </c>
      <c r="C17" s="2" t="s">
        <v>4757</v>
      </c>
      <c r="D17" s="2" t="s">
        <v>4758</v>
      </c>
      <c r="E17" s="2" t="s">
        <v>4759</v>
      </c>
      <c r="F17" s="2" t="s">
        <v>4760</v>
      </c>
      <c r="G17" s="2" t="s">
        <v>226</v>
      </c>
      <c r="H17" s="2" t="s">
        <v>4761</v>
      </c>
      <c r="I17" s="2" t="s">
        <v>4725</v>
      </c>
      <c r="J17" s="2" t="n">
        <v>3</v>
      </c>
    </row>
    <row r="18" customFormat="false" ht="76.1" hidden="false" customHeight="false" outlineLevel="0" collapsed="false">
      <c r="A18" s="2" t="s">
        <v>4762</v>
      </c>
      <c r="B18" s="2" t="s">
        <v>8069</v>
      </c>
      <c r="C18" s="2" t="s">
        <v>4763</v>
      </c>
      <c r="D18" s="2" t="s">
        <v>4764</v>
      </c>
      <c r="E18" s="2" t="s">
        <v>4765</v>
      </c>
      <c r="F18" s="2" t="s">
        <v>4766</v>
      </c>
      <c r="G18" s="2" t="s">
        <v>20</v>
      </c>
      <c r="H18" s="2" t="s">
        <v>4767</v>
      </c>
      <c r="I18" s="2" t="s">
        <v>4768</v>
      </c>
      <c r="J18" s="2" t="n">
        <v>2</v>
      </c>
    </row>
    <row r="19" customFormat="false" ht="91" hidden="false" customHeight="false" outlineLevel="0" collapsed="false">
      <c r="A19" s="2" t="s">
        <v>4769</v>
      </c>
      <c r="B19" s="2" t="s">
        <v>8068</v>
      </c>
      <c r="C19" s="2" t="s">
        <v>4770</v>
      </c>
      <c r="D19" s="2" t="s">
        <v>4771</v>
      </c>
      <c r="E19" s="2" t="s">
        <v>4772</v>
      </c>
      <c r="F19" s="2" t="s">
        <v>4773</v>
      </c>
      <c r="G19" s="2" t="s">
        <v>20</v>
      </c>
      <c r="H19" s="2" t="s">
        <v>4774</v>
      </c>
      <c r="I19" s="2" t="s">
        <v>4725</v>
      </c>
      <c r="J19" s="2" t="n">
        <v>3</v>
      </c>
    </row>
    <row r="20" customFormat="false" ht="91" hidden="false" customHeight="false" outlineLevel="0" collapsed="false">
      <c r="A20" s="2" t="s">
        <v>4775</v>
      </c>
      <c r="B20" s="2" t="s">
        <v>8068</v>
      </c>
      <c r="C20" s="2" t="s">
        <v>4776</v>
      </c>
      <c r="D20" s="2" t="s">
        <v>4777</v>
      </c>
      <c r="E20" s="2" t="s">
        <v>4778</v>
      </c>
      <c r="F20" s="2" t="s">
        <v>4779</v>
      </c>
      <c r="G20" s="2" t="s">
        <v>20</v>
      </c>
      <c r="H20" s="2" t="s">
        <v>4780</v>
      </c>
      <c r="I20" s="2" t="s">
        <v>4725</v>
      </c>
      <c r="J20" s="2" t="n">
        <v>3</v>
      </c>
    </row>
    <row r="21" customFormat="false" ht="91" hidden="false" customHeight="false" outlineLevel="0" collapsed="false">
      <c r="A21" s="2" t="s">
        <v>4781</v>
      </c>
      <c r="B21" s="2" t="s">
        <v>8068</v>
      </c>
      <c r="C21" s="2" t="s">
        <v>4782</v>
      </c>
      <c r="D21" s="2" t="s">
        <v>4783</v>
      </c>
      <c r="E21" s="2" t="s">
        <v>4784</v>
      </c>
      <c r="F21" s="2" t="s">
        <v>4785</v>
      </c>
      <c r="G21" s="2" t="s">
        <v>28</v>
      </c>
      <c r="H21" s="2" t="s">
        <v>4786</v>
      </c>
      <c r="I21" s="2" t="s">
        <v>4725</v>
      </c>
      <c r="J21" s="2" t="n">
        <v>3</v>
      </c>
    </row>
    <row r="22" customFormat="false" ht="91" hidden="false" customHeight="false" outlineLevel="0" collapsed="false">
      <c r="A22" s="2" t="s">
        <v>4787</v>
      </c>
      <c r="B22" s="2" t="s">
        <v>8068</v>
      </c>
      <c r="C22" s="2" t="s">
        <v>4788</v>
      </c>
      <c r="D22" s="2" t="s">
        <v>4789</v>
      </c>
      <c r="E22" s="2" t="s">
        <v>4790</v>
      </c>
      <c r="F22" s="2" t="s">
        <v>4791</v>
      </c>
      <c r="G22" s="2" t="s">
        <v>226</v>
      </c>
      <c r="H22" s="2" t="s">
        <v>4792</v>
      </c>
      <c r="I22" s="2" t="s">
        <v>4725</v>
      </c>
      <c r="J22" s="2" t="n">
        <v>3</v>
      </c>
    </row>
    <row r="23" customFormat="false" ht="61.15" hidden="false" customHeight="false" outlineLevel="0" collapsed="false">
      <c r="A23" s="2" t="s">
        <v>4793</v>
      </c>
      <c r="B23" s="2" t="s">
        <v>8068</v>
      </c>
      <c r="C23" s="2" t="s">
        <v>4794</v>
      </c>
      <c r="D23" s="2" t="s">
        <v>4795</v>
      </c>
      <c r="E23" s="2" t="s">
        <v>4796</v>
      </c>
      <c r="F23" s="2" t="s">
        <v>4797</v>
      </c>
      <c r="G23" s="2" t="s">
        <v>28</v>
      </c>
      <c r="H23" s="2" t="s">
        <v>4798</v>
      </c>
      <c r="I23" s="2" t="s">
        <v>4799</v>
      </c>
      <c r="J23" s="2" t="n">
        <v>2</v>
      </c>
    </row>
    <row r="24" customFormat="false" ht="46.25" hidden="false" customHeight="false" outlineLevel="0" collapsed="false">
      <c r="A24" s="2" t="s">
        <v>4800</v>
      </c>
      <c r="B24" s="2" t="s">
        <v>8069</v>
      </c>
      <c r="C24" s="2" t="s">
        <v>4801</v>
      </c>
      <c r="D24" s="2" t="s">
        <v>4802</v>
      </c>
      <c r="E24" s="2" t="s">
        <v>4803</v>
      </c>
      <c r="F24" s="2" t="s">
        <v>4804</v>
      </c>
      <c r="G24" s="2" t="s">
        <v>20</v>
      </c>
      <c r="H24" s="2" t="s">
        <v>4805</v>
      </c>
      <c r="I24" s="2" t="s">
        <v>4799</v>
      </c>
      <c r="J24" s="2" t="n">
        <v>3</v>
      </c>
    </row>
    <row r="25" customFormat="false" ht="61.15" hidden="false" customHeight="false" outlineLevel="0" collapsed="false">
      <c r="A25" s="2" t="s">
        <v>4806</v>
      </c>
      <c r="B25" s="2" t="s">
        <v>8068</v>
      </c>
      <c r="C25" s="2" t="s">
        <v>4807</v>
      </c>
      <c r="D25" s="2" t="s">
        <v>4808</v>
      </c>
      <c r="E25" s="2" t="s">
        <v>4809</v>
      </c>
      <c r="F25" s="2" t="s">
        <v>4810</v>
      </c>
      <c r="G25" s="2" t="s">
        <v>226</v>
      </c>
      <c r="H25" s="2" t="s">
        <v>4811</v>
      </c>
      <c r="I25" s="2" t="s">
        <v>4812</v>
      </c>
      <c r="J25" s="2" t="n">
        <v>2</v>
      </c>
    </row>
    <row r="26" customFormat="false" ht="61.15" hidden="false" customHeight="false" outlineLevel="0" collapsed="false">
      <c r="A26" s="2" t="s">
        <v>4813</v>
      </c>
      <c r="B26" s="2" t="s">
        <v>8068</v>
      </c>
      <c r="C26" s="2" t="s">
        <v>4814</v>
      </c>
      <c r="D26" s="2" t="s">
        <v>4815</v>
      </c>
      <c r="E26" s="2" t="s">
        <v>4816</v>
      </c>
      <c r="F26" s="2" t="s">
        <v>4817</v>
      </c>
      <c r="G26" s="2" t="s">
        <v>20</v>
      </c>
      <c r="H26" s="2" t="s">
        <v>4818</v>
      </c>
      <c r="I26" s="2" t="s">
        <v>4812</v>
      </c>
      <c r="J26" s="2" t="n">
        <v>2</v>
      </c>
    </row>
    <row r="27" customFormat="false" ht="76.1" hidden="false" customHeight="false" outlineLevel="0" collapsed="false">
      <c r="A27" s="2" t="s">
        <v>4819</v>
      </c>
      <c r="B27" s="2" t="s">
        <v>8068</v>
      </c>
      <c r="C27" s="2" t="s">
        <v>4820</v>
      </c>
      <c r="D27" s="2" t="s">
        <v>4821</v>
      </c>
      <c r="E27" s="2" t="s">
        <v>4822</v>
      </c>
      <c r="F27" s="2" t="s">
        <v>4823</v>
      </c>
      <c r="G27" s="2" t="s">
        <v>20</v>
      </c>
      <c r="H27" s="2" t="s">
        <v>4824</v>
      </c>
      <c r="I27" s="2" t="s">
        <v>4812</v>
      </c>
      <c r="J27" s="2" t="n">
        <v>2</v>
      </c>
    </row>
    <row r="28" customFormat="false" ht="46.25" hidden="false" customHeight="false" outlineLevel="0" collapsed="false">
      <c r="A28" s="2" t="s">
        <v>4825</v>
      </c>
      <c r="B28" s="2" t="s">
        <v>8068</v>
      </c>
      <c r="C28" s="2" t="s">
        <v>4826</v>
      </c>
      <c r="D28" s="2" t="s">
        <v>4827</v>
      </c>
      <c r="E28" s="2" t="s">
        <v>4828</v>
      </c>
      <c r="F28" s="2" t="s">
        <v>4829</v>
      </c>
      <c r="G28" s="2" t="s">
        <v>20</v>
      </c>
      <c r="H28" s="2" t="s">
        <v>4830</v>
      </c>
      <c r="I28" s="2" t="s">
        <v>4812</v>
      </c>
      <c r="J28" s="2" t="n">
        <v>2</v>
      </c>
    </row>
    <row r="29" customFormat="false" ht="61.15" hidden="false" customHeight="false" outlineLevel="0" collapsed="false">
      <c r="A29" s="2" t="s">
        <v>4831</v>
      </c>
      <c r="B29" s="2" t="s">
        <v>8068</v>
      </c>
      <c r="C29" s="2" t="s">
        <v>4832</v>
      </c>
      <c r="D29" s="2" t="s">
        <v>4833</v>
      </c>
      <c r="E29" s="2" t="s">
        <v>4834</v>
      </c>
      <c r="F29" s="2" t="s">
        <v>4835</v>
      </c>
      <c r="G29" s="2" t="s">
        <v>20</v>
      </c>
      <c r="H29" s="2" t="s">
        <v>4836</v>
      </c>
      <c r="I29" s="2" t="s">
        <v>4799</v>
      </c>
      <c r="J29" s="2" t="n">
        <v>4</v>
      </c>
    </row>
    <row r="30" customFormat="false" ht="61.15" hidden="false" customHeight="false" outlineLevel="0" collapsed="false">
      <c r="A30" s="2" t="s">
        <v>4837</v>
      </c>
      <c r="B30" s="2" t="s">
        <v>8068</v>
      </c>
      <c r="C30" s="2" t="s">
        <v>4838</v>
      </c>
      <c r="D30" s="2" t="s">
        <v>4839</v>
      </c>
      <c r="E30" s="2" t="s">
        <v>4840</v>
      </c>
      <c r="F30" s="2" t="s">
        <v>4841</v>
      </c>
      <c r="G30" s="2" t="s">
        <v>20</v>
      </c>
      <c r="H30" s="2" t="s">
        <v>4842</v>
      </c>
      <c r="I30" s="2" t="s">
        <v>4799</v>
      </c>
      <c r="J30" s="2" t="n">
        <v>3</v>
      </c>
    </row>
    <row r="31" customFormat="false" ht="91" hidden="false" customHeight="false" outlineLevel="0" collapsed="false">
      <c r="A31" s="2" t="s">
        <v>4843</v>
      </c>
      <c r="B31" s="2" t="s">
        <v>8068</v>
      </c>
      <c r="C31" s="2" t="s">
        <v>4844</v>
      </c>
      <c r="D31" s="2" t="s">
        <v>4845</v>
      </c>
      <c r="E31" s="2" t="s">
        <v>4846</v>
      </c>
      <c r="F31" s="2" t="s">
        <v>4847</v>
      </c>
      <c r="G31" s="2" t="s">
        <v>28</v>
      </c>
      <c r="H31" s="2" t="s">
        <v>4848</v>
      </c>
      <c r="I31" s="2" t="s">
        <v>4799</v>
      </c>
      <c r="J31" s="2" t="n">
        <v>4</v>
      </c>
    </row>
    <row r="32" customFormat="false" ht="61.15" hidden="false" customHeight="false" outlineLevel="0" collapsed="false">
      <c r="A32" s="2" t="s">
        <v>4849</v>
      </c>
      <c r="B32" s="2" t="s">
        <v>8068</v>
      </c>
      <c r="C32" s="2" t="s">
        <v>4850</v>
      </c>
      <c r="D32" s="2" t="s">
        <v>4851</v>
      </c>
      <c r="E32" s="2" t="s">
        <v>4852</v>
      </c>
      <c r="F32" s="2" t="s">
        <v>4853</v>
      </c>
      <c r="G32" s="2" t="s">
        <v>20</v>
      </c>
      <c r="H32" s="2" t="s">
        <v>4854</v>
      </c>
      <c r="I32" s="2" t="s">
        <v>4799</v>
      </c>
      <c r="J32" s="2" t="n">
        <v>3</v>
      </c>
    </row>
    <row r="33" customFormat="false" ht="61.15" hidden="false" customHeight="false" outlineLevel="0" collapsed="false">
      <c r="A33" s="2" t="s">
        <v>4855</v>
      </c>
      <c r="B33" s="2" t="s">
        <v>8068</v>
      </c>
      <c r="C33" s="2" t="s">
        <v>4856</v>
      </c>
      <c r="D33" s="2" t="s">
        <v>2356</v>
      </c>
      <c r="E33" s="2" t="s">
        <v>1833</v>
      </c>
      <c r="F33" s="2" t="s">
        <v>4172</v>
      </c>
      <c r="G33" s="2" t="s">
        <v>20</v>
      </c>
      <c r="H33" s="2" t="s">
        <v>4857</v>
      </c>
      <c r="I33" s="2" t="s">
        <v>4799</v>
      </c>
      <c r="J33" s="2" t="n">
        <v>2</v>
      </c>
    </row>
    <row r="34" customFormat="false" ht="120.85" hidden="false" customHeight="false" outlineLevel="0" collapsed="false">
      <c r="A34" s="2" t="s">
        <v>4858</v>
      </c>
      <c r="B34" s="2" t="s">
        <v>8068</v>
      </c>
      <c r="C34" s="2" t="s">
        <v>4859</v>
      </c>
      <c r="D34" s="2" t="s">
        <v>4860</v>
      </c>
      <c r="E34" s="2" t="s">
        <v>4861</v>
      </c>
      <c r="F34" s="2" t="s">
        <v>4862</v>
      </c>
      <c r="G34" s="2" t="s">
        <v>20</v>
      </c>
      <c r="H34" s="2" t="s">
        <v>4863</v>
      </c>
      <c r="I34" s="2" t="s">
        <v>4864</v>
      </c>
      <c r="J34" s="2" t="n">
        <v>3</v>
      </c>
    </row>
    <row r="35" customFormat="false" ht="61.15" hidden="false" customHeight="false" outlineLevel="0" collapsed="false">
      <c r="A35" s="2" t="s">
        <v>4865</v>
      </c>
      <c r="B35" s="2" t="s">
        <v>8068</v>
      </c>
      <c r="C35" s="2" t="s">
        <v>4866</v>
      </c>
      <c r="D35" s="2" t="s">
        <v>4867</v>
      </c>
      <c r="E35" s="2" t="s">
        <v>4170</v>
      </c>
      <c r="F35" s="2" t="s">
        <v>4868</v>
      </c>
      <c r="G35" s="2" t="s">
        <v>20</v>
      </c>
      <c r="H35" s="2" t="s">
        <v>4869</v>
      </c>
      <c r="I35" s="2" t="s">
        <v>4864</v>
      </c>
      <c r="J35" s="2" t="n">
        <v>4</v>
      </c>
    </row>
    <row r="36" customFormat="false" ht="76.1" hidden="false" customHeight="false" outlineLevel="0" collapsed="false">
      <c r="A36" s="2" t="s">
        <v>4870</v>
      </c>
      <c r="B36" s="2" t="s">
        <v>8068</v>
      </c>
      <c r="C36" s="2" t="s">
        <v>4871</v>
      </c>
      <c r="D36" s="2" t="s">
        <v>4872</v>
      </c>
      <c r="E36" s="2" t="s">
        <v>4873</v>
      </c>
      <c r="F36" s="2" t="s">
        <v>4874</v>
      </c>
      <c r="G36" s="2" t="s">
        <v>28</v>
      </c>
      <c r="H36" s="2" t="s">
        <v>4875</v>
      </c>
      <c r="I36" s="2" t="s">
        <v>4876</v>
      </c>
      <c r="J36" s="2" t="n">
        <v>4</v>
      </c>
    </row>
    <row r="37" customFormat="false" ht="61.15" hidden="false" customHeight="false" outlineLevel="0" collapsed="false">
      <c r="A37" s="2" t="s">
        <v>4877</v>
      </c>
      <c r="B37" s="2" t="s">
        <v>8068</v>
      </c>
      <c r="C37" s="2" t="s">
        <v>4878</v>
      </c>
      <c r="D37" s="2" t="s">
        <v>4170</v>
      </c>
      <c r="E37" s="2" t="s">
        <v>4879</v>
      </c>
      <c r="F37" s="2" t="s">
        <v>4868</v>
      </c>
      <c r="G37" s="2" t="s">
        <v>20</v>
      </c>
      <c r="H37" s="2" t="s">
        <v>4880</v>
      </c>
      <c r="I37" s="2" t="s">
        <v>4876</v>
      </c>
      <c r="J37" s="2" t="n">
        <v>3</v>
      </c>
    </row>
    <row r="38" customFormat="false" ht="61.15" hidden="false" customHeight="false" outlineLevel="0" collapsed="false">
      <c r="A38" s="2" t="s">
        <v>4881</v>
      </c>
      <c r="B38" s="2" t="s">
        <v>8069</v>
      </c>
      <c r="C38" s="2" t="s">
        <v>4882</v>
      </c>
      <c r="D38" s="2" t="s">
        <v>4883</v>
      </c>
      <c r="E38" s="2" t="s">
        <v>4884</v>
      </c>
      <c r="F38" s="2" t="s">
        <v>4885</v>
      </c>
      <c r="G38" s="2" t="s">
        <v>28</v>
      </c>
      <c r="H38" s="2" t="s">
        <v>4886</v>
      </c>
      <c r="I38" s="2" t="s">
        <v>4864</v>
      </c>
      <c r="J38" s="2" t="n">
        <v>3</v>
      </c>
    </row>
    <row r="39" customFormat="false" ht="61.15" hidden="false" customHeight="false" outlineLevel="0" collapsed="false">
      <c r="A39" s="2" t="s">
        <v>4887</v>
      </c>
      <c r="B39" s="2" t="s">
        <v>8068</v>
      </c>
      <c r="C39" s="2" t="s">
        <v>4888</v>
      </c>
      <c r="D39" s="2" t="s">
        <v>4889</v>
      </c>
      <c r="E39" s="2" t="s">
        <v>4890</v>
      </c>
      <c r="F39" s="2" t="s">
        <v>4891</v>
      </c>
      <c r="G39" s="2" t="s">
        <v>20</v>
      </c>
      <c r="H39" s="2" t="s">
        <v>4892</v>
      </c>
      <c r="I39" s="2" t="s">
        <v>4893</v>
      </c>
      <c r="J39" s="2" t="n">
        <v>3</v>
      </c>
    </row>
    <row r="40" customFormat="false" ht="61.15" hidden="false" customHeight="false" outlineLevel="0" collapsed="false">
      <c r="A40" s="2" t="s">
        <v>4894</v>
      </c>
      <c r="B40" s="2" t="s">
        <v>8068</v>
      </c>
      <c r="C40" s="2" t="s">
        <v>4895</v>
      </c>
      <c r="D40" s="2" t="s">
        <v>4896</v>
      </c>
      <c r="E40" s="2" t="s">
        <v>4897</v>
      </c>
      <c r="F40" s="2" t="s">
        <v>4898</v>
      </c>
      <c r="G40" s="2" t="s">
        <v>20</v>
      </c>
      <c r="H40" s="2" t="s">
        <v>4899</v>
      </c>
      <c r="I40" s="2" t="s">
        <v>4666</v>
      </c>
      <c r="J40" s="2" t="n">
        <v>2</v>
      </c>
    </row>
    <row r="41" customFormat="false" ht="61.15" hidden="false" customHeight="false" outlineLevel="0" collapsed="false">
      <c r="A41" s="2" t="s">
        <v>4900</v>
      </c>
      <c r="B41" s="2" t="s">
        <v>8068</v>
      </c>
      <c r="C41" s="2" t="s">
        <v>4901</v>
      </c>
      <c r="D41" s="2" t="s">
        <v>4902</v>
      </c>
      <c r="E41" s="2" t="s">
        <v>4903</v>
      </c>
      <c r="F41" s="2" t="s">
        <v>4904</v>
      </c>
      <c r="G41" s="2" t="s">
        <v>20</v>
      </c>
      <c r="H41" s="2" t="s">
        <v>4905</v>
      </c>
      <c r="I41" s="2" t="s">
        <v>4666</v>
      </c>
      <c r="J41" s="2" t="n">
        <v>2</v>
      </c>
    </row>
    <row r="42" customFormat="false" ht="61.15" hidden="false" customHeight="false" outlineLevel="0" collapsed="false">
      <c r="A42" s="2" t="s">
        <v>4906</v>
      </c>
      <c r="B42" s="2" t="s">
        <v>8068</v>
      </c>
      <c r="C42" s="2" t="s">
        <v>4907</v>
      </c>
      <c r="D42" s="2" t="s">
        <v>4908</v>
      </c>
      <c r="E42" s="2" t="s">
        <v>4909</v>
      </c>
      <c r="F42" s="2" t="s">
        <v>4910</v>
      </c>
      <c r="G42" s="2" t="s">
        <v>20</v>
      </c>
      <c r="H42" s="2" t="s">
        <v>4911</v>
      </c>
      <c r="I42" s="2" t="s">
        <v>4666</v>
      </c>
      <c r="J42" s="2" t="n">
        <v>2</v>
      </c>
    </row>
    <row r="43" customFormat="false" ht="61.15" hidden="false" customHeight="false" outlineLevel="0" collapsed="false">
      <c r="A43" s="2" t="s">
        <v>4912</v>
      </c>
      <c r="B43" s="2" t="s">
        <v>8068</v>
      </c>
      <c r="C43" s="2" t="s">
        <v>4913</v>
      </c>
      <c r="D43" s="2" t="s">
        <v>4170</v>
      </c>
      <c r="E43" s="2" t="s">
        <v>4868</v>
      </c>
      <c r="F43" s="2" t="s">
        <v>4914</v>
      </c>
      <c r="G43" s="2" t="s">
        <v>20</v>
      </c>
      <c r="H43" s="2" t="s">
        <v>4915</v>
      </c>
      <c r="I43" s="2" t="s">
        <v>4666</v>
      </c>
      <c r="J43" s="2" t="n">
        <v>3</v>
      </c>
    </row>
    <row r="44" customFormat="false" ht="61.15" hidden="false" customHeight="false" outlineLevel="0" collapsed="false">
      <c r="A44" s="2" t="s">
        <v>4916</v>
      </c>
      <c r="B44" s="2" t="s">
        <v>8068</v>
      </c>
      <c r="C44" s="2" t="s">
        <v>4917</v>
      </c>
      <c r="D44" s="2" t="s">
        <v>2727</v>
      </c>
      <c r="E44" s="2" t="s">
        <v>2940</v>
      </c>
      <c r="F44" s="2" t="s">
        <v>4918</v>
      </c>
      <c r="G44" s="2" t="s">
        <v>20</v>
      </c>
      <c r="H44" s="2" t="s">
        <v>4919</v>
      </c>
      <c r="I44" s="2" t="s">
        <v>4666</v>
      </c>
      <c r="J44" s="2" t="n">
        <v>1</v>
      </c>
    </row>
    <row r="45" customFormat="false" ht="76.1" hidden="false" customHeight="false" outlineLevel="0" collapsed="false">
      <c r="A45" s="2" t="s">
        <v>4920</v>
      </c>
      <c r="B45" s="2" t="s">
        <v>8068</v>
      </c>
      <c r="C45" s="2" t="s">
        <v>4921</v>
      </c>
      <c r="D45" s="2" t="s">
        <v>4170</v>
      </c>
      <c r="E45" s="2" t="s">
        <v>4868</v>
      </c>
      <c r="F45" s="2" t="s">
        <v>4914</v>
      </c>
      <c r="G45" s="2" t="s">
        <v>20</v>
      </c>
      <c r="H45" s="2" t="s">
        <v>4922</v>
      </c>
      <c r="I45" s="2" t="s">
        <v>4666</v>
      </c>
      <c r="J45" s="2" t="n">
        <v>3</v>
      </c>
    </row>
    <row r="46" customFormat="false" ht="46.25" hidden="false" customHeight="false" outlineLevel="0" collapsed="false">
      <c r="A46" s="2" t="s">
        <v>4923</v>
      </c>
      <c r="B46" s="2" t="s">
        <v>8068</v>
      </c>
      <c r="C46" s="2" t="s">
        <v>4924</v>
      </c>
      <c r="D46" s="2" t="s">
        <v>4925</v>
      </c>
      <c r="E46" s="2" t="s">
        <v>4926</v>
      </c>
      <c r="F46" s="2" t="s">
        <v>4927</v>
      </c>
      <c r="G46" s="2" t="s">
        <v>20</v>
      </c>
      <c r="H46" s="2" t="s">
        <v>4928</v>
      </c>
      <c r="I46" s="2" t="s">
        <v>4666</v>
      </c>
      <c r="J46" s="2" t="n">
        <v>2</v>
      </c>
    </row>
    <row r="47" customFormat="false" ht="61.15" hidden="false" customHeight="false" outlineLevel="0" collapsed="false">
      <c r="A47" s="2" t="s">
        <v>4929</v>
      </c>
      <c r="B47" s="2" t="s">
        <v>8068</v>
      </c>
      <c r="C47" s="2" t="s">
        <v>4930</v>
      </c>
      <c r="D47" s="2" t="s">
        <v>4868</v>
      </c>
      <c r="E47" s="2" t="s">
        <v>4170</v>
      </c>
      <c r="F47" s="2" t="s">
        <v>4879</v>
      </c>
      <c r="G47" s="2" t="s">
        <v>20</v>
      </c>
      <c r="H47" s="2" t="s">
        <v>4931</v>
      </c>
      <c r="I47" s="2" t="s">
        <v>4666</v>
      </c>
      <c r="J47" s="2" t="n">
        <v>3</v>
      </c>
    </row>
    <row r="48" customFormat="false" ht="76.1" hidden="false" customHeight="false" outlineLevel="0" collapsed="false">
      <c r="A48" s="2" t="s">
        <v>4932</v>
      </c>
      <c r="B48" s="2" t="s">
        <v>8068</v>
      </c>
      <c r="C48" s="2" t="s">
        <v>4933</v>
      </c>
      <c r="D48" s="2" t="s">
        <v>4934</v>
      </c>
      <c r="E48" s="2" t="s">
        <v>4935</v>
      </c>
      <c r="F48" s="2" t="s">
        <v>4936</v>
      </c>
      <c r="G48" s="2" t="s">
        <v>20</v>
      </c>
      <c r="H48" s="2" t="s">
        <v>4937</v>
      </c>
      <c r="I48" s="2" t="s">
        <v>4666</v>
      </c>
      <c r="J48" s="2" t="n">
        <v>2</v>
      </c>
    </row>
    <row r="49" customFormat="false" ht="61.15" hidden="false" customHeight="false" outlineLevel="0" collapsed="false">
      <c r="A49" s="2" t="s">
        <v>4938</v>
      </c>
      <c r="B49" s="2" t="s">
        <v>8068</v>
      </c>
      <c r="C49" s="2" t="s">
        <v>4939</v>
      </c>
      <c r="D49" s="2" t="s">
        <v>2727</v>
      </c>
      <c r="E49" s="2" t="s">
        <v>4940</v>
      </c>
      <c r="F49" s="2" t="s">
        <v>4941</v>
      </c>
      <c r="G49" s="2" t="s">
        <v>20</v>
      </c>
      <c r="H49" s="2" t="s">
        <v>4942</v>
      </c>
      <c r="I49" s="2" t="s">
        <v>4666</v>
      </c>
      <c r="J49" s="2" t="n">
        <v>2</v>
      </c>
    </row>
    <row r="50" customFormat="false" ht="61.15" hidden="false" customHeight="false" outlineLevel="0" collapsed="false">
      <c r="A50" s="2" t="s">
        <v>4943</v>
      </c>
      <c r="B50" s="2" t="s">
        <v>8068</v>
      </c>
      <c r="C50" s="2" t="s">
        <v>4944</v>
      </c>
      <c r="D50" s="2" t="s">
        <v>4945</v>
      </c>
      <c r="E50" s="2" t="s">
        <v>4946</v>
      </c>
      <c r="F50" s="2" t="s">
        <v>4947</v>
      </c>
      <c r="G50" s="2" t="s">
        <v>20</v>
      </c>
      <c r="H50" s="2" t="s">
        <v>4948</v>
      </c>
      <c r="I50" s="2" t="s">
        <v>4666</v>
      </c>
      <c r="J50" s="2" t="n">
        <v>2</v>
      </c>
    </row>
    <row r="51" customFormat="false" ht="61.15" hidden="false" customHeight="false" outlineLevel="0" collapsed="false">
      <c r="A51" s="2" t="s">
        <v>4949</v>
      </c>
      <c r="B51" s="2" t="s">
        <v>8068</v>
      </c>
      <c r="C51" s="2" t="s">
        <v>4950</v>
      </c>
      <c r="D51" s="2" t="s">
        <v>4951</v>
      </c>
      <c r="E51" s="2" t="s">
        <v>4952</v>
      </c>
      <c r="F51" s="2" t="s">
        <v>4953</v>
      </c>
      <c r="G51" s="2" t="s">
        <v>20</v>
      </c>
      <c r="H51" s="2" t="s">
        <v>4954</v>
      </c>
      <c r="I51" s="2" t="s">
        <v>4666</v>
      </c>
      <c r="J51" s="2" t="n">
        <v>3</v>
      </c>
    </row>
    <row r="52" customFormat="false" ht="61.15" hidden="false" customHeight="false" outlineLevel="0" collapsed="false">
      <c r="A52" s="2" t="s">
        <v>4955</v>
      </c>
      <c r="B52" s="2" t="s">
        <v>8069</v>
      </c>
      <c r="C52" s="2" t="s">
        <v>4956</v>
      </c>
      <c r="D52" s="2" t="s">
        <v>4957</v>
      </c>
      <c r="E52" s="2" t="s">
        <v>4958</v>
      </c>
      <c r="F52" s="2" t="s">
        <v>4959</v>
      </c>
      <c r="G52" s="2" t="s">
        <v>20</v>
      </c>
      <c r="H52" s="2" t="s">
        <v>4960</v>
      </c>
      <c r="I52" s="2" t="s">
        <v>4666</v>
      </c>
      <c r="J52" s="2" t="n">
        <v>2</v>
      </c>
    </row>
    <row r="53" customFormat="false" ht="61.15" hidden="false" customHeight="false" outlineLevel="0" collapsed="false">
      <c r="A53" s="2" t="s">
        <v>4961</v>
      </c>
      <c r="B53" s="2" t="s">
        <v>8068</v>
      </c>
      <c r="C53" s="2" t="s">
        <v>4962</v>
      </c>
      <c r="D53" s="2" t="s">
        <v>4963</v>
      </c>
      <c r="E53" s="2" t="s">
        <v>4964</v>
      </c>
      <c r="F53" s="2" t="s">
        <v>4965</v>
      </c>
      <c r="G53" s="2" t="s">
        <v>20</v>
      </c>
      <c r="H53" s="2" t="s">
        <v>4966</v>
      </c>
      <c r="I53" s="2" t="s">
        <v>4666</v>
      </c>
      <c r="J53" s="2" t="n">
        <v>2</v>
      </c>
    </row>
    <row r="54" customFormat="false" ht="76.1" hidden="false" customHeight="false" outlineLevel="0" collapsed="false">
      <c r="A54" s="2" t="s">
        <v>4967</v>
      </c>
      <c r="B54" s="2" t="s">
        <v>8068</v>
      </c>
      <c r="C54" s="2" t="s">
        <v>4968</v>
      </c>
      <c r="D54" s="2" t="s">
        <v>4969</v>
      </c>
      <c r="E54" s="2" t="s">
        <v>4970</v>
      </c>
      <c r="F54" s="2" t="s">
        <v>4971</v>
      </c>
      <c r="G54" s="2" t="s">
        <v>20</v>
      </c>
      <c r="H54" s="2" t="s">
        <v>4972</v>
      </c>
      <c r="I54" s="2" t="s">
        <v>4666</v>
      </c>
      <c r="J54" s="2" t="n">
        <v>3</v>
      </c>
    </row>
    <row r="55" customFormat="false" ht="61.15" hidden="false" customHeight="false" outlineLevel="0" collapsed="false">
      <c r="A55" s="2" t="s">
        <v>4973</v>
      </c>
      <c r="B55" s="2" t="s">
        <v>8069</v>
      </c>
      <c r="C55" s="2" t="s">
        <v>4974</v>
      </c>
      <c r="D55" s="2" t="s">
        <v>4975</v>
      </c>
      <c r="E55" s="2" t="s">
        <v>4976</v>
      </c>
      <c r="F55" s="2" t="s">
        <v>4977</v>
      </c>
      <c r="G55" s="2" t="s">
        <v>20</v>
      </c>
      <c r="H55" s="2" t="s">
        <v>4978</v>
      </c>
      <c r="I55" s="2" t="s">
        <v>4666</v>
      </c>
      <c r="J55" s="2" t="n">
        <v>2</v>
      </c>
    </row>
    <row r="56" customFormat="false" ht="61.15" hidden="false" customHeight="false" outlineLevel="0" collapsed="false">
      <c r="A56" s="2" t="s">
        <v>4979</v>
      </c>
      <c r="B56" s="2" t="s">
        <v>8068</v>
      </c>
      <c r="C56" s="2" t="s">
        <v>4980</v>
      </c>
      <c r="D56" s="2" t="s">
        <v>4981</v>
      </c>
      <c r="E56" s="2" t="s">
        <v>4982</v>
      </c>
      <c r="F56" s="2" t="s">
        <v>4983</v>
      </c>
      <c r="G56" s="2" t="s">
        <v>20</v>
      </c>
      <c r="H56" s="2" t="s">
        <v>4984</v>
      </c>
      <c r="I56" s="2" t="s">
        <v>4666</v>
      </c>
      <c r="J56" s="2" t="n">
        <v>3</v>
      </c>
    </row>
    <row r="57" customFormat="false" ht="61.15" hidden="false" customHeight="false" outlineLevel="0" collapsed="false">
      <c r="A57" s="2" t="s">
        <v>4985</v>
      </c>
      <c r="B57" s="2" t="s">
        <v>8068</v>
      </c>
      <c r="C57" s="2" t="s">
        <v>4986</v>
      </c>
      <c r="D57" s="2" t="s">
        <v>4170</v>
      </c>
      <c r="E57" s="2" t="s">
        <v>4868</v>
      </c>
      <c r="F57" s="2" t="s">
        <v>4879</v>
      </c>
      <c r="G57" s="2" t="s">
        <v>20</v>
      </c>
      <c r="H57" s="2" t="s">
        <v>4987</v>
      </c>
      <c r="I57" s="2" t="s">
        <v>4666</v>
      </c>
      <c r="J57" s="2" t="n">
        <v>2</v>
      </c>
    </row>
    <row r="58" customFormat="false" ht="61.15" hidden="false" customHeight="false" outlineLevel="0" collapsed="false">
      <c r="A58" s="2" t="s">
        <v>4988</v>
      </c>
      <c r="B58" s="2" t="s">
        <v>8068</v>
      </c>
      <c r="C58" s="2" t="s">
        <v>4989</v>
      </c>
      <c r="D58" s="2" t="s">
        <v>4990</v>
      </c>
      <c r="E58" s="2" t="s">
        <v>4991</v>
      </c>
      <c r="F58" s="2" t="s">
        <v>4992</v>
      </c>
      <c r="G58" s="2" t="s">
        <v>20</v>
      </c>
      <c r="H58" s="2" t="s">
        <v>4993</v>
      </c>
      <c r="I58" s="2" t="s">
        <v>4666</v>
      </c>
      <c r="J58" s="2" t="n">
        <v>2</v>
      </c>
    </row>
    <row r="59" customFormat="false" ht="46.25" hidden="false" customHeight="false" outlineLevel="0" collapsed="false">
      <c r="A59" s="2" t="s">
        <v>4994</v>
      </c>
      <c r="B59" s="2" t="s">
        <v>8069</v>
      </c>
      <c r="C59" s="2" t="s">
        <v>4995</v>
      </c>
      <c r="D59" s="2" t="s">
        <v>4996</v>
      </c>
      <c r="E59" s="2" t="s">
        <v>4997</v>
      </c>
      <c r="F59" s="2" t="s">
        <v>4998</v>
      </c>
      <c r="G59" s="2" t="s">
        <v>20</v>
      </c>
      <c r="H59" s="2" t="s">
        <v>4999</v>
      </c>
      <c r="I59" s="2" t="s">
        <v>4666</v>
      </c>
      <c r="J59" s="2" t="n">
        <v>2</v>
      </c>
    </row>
    <row r="60" customFormat="false" ht="76.1" hidden="false" customHeight="false" outlineLevel="0" collapsed="false">
      <c r="A60" s="2" t="s">
        <v>5000</v>
      </c>
      <c r="B60" s="2" t="s">
        <v>8068</v>
      </c>
      <c r="C60" s="2" t="s">
        <v>5001</v>
      </c>
      <c r="D60" s="2" t="s">
        <v>4868</v>
      </c>
      <c r="E60" s="2" t="s">
        <v>4170</v>
      </c>
      <c r="F60" s="2" t="s">
        <v>5002</v>
      </c>
      <c r="G60" s="2" t="s">
        <v>20</v>
      </c>
      <c r="H60" s="2" t="s">
        <v>5003</v>
      </c>
      <c r="I60" s="2" t="s">
        <v>4666</v>
      </c>
      <c r="J60" s="2" t="n">
        <v>3</v>
      </c>
    </row>
    <row r="61" customFormat="false" ht="105.95" hidden="false" customHeight="false" outlineLevel="0" collapsed="false">
      <c r="A61" s="2" t="s">
        <v>5004</v>
      </c>
      <c r="B61" s="2" t="s">
        <v>8068</v>
      </c>
      <c r="C61" s="2" t="s">
        <v>5005</v>
      </c>
      <c r="D61" s="2" t="s">
        <v>5006</v>
      </c>
      <c r="E61" s="2" t="s">
        <v>5007</v>
      </c>
      <c r="F61" s="2" t="s">
        <v>5008</v>
      </c>
      <c r="G61" s="2" t="s">
        <v>20</v>
      </c>
      <c r="H61" s="2" t="s">
        <v>5009</v>
      </c>
      <c r="I61" s="2" t="s">
        <v>4666</v>
      </c>
      <c r="J61" s="2" t="n">
        <v>3</v>
      </c>
    </row>
    <row r="62" customFormat="false" ht="150.7" hidden="false" customHeight="false" outlineLevel="0" collapsed="false">
      <c r="A62" s="2" t="s">
        <v>5010</v>
      </c>
      <c r="B62" s="2" t="s">
        <v>8068</v>
      </c>
      <c r="C62" s="2" t="s">
        <v>5011</v>
      </c>
      <c r="D62" s="2" t="s">
        <v>5012</v>
      </c>
      <c r="E62" s="2" t="s">
        <v>5013</v>
      </c>
      <c r="F62" s="2" t="s">
        <v>5014</v>
      </c>
      <c r="G62" s="2" t="s">
        <v>20</v>
      </c>
      <c r="H62" s="2" t="s">
        <v>5015</v>
      </c>
      <c r="I62" s="2" t="s">
        <v>4799</v>
      </c>
      <c r="J62" s="2" t="n">
        <v>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customHeight="false"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45"/>
    <col collapsed="false" customWidth="true" hidden="false" outlineLevel="0" max="6" min="4" style="0" width="32"/>
    <col collapsed="false" customWidth="true" hidden="false" outlineLevel="0" max="7" min="7" style="0" width="9"/>
    <col collapsed="false" customWidth="true" hidden="false" outlineLevel="0" max="8" min="8" style="0" width="42"/>
    <col collapsed="false" customWidth="true" hidden="false" outlineLevel="0" max="9" min="9" style="0" width="20"/>
    <col collapsed="false" customWidth="true" hidden="false" outlineLevel="0" max="10" min="10" style="0" width="10"/>
  </cols>
  <sheetData>
    <row r="1" customFormat="false" ht="16.4" hidden="false" customHeight="false" outlineLevel="0" collapsed="false">
      <c r="A1" s="1" t="s">
        <v>0</v>
      </c>
      <c r="B1" s="1" t="s">
        <v>8067</v>
      </c>
      <c r="C1" s="1" t="s">
        <v>3</v>
      </c>
      <c r="D1" s="1" t="s">
        <v>4</v>
      </c>
      <c r="E1" s="1" t="s">
        <v>5</v>
      </c>
      <c r="F1" s="1" t="s">
        <v>6</v>
      </c>
      <c r="G1" s="1" t="s">
        <v>7</v>
      </c>
      <c r="H1" s="1" t="s">
        <v>8</v>
      </c>
      <c r="I1" s="1" t="s">
        <v>9</v>
      </c>
      <c r="J1" s="1" t="s">
        <v>11</v>
      </c>
    </row>
    <row r="2" customFormat="false" ht="61.15" hidden="false" customHeight="false" outlineLevel="0" collapsed="false">
      <c r="A2" s="2" t="s">
        <v>5022</v>
      </c>
      <c r="B2" s="2" t="s">
        <v>8068</v>
      </c>
      <c r="C2" s="2" t="s">
        <v>5024</v>
      </c>
      <c r="D2" s="2" t="s">
        <v>5025</v>
      </c>
      <c r="E2" s="2" t="s">
        <v>5026</v>
      </c>
      <c r="F2" s="2" t="s">
        <v>5027</v>
      </c>
      <c r="G2" s="2" t="s">
        <v>20</v>
      </c>
      <c r="H2" s="2" t="s">
        <v>5028</v>
      </c>
      <c r="I2" s="2" t="s">
        <v>5023</v>
      </c>
      <c r="J2" s="2" t="n">
        <v>3</v>
      </c>
    </row>
    <row r="3" customFormat="false" ht="91" hidden="false" customHeight="false" outlineLevel="0" collapsed="false">
      <c r="A3" s="2" t="s">
        <v>5029</v>
      </c>
      <c r="B3" s="2" t="s">
        <v>8068</v>
      </c>
      <c r="C3" s="2" t="s">
        <v>5030</v>
      </c>
      <c r="D3" s="2" t="s">
        <v>5031</v>
      </c>
      <c r="E3" s="2" t="s">
        <v>5032</v>
      </c>
      <c r="F3" s="2" t="s">
        <v>5033</v>
      </c>
      <c r="G3" s="2" t="s">
        <v>20</v>
      </c>
      <c r="H3" s="2" t="s">
        <v>5034</v>
      </c>
      <c r="I3" s="2" t="s">
        <v>5023</v>
      </c>
      <c r="J3" s="2" t="n">
        <v>3</v>
      </c>
    </row>
    <row r="4" customFormat="false" ht="76.1" hidden="false" customHeight="false" outlineLevel="0" collapsed="false">
      <c r="A4" s="2" t="s">
        <v>5035</v>
      </c>
      <c r="B4" s="2" t="s">
        <v>8068</v>
      </c>
      <c r="C4" s="2" t="s">
        <v>5036</v>
      </c>
      <c r="D4" s="2" t="s">
        <v>3092</v>
      </c>
      <c r="E4" s="2" t="s">
        <v>5037</v>
      </c>
      <c r="F4" s="2" t="s">
        <v>5038</v>
      </c>
      <c r="G4" s="2" t="s">
        <v>20</v>
      </c>
      <c r="H4" s="2" t="s">
        <v>5039</v>
      </c>
      <c r="I4" s="2" t="s">
        <v>5040</v>
      </c>
      <c r="J4" s="2" t="n">
        <v>3</v>
      </c>
    </row>
    <row r="5" customFormat="false" ht="76.1" hidden="false" customHeight="false" outlineLevel="0" collapsed="false">
      <c r="A5" s="2" t="s">
        <v>5041</v>
      </c>
      <c r="B5" s="2" t="s">
        <v>8068</v>
      </c>
      <c r="C5" s="2" t="s">
        <v>5042</v>
      </c>
      <c r="D5" s="2" t="s">
        <v>4172</v>
      </c>
      <c r="E5" s="2" t="s">
        <v>5043</v>
      </c>
      <c r="F5" s="2" t="s">
        <v>4170</v>
      </c>
      <c r="G5" s="2" t="s">
        <v>226</v>
      </c>
      <c r="H5" s="2" t="s">
        <v>5044</v>
      </c>
      <c r="I5" s="2" t="s">
        <v>5023</v>
      </c>
      <c r="J5" s="2" t="n">
        <v>4</v>
      </c>
    </row>
    <row r="6" customFormat="false" ht="76.1" hidden="false" customHeight="false" outlineLevel="0" collapsed="false">
      <c r="A6" s="2" t="s">
        <v>5045</v>
      </c>
      <c r="B6" s="2" t="s">
        <v>8068</v>
      </c>
      <c r="C6" s="2" t="s">
        <v>5046</v>
      </c>
      <c r="D6" s="2" t="s">
        <v>5047</v>
      </c>
      <c r="E6" s="2" t="s">
        <v>5048</v>
      </c>
      <c r="F6" s="2" t="s">
        <v>5049</v>
      </c>
      <c r="G6" s="2" t="s">
        <v>28</v>
      </c>
      <c r="H6" s="2" t="s">
        <v>5050</v>
      </c>
      <c r="I6" s="2" t="s">
        <v>5023</v>
      </c>
      <c r="J6" s="2" t="n">
        <v>4</v>
      </c>
    </row>
    <row r="7" customFormat="false" ht="76.1" hidden="false" customHeight="false" outlineLevel="0" collapsed="false">
      <c r="A7" s="2" t="s">
        <v>5051</v>
      </c>
      <c r="B7" s="2" t="s">
        <v>8068</v>
      </c>
      <c r="C7" s="2" t="s">
        <v>5052</v>
      </c>
      <c r="D7" s="2" t="s">
        <v>5053</v>
      </c>
      <c r="E7" s="2" t="s">
        <v>5054</v>
      </c>
      <c r="F7" s="2" t="s">
        <v>5055</v>
      </c>
      <c r="G7" s="2" t="s">
        <v>28</v>
      </c>
      <c r="H7" s="2" t="s">
        <v>5056</v>
      </c>
      <c r="I7" s="2" t="s">
        <v>5023</v>
      </c>
      <c r="J7" s="2" t="n">
        <v>4</v>
      </c>
    </row>
    <row r="8" customFormat="false" ht="61.15" hidden="false" customHeight="false" outlineLevel="0" collapsed="false">
      <c r="A8" s="2" t="s">
        <v>5057</v>
      </c>
      <c r="B8" s="2" t="s">
        <v>8069</v>
      </c>
      <c r="C8" s="2" t="s">
        <v>5058</v>
      </c>
      <c r="D8" s="2" t="s">
        <v>5059</v>
      </c>
      <c r="E8" s="2" t="s">
        <v>5060</v>
      </c>
      <c r="F8" s="2" t="s">
        <v>5061</v>
      </c>
      <c r="G8" s="2" t="s">
        <v>20</v>
      </c>
      <c r="H8" s="2" t="s">
        <v>5062</v>
      </c>
      <c r="I8" s="2" t="s">
        <v>5063</v>
      </c>
      <c r="J8" s="2" t="n">
        <v>1</v>
      </c>
    </row>
    <row r="9" customFormat="false" ht="76.1" hidden="false" customHeight="false" outlineLevel="0" collapsed="false">
      <c r="A9" s="2" t="s">
        <v>5064</v>
      </c>
      <c r="B9" s="2" t="s">
        <v>8068</v>
      </c>
      <c r="C9" s="2" t="s">
        <v>5065</v>
      </c>
      <c r="D9" s="2" t="s">
        <v>5066</v>
      </c>
      <c r="E9" s="2" t="s">
        <v>5067</v>
      </c>
      <c r="F9" s="2" t="s">
        <v>5068</v>
      </c>
      <c r="G9" s="2" t="s">
        <v>28</v>
      </c>
      <c r="H9" s="2" t="s">
        <v>5069</v>
      </c>
      <c r="I9" s="2" t="s">
        <v>2975</v>
      </c>
      <c r="J9" s="2" t="n">
        <v>4</v>
      </c>
    </row>
    <row r="10" customFormat="false" ht="105.95" hidden="false" customHeight="false" outlineLevel="0" collapsed="false">
      <c r="A10" s="2" t="s">
        <v>5070</v>
      </c>
      <c r="B10" s="2" t="s">
        <v>8068</v>
      </c>
      <c r="C10" s="2" t="s">
        <v>5071</v>
      </c>
      <c r="D10" s="2" t="s">
        <v>5072</v>
      </c>
      <c r="E10" s="2" t="s">
        <v>5073</v>
      </c>
      <c r="F10" s="2" t="s">
        <v>5074</v>
      </c>
      <c r="G10" s="2" t="s">
        <v>20</v>
      </c>
      <c r="H10" s="2" t="s">
        <v>5075</v>
      </c>
      <c r="I10" s="2" t="s">
        <v>5076</v>
      </c>
      <c r="J10" s="2" t="n">
        <v>3</v>
      </c>
    </row>
    <row r="11" customFormat="false" ht="61.15" hidden="false" customHeight="false" outlineLevel="0" collapsed="false">
      <c r="A11" s="2" t="s">
        <v>5077</v>
      </c>
      <c r="B11" s="2" t="s">
        <v>8068</v>
      </c>
      <c r="C11" s="2" t="s">
        <v>5078</v>
      </c>
      <c r="D11" s="2" t="s">
        <v>5079</v>
      </c>
      <c r="E11" s="2" t="s">
        <v>5080</v>
      </c>
      <c r="F11" s="2" t="s">
        <v>5081</v>
      </c>
      <c r="G11" s="2" t="s">
        <v>226</v>
      </c>
      <c r="H11" s="2" t="s">
        <v>5082</v>
      </c>
      <c r="I11" s="2" t="s">
        <v>5023</v>
      </c>
      <c r="J11" s="2" t="n">
        <v>3</v>
      </c>
    </row>
    <row r="12" customFormat="false" ht="61.15" hidden="false" customHeight="false" outlineLevel="0" collapsed="false">
      <c r="A12" s="2" t="s">
        <v>5083</v>
      </c>
      <c r="B12" s="2" t="s">
        <v>8068</v>
      </c>
      <c r="C12" s="2" t="s">
        <v>5084</v>
      </c>
      <c r="D12" s="2" t="s">
        <v>2958</v>
      </c>
      <c r="E12" s="2" t="s">
        <v>4595</v>
      </c>
      <c r="F12" s="2" t="s">
        <v>5085</v>
      </c>
      <c r="G12" s="2" t="s">
        <v>28</v>
      </c>
      <c r="H12" s="2" t="s">
        <v>5086</v>
      </c>
      <c r="I12" s="2" t="s">
        <v>5087</v>
      </c>
      <c r="J12" s="2" t="n">
        <v>4</v>
      </c>
    </row>
    <row r="13" customFormat="false" ht="76.1" hidden="false" customHeight="false" outlineLevel="0" collapsed="false">
      <c r="A13" s="2" t="s">
        <v>5088</v>
      </c>
      <c r="B13" s="2" t="s">
        <v>8068</v>
      </c>
      <c r="C13" s="2" t="s">
        <v>5089</v>
      </c>
      <c r="D13" s="2" t="s">
        <v>5090</v>
      </c>
      <c r="E13" s="2" t="s">
        <v>5091</v>
      </c>
      <c r="F13" s="2" t="s">
        <v>5092</v>
      </c>
      <c r="G13" s="2" t="s">
        <v>226</v>
      </c>
      <c r="H13" s="2" t="s">
        <v>5093</v>
      </c>
      <c r="I13" s="2" t="s">
        <v>5023</v>
      </c>
      <c r="J13" s="2" t="n">
        <v>3</v>
      </c>
    </row>
    <row r="14" customFormat="false" ht="46.25" hidden="false" customHeight="false" outlineLevel="0" collapsed="false">
      <c r="A14" s="2" t="s">
        <v>5094</v>
      </c>
      <c r="B14" s="2" t="s">
        <v>8068</v>
      </c>
      <c r="C14" s="2" t="s">
        <v>5095</v>
      </c>
      <c r="D14" s="2" t="s">
        <v>5096</v>
      </c>
      <c r="E14" s="2" t="s">
        <v>5097</v>
      </c>
      <c r="F14" s="2" t="s">
        <v>5098</v>
      </c>
      <c r="G14" s="2" t="s">
        <v>20</v>
      </c>
      <c r="H14" s="2" t="s">
        <v>5099</v>
      </c>
      <c r="I14" s="2" t="s">
        <v>5023</v>
      </c>
      <c r="J14" s="2" t="n">
        <v>1</v>
      </c>
    </row>
    <row r="15" customFormat="false" ht="105.95" hidden="false" customHeight="false" outlineLevel="0" collapsed="false">
      <c r="A15" s="2" t="s">
        <v>5100</v>
      </c>
      <c r="B15" s="2" t="s">
        <v>8068</v>
      </c>
      <c r="C15" s="2" t="s">
        <v>5101</v>
      </c>
      <c r="D15" s="2" t="s">
        <v>5102</v>
      </c>
      <c r="E15" s="2" t="s">
        <v>5103</v>
      </c>
      <c r="F15" s="2" t="s">
        <v>5104</v>
      </c>
      <c r="G15" s="2" t="s">
        <v>20</v>
      </c>
      <c r="H15" s="2" t="s">
        <v>5105</v>
      </c>
      <c r="I15" s="2" t="s">
        <v>5023</v>
      </c>
      <c r="J15" s="2" t="n">
        <v>2</v>
      </c>
    </row>
    <row r="16" customFormat="false" ht="91" hidden="false" customHeight="false" outlineLevel="0" collapsed="false">
      <c r="A16" s="2" t="s">
        <v>5106</v>
      </c>
      <c r="B16" s="2" t="s">
        <v>8068</v>
      </c>
      <c r="C16" s="2" t="s">
        <v>5107</v>
      </c>
      <c r="D16" s="2" t="s">
        <v>5108</v>
      </c>
      <c r="E16" s="2" t="s">
        <v>5109</v>
      </c>
      <c r="F16" s="2" t="s">
        <v>5110</v>
      </c>
      <c r="G16" s="2" t="s">
        <v>20</v>
      </c>
      <c r="H16" s="2" t="s">
        <v>5111</v>
      </c>
      <c r="I16" s="2" t="s">
        <v>5023</v>
      </c>
      <c r="J16" s="2" t="n">
        <v>3</v>
      </c>
    </row>
    <row r="17" customFormat="false" ht="76.1" hidden="false" customHeight="false" outlineLevel="0" collapsed="false">
      <c r="A17" s="2" t="s">
        <v>5112</v>
      </c>
      <c r="B17" s="2" t="s">
        <v>8068</v>
      </c>
      <c r="C17" s="2" t="s">
        <v>5113</v>
      </c>
      <c r="D17" s="2" t="s">
        <v>5114</v>
      </c>
      <c r="E17" s="2" t="s">
        <v>5115</v>
      </c>
      <c r="F17" s="2" t="s">
        <v>5116</v>
      </c>
      <c r="G17" s="2" t="s">
        <v>20</v>
      </c>
      <c r="H17" s="2" t="s">
        <v>5117</v>
      </c>
      <c r="I17" s="2" t="s">
        <v>5023</v>
      </c>
      <c r="J17" s="2" t="n">
        <v>2</v>
      </c>
    </row>
    <row r="18" customFormat="false" ht="61.15" hidden="false" customHeight="false" outlineLevel="0" collapsed="false">
      <c r="A18" s="2" t="s">
        <v>5118</v>
      </c>
      <c r="B18" s="2" t="s">
        <v>8068</v>
      </c>
      <c r="C18" s="2" t="s">
        <v>5119</v>
      </c>
      <c r="D18" s="2" t="s">
        <v>5120</v>
      </c>
      <c r="E18" s="2" t="s">
        <v>5121</v>
      </c>
      <c r="F18" s="2" t="s">
        <v>5122</v>
      </c>
      <c r="G18" s="2" t="s">
        <v>20</v>
      </c>
      <c r="H18" s="2" t="s">
        <v>5123</v>
      </c>
      <c r="I18" s="2" t="s">
        <v>5023</v>
      </c>
      <c r="J18" s="2" t="n">
        <v>1</v>
      </c>
    </row>
    <row r="19" customFormat="false" ht="61.15" hidden="false" customHeight="false" outlineLevel="0" collapsed="false">
      <c r="A19" s="2" t="s">
        <v>5124</v>
      </c>
      <c r="B19" s="2" t="s">
        <v>8068</v>
      </c>
      <c r="C19" s="2" t="s">
        <v>5125</v>
      </c>
      <c r="D19" s="2" t="s">
        <v>2727</v>
      </c>
      <c r="E19" s="2" t="s">
        <v>5126</v>
      </c>
      <c r="F19" s="2" t="s">
        <v>5127</v>
      </c>
      <c r="G19" s="2" t="s">
        <v>20</v>
      </c>
      <c r="H19" s="2" t="s">
        <v>5128</v>
      </c>
      <c r="I19" s="2" t="s">
        <v>5023</v>
      </c>
      <c r="J19" s="2" t="n">
        <v>4</v>
      </c>
    </row>
    <row r="20" customFormat="false" ht="61.15" hidden="false" customHeight="false" outlineLevel="0" collapsed="false">
      <c r="A20" s="2" t="s">
        <v>5129</v>
      </c>
      <c r="B20" s="2" t="s">
        <v>8068</v>
      </c>
      <c r="C20" s="2" t="s">
        <v>5130</v>
      </c>
      <c r="D20" s="2" t="s">
        <v>5131</v>
      </c>
      <c r="E20" s="2" t="s">
        <v>5132</v>
      </c>
      <c r="F20" s="2" t="s">
        <v>5133</v>
      </c>
      <c r="G20" s="2" t="s">
        <v>20</v>
      </c>
      <c r="H20" s="2" t="s">
        <v>5134</v>
      </c>
      <c r="I20" s="2" t="s">
        <v>5023</v>
      </c>
      <c r="J20" s="2" t="n">
        <v>2</v>
      </c>
    </row>
    <row r="21" customFormat="false" ht="76.1" hidden="false" customHeight="false" outlineLevel="0" collapsed="false">
      <c r="A21" s="2" t="s">
        <v>5135</v>
      </c>
      <c r="B21" s="2" t="s">
        <v>8069</v>
      </c>
      <c r="C21" s="2" t="s">
        <v>5136</v>
      </c>
      <c r="D21" s="2" t="s">
        <v>5137</v>
      </c>
      <c r="E21" s="2" t="s">
        <v>5138</v>
      </c>
      <c r="F21" s="2" t="s">
        <v>5139</v>
      </c>
      <c r="G21" s="2" t="s">
        <v>20</v>
      </c>
      <c r="H21" s="2" t="s">
        <v>5140</v>
      </c>
      <c r="I21" s="2" t="s">
        <v>5023</v>
      </c>
      <c r="J21" s="2" t="n">
        <v>2</v>
      </c>
    </row>
    <row r="22" customFormat="false" ht="61.15" hidden="false" customHeight="false" outlineLevel="0" collapsed="false">
      <c r="A22" s="2" t="s">
        <v>5141</v>
      </c>
      <c r="B22" s="2" t="s">
        <v>8068</v>
      </c>
      <c r="C22" s="2" t="s">
        <v>5142</v>
      </c>
      <c r="D22" s="2" t="s">
        <v>5143</v>
      </c>
      <c r="E22" s="2" t="s">
        <v>5144</v>
      </c>
      <c r="F22" s="2" t="s">
        <v>5145</v>
      </c>
      <c r="G22" s="2" t="s">
        <v>20</v>
      </c>
      <c r="H22" s="2" t="s">
        <v>5146</v>
      </c>
      <c r="I22" s="2" t="s">
        <v>5023</v>
      </c>
      <c r="J22" s="2" t="n">
        <v>2</v>
      </c>
    </row>
    <row r="23" customFormat="false" ht="61.15" hidden="false" customHeight="false" outlineLevel="0" collapsed="false">
      <c r="A23" s="2" t="s">
        <v>5147</v>
      </c>
      <c r="B23" s="2" t="s">
        <v>8068</v>
      </c>
      <c r="C23" s="2" t="s">
        <v>5148</v>
      </c>
      <c r="D23" s="2" t="s">
        <v>5149</v>
      </c>
      <c r="E23" s="2" t="s">
        <v>5150</v>
      </c>
      <c r="F23" s="2" t="s">
        <v>5151</v>
      </c>
      <c r="G23" s="2" t="s">
        <v>20</v>
      </c>
      <c r="H23" s="2" t="s">
        <v>5152</v>
      </c>
      <c r="I23" s="2" t="s">
        <v>5023</v>
      </c>
      <c r="J23" s="2" t="n">
        <v>3</v>
      </c>
    </row>
    <row r="24" customFormat="false" ht="61.15" hidden="false" customHeight="false" outlineLevel="0" collapsed="false">
      <c r="A24" s="2" t="s">
        <v>5153</v>
      </c>
      <c r="B24" s="2" t="s">
        <v>8068</v>
      </c>
      <c r="C24" s="2" t="s">
        <v>5154</v>
      </c>
      <c r="D24" s="2" t="s">
        <v>5155</v>
      </c>
      <c r="E24" s="2" t="s">
        <v>5156</v>
      </c>
      <c r="F24" s="2" t="s">
        <v>5157</v>
      </c>
      <c r="G24" s="2" t="s">
        <v>20</v>
      </c>
      <c r="H24" s="2" t="s">
        <v>5158</v>
      </c>
      <c r="I24" s="2" t="s">
        <v>5023</v>
      </c>
      <c r="J24" s="2" t="n">
        <v>3</v>
      </c>
    </row>
    <row r="25" customFormat="false" ht="61.15" hidden="false" customHeight="false" outlineLevel="0" collapsed="false">
      <c r="A25" s="2" t="s">
        <v>5159</v>
      </c>
      <c r="B25" s="2" t="s">
        <v>8068</v>
      </c>
      <c r="C25" s="2" t="s">
        <v>5160</v>
      </c>
      <c r="D25" s="2" t="s">
        <v>1608</v>
      </c>
      <c r="E25" s="2" t="s">
        <v>5161</v>
      </c>
      <c r="F25" s="2" t="s">
        <v>5162</v>
      </c>
      <c r="G25" s="2" t="s">
        <v>20</v>
      </c>
      <c r="H25" s="2" t="s">
        <v>5163</v>
      </c>
      <c r="I25" s="2" t="s">
        <v>5023</v>
      </c>
      <c r="J25" s="2" t="n">
        <v>3</v>
      </c>
    </row>
    <row r="26" customFormat="false" ht="61.15" hidden="false" customHeight="false" outlineLevel="0" collapsed="false">
      <c r="A26" s="2" t="s">
        <v>5164</v>
      </c>
      <c r="B26" s="2" t="s">
        <v>8068</v>
      </c>
      <c r="C26" s="2" t="s">
        <v>5165</v>
      </c>
      <c r="D26" s="2" t="s">
        <v>5166</v>
      </c>
      <c r="E26" s="2" t="s">
        <v>5167</v>
      </c>
      <c r="F26" s="2" t="s">
        <v>5168</v>
      </c>
      <c r="G26" s="2" t="s">
        <v>20</v>
      </c>
      <c r="H26" s="2" t="s">
        <v>5169</v>
      </c>
      <c r="I26" s="2" t="s">
        <v>1977</v>
      </c>
      <c r="J26" s="2" t="n">
        <v>3</v>
      </c>
    </row>
    <row r="27" customFormat="false" ht="61.15" hidden="false" customHeight="false" outlineLevel="0" collapsed="false">
      <c r="A27" s="2" t="s">
        <v>5170</v>
      </c>
      <c r="B27" s="2" t="s">
        <v>8068</v>
      </c>
      <c r="C27" s="2" t="s">
        <v>5171</v>
      </c>
      <c r="D27" s="2" t="s">
        <v>5172</v>
      </c>
      <c r="E27" s="2" t="s">
        <v>5173</v>
      </c>
      <c r="F27" s="2" t="s">
        <v>5174</v>
      </c>
      <c r="G27" s="2" t="s">
        <v>20</v>
      </c>
      <c r="H27" s="2" t="s">
        <v>5175</v>
      </c>
      <c r="I27" s="2" t="s">
        <v>5023</v>
      </c>
      <c r="J27" s="2" t="n">
        <v>4</v>
      </c>
    </row>
    <row r="28" customFormat="false" ht="61.15" hidden="false" customHeight="false" outlineLevel="0" collapsed="false">
      <c r="A28" s="2" t="s">
        <v>5176</v>
      </c>
      <c r="B28" s="2" t="s">
        <v>8068</v>
      </c>
      <c r="C28" s="2" t="s">
        <v>5177</v>
      </c>
      <c r="D28" s="2" t="s">
        <v>5178</v>
      </c>
      <c r="E28" s="2" t="s">
        <v>5179</v>
      </c>
      <c r="F28" s="2" t="s">
        <v>5180</v>
      </c>
      <c r="G28" s="2" t="s">
        <v>20</v>
      </c>
      <c r="H28" s="2" t="s">
        <v>5181</v>
      </c>
      <c r="I28" s="2" t="s">
        <v>5023</v>
      </c>
      <c r="J28" s="2" t="n">
        <v>2</v>
      </c>
    </row>
    <row r="29" customFormat="false" ht="91" hidden="false" customHeight="false" outlineLevel="0" collapsed="false">
      <c r="A29" s="2" t="s">
        <v>5182</v>
      </c>
      <c r="B29" s="2" t="s">
        <v>8069</v>
      </c>
      <c r="C29" s="2" t="s">
        <v>5183</v>
      </c>
      <c r="D29" s="2" t="s">
        <v>5184</v>
      </c>
      <c r="E29" s="2" t="s">
        <v>5185</v>
      </c>
      <c r="F29" s="2" t="s">
        <v>5186</v>
      </c>
      <c r="G29" s="2" t="s">
        <v>20</v>
      </c>
      <c r="H29" s="2" t="s">
        <v>5187</v>
      </c>
      <c r="I29" s="2" t="s">
        <v>5188</v>
      </c>
      <c r="J29" s="2" t="n">
        <v>2</v>
      </c>
    </row>
    <row r="30" customFormat="false" ht="76.1" hidden="false" customHeight="false" outlineLevel="0" collapsed="false">
      <c r="A30" s="2" t="s">
        <v>5189</v>
      </c>
      <c r="B30" s="2" t="s">
        <v>8069</v>
      </c>
      <c r="C30" s="2" t="s">
        <v>5190</v>
      </c>
      <c r="D30" s="2" t="s">
        <v>5191</v>
      </c>
      <c r="E30" s="2" t="s">
        <v>5192</v>
      </c>
      <c r="F30" s="2" t="s">
        <v>5193</v>
      </c>
      <c r="G30" s="2" t="s">
        <v>226</v>
      </c>
      <c r="H30" s="2" t="s">
        <v>5194</v>
      </c>
      <c r="I30" s="2" t="s">
        <v>5195</v>
      </c>
      <c r="J30" s="2" t="n">
        <v>1</v>
      </c>
    </row>
    <row r="31" customFormat="false" ht="76.1" hidden="false" customHeight="false" outlineLevel="0" collapsed="false">
      <c r="A31" s="2" t="s">
        <v>5196</v>
      </c>
      <c r="B31" s="2" t="s">
        <v>8069</v>
      </c>
      <c r="C31" s="2" t="s">
        <v>5197</v>
      </c>
      <c r="D31" s="2" t="s">
        <v>5198</v>
      </c>
      <c r="E31" s="2" t="s">
        <v>5199</v>
      </c>
      <c r="F31" s="2" t="s">
        <v>5200</v>
      </c>
      <c r="G31" s="2" t="s">
        <v>28</v>
      </c>
      <c r="H31" s="2" t="s">
        <v>5201</v>
      </c>
      <c r="I31" s="2" t="s">
        <v>5195</v>
      </c>
      <c r="J31" s="2" t="n">
        <v>1</v>
      </c>
    </row>
    <row r="32" customFormat="false" ht="76.1" hidden="false" customHeight="false" outlineLevel="0" collapsed="false">
      <c r="A32" s="2" t="s">
        <v>5202</v>
      </c>
      <c r="B32" s="2" t="s">
        <v>8069</v>
      </c>
      <c r="C32" s="2" t="s">
        <v>5203</v>
      </c>
      <c r="D32" s="2" t="s">
        <v>5204</v>
      </c>
      <c r="E32" s="2" t="s">
        <v>5205</v>
      </c>
      <c r="F32" s="2" t="s">
        <v>5206</v>
      </c>
      <c r="G32" s="2" t="s">
        <v>20</v>
      </c>
      <c r="H32" s="2" t="s">
        <v>5207</v>
      </c>
      <c r="I32" s="2" t="s">
        <v>5195</v>
      </c>
      <c r="J32" s="2" t="n">
        <v>1</v>
      </c>
    </row>
    <row r="33" customFormat="false" ht="61.15" hidden="false" customHeight="false" outlineLevel="0" collapsed="false">
      <c r="A33" s="2" t="s">
        <v>5208</v>
      </c>
      <c r="B33" s="2" t="s">
        <v>8068</v>
      </c>
      <c r="C33" s="2" t="s">
        <v>5209</v>
      </c>
      <c r="D33" s="2" t="s">
        <v>5210</v>
      </c>
      <c r="E33" s="2" t="s">
        <v>5211</v>
      </c>
      <c r="F33" s="2" t="s">
        <v>5212</v>
      </c>
      <c r="G33" s="2" t="s">
        <v>226</v>
      </c>
      <c r="H33" s="2" t="s">
        <v>5213</v>
      </c>
      <c r="I33" s="2" t="s">
        <v>5195</v>
      </c>
      <c r="J33" s="2" t="n">
        <v>2</v>
      </c>
    </row>
    <row r="34" customFormat="false" ht="61.15" hidden="false" customHeight="false" outlineLevel="0" collapsed="false">
      <c r="A34" s="2" t="s">
        <v>5214</v>
      </c>
      <c r="B34" s="2" t="s">
        <v>8068</v>
      </c>
      <c r="C34" s="2" t="s">
        <v>5215</v>
      </c>
      <c r="D34" s="2" t="s">
        <v>5216</v>
      </c>
      <c r="E34" s="2" t="s">
        <v>5217</v>
      </c>
      <c r="F34" s="2" t="s">
        <v>5218</v>
      </c>
      <c r="G34" s="2" t="s">
        <v>20</v>
      </c>
      <c r="H34" s="2" t="s">
        <v>5219</v>
      </c>
      <c r="I34" s="2" t="s">
        <v>5195</v>
      </c>
      <c r="J34" s="2" t="n">
        <v>2</v>
      </c>
    </row>
    <row r="35" customFormat="false" ht="105.95" hidden="false" customHeight="false" outlineLevel="0" collapsed="false">
      <c r="A35" s="2" t="s">
        <v>5220</v>
      </c>
      <c r="B35" s="2" t="s">
        <v>8068</v>
      </c>
      <c r="C35" s="2" t="s">
        <v>5221</v>
      </c>
      <c r="D35" s="2" t="s">
        <v>5222</v>
      </c>
      <c r="E35" s="2" t="s">
        <v>5223</v>
      </c>
      <c r="F35" s="2" t="s">
        <v>5224</v>
      </c>
      <c r="G35" s="2" t="s">
        <v>20</v>
      </c>
      <c r="H35" s="2" t="s">
        <v>5225</v>
      </c>
      <c r="I35" s="2" t="s">
        <v>5226</v>
      </c>
      <c r="J35" s="2" t="n">
        <v>3</v>
      </c>
    </row>
    <row r="36" customFormat="false" ht="61.15" hidden="false" customHeight="false" outlineLevel="0" collapsed="false">
      <c r="A36" s="2" t="s">
        <v>5227</v>
      </c>
      <c r="B36" s="2" t="s">
        <v>8068</v>
      </c>
      <c r="C36" s="2" t="s">
        <v>5228</v>
      </c>
      <c r="D36" s="2" t="s">
        <v>5229</v>
      </c>
      <c r="E36" s="2" t="s">
        <v>4172</v>
      </c>
      <c r="F36" s="2" t="s">
        <v>4170</v>
      </c>
      <c r="G36" s="2" t="s">
        <v>20</v>
      </c>
      <c r="H36" s="2" t="s">
        <v>5230</v>
      </c>
      <c r="I36" s="2" t="s">
        <v>5188</v>
      </c>
      <c r="J36" s="2" t="n">
        <v>3</v>
      </c>
    </row>
    <row r="37" customFormat="false" ht="61.15" hidden="false" customHeight="false" outlineLevel="0" collapsed="false">
      <c r="A37" s="2" t="s">
        <v>5231</v>
      </c>
      <c r="B37" s="2" t="s">
        <v>8068</v>
      </c>
      <c r="C37" s="2" t="s">
        <v>5232</v>
      </c>
      <c r="D37" s="2" t="s">
        <v>5233</v>
      </c>
      <c r="E37" s="2" t="s">
        <v>5234</v>
      </c>
      <c r="F37" s="2" t="s">
        <v>5235</v>
      </c>
      <c r="G37" s="2" t="s">
        <v>20</v>
      </c>
      <c r="H37" s="2" t="s">
        <v>5236</v>
      </c>
      <c r="I37" s="2" t="s">
        <v>5188</v>
      </c>
      <c r="J37" s="2" t="n">
        <v>3</v>
      </c>
    </row>
    <row r="38" customFormat="false" ht="61.15" hidden="false" customHeight="false" outlineLevel="0" collapsed="false">
      <c r="A38" s="2" t="s">
        <v>5237</v>
      </c>
      <c r="B38" s="2" t="s">
        <v>8068</v>
      </c>
      <c r="C38" s="2" t="s">
        <v>5238</v>
      </c>
      <c r="D38" s="2" t="s">
        <v>5239</v>
      </c>
      <c r="E38" s="2" t="s">
        <v>5240</v>
      </c>
      <c r="F38" s="2" t="s">
        <v>5241</v>
      </c>
      <c r="G38" s="2" t="s">
        <v>20</v>
      </c>
      <c r="H38" s="2" t="s">
        <v>5242</v>
      </c>
      <c r="I38" s="2" t="s">
        <v>5188</v>
      </c>
      <c r="J38" s="2" t="n">
        <v>2</v>
      </c>
    </row>
    <row r="39" customFormat="false" ht="46.25" hidden="false" customHeight="false" outlineLevel="0" collapsed="false">
      <c r="A39" s="2" t="s">
        <v>5243</v>
      </c>
      <c r="B39" s="2" t="s">
        <v>8069</v>
      </c>
      <c r="C39" s="2" t="s">
        <v>5244</v>
      </c>
      <c r="D39" s="2" t="s">
        <v>5245</v>
      </c>
      <c r="E39" s="2" t="s">
        <v>5246</v>
      </c>
      <c r="F39" s="2" t="s">
        <v>5247</v>
      </c>
      <c r="G39" s="2" t="s">
        <v>20</v>
      </c>
      <c r="H39" s="2" t="s">
        <v>5248</v>
      </c>
      <c r="I39" s="2" t="s">
        <v>5188</v>
      </c>
      <c r="J39" s="2" t="n">
        <v>1</v>
      </c>
    </row>
    <row r="40" customFormat="false" ht="61.15" hidden="false" customHeight="false" outlineLevel="0" collapsed="false">
      <c r="A40" s="2" t="s">
        <v>5249</v>
      </c>
      <c r="B40" s="2" t="s">
        <v>8068</v>
      </c>
      <c r="C40" s="2" t="s">
        <v>5250</v>
      </c>
      <c r="D40" s="2" t="s">
        <v>5251</v>
      </c>
      <c r="E40" s="2" t="s">
        <v>5252</v>
      </c>
      <c r="F40" s="2" t="s">
        <v>5253</v>
      </c>
      <c r="G40" s="2" t="s">
        <v>20</v>
      </c>
      <c r="H40" s="2" t="s">
        <v>5254</v>
      </c>
      <c r="I40" s="2" t="s">
        <v>5255</v>
      </c>
      <c r="J40" s="2" t="n">
        <v>2</v>
      </c>
    </row>
    <row r="41" customFormat="false" ht="61.15" hidden="false" customHeight="false" outlineLevel="0" collapsed="false">
      <c r="A41" s="2" t="s">
        <v>5256</v>
      </c>
      <c r="B41" s="2" t="s">
        <v>8068</v>
      </c>
      <c r="C41" s="2" t="s">
        <v>5257</v>
      </c>
      <c r="D41" s="2" t="s">
        <v>5258</v>
      </c>
      <c r="E41" s="2" t="s">
        <v>5259</v>
      </c>
      <c r="F41" s="2" t="s">
        <v>5260</v>
      </c>
      <c r="G41" s="2" t="s">
        <v>20</v>
      </c>
      <c r="H41" s="2" t="s">
        <v>5261</v>
      </c>
      <c r="I41" s="2" t="s">
        <v>5262</v>
      </c>
      <c r="J41" s="2" t="n">
        <v>2</v>
      </c>
    </row>
    <row r="42" customFormat="false" ht="61.15" hidden="false" customHeight="false" outlineLevel="0" collapsed="false">
      <c r="A42" s="2" t="s">
        <v>5263</v>
      </c>
      <c r="B42" s="2" t="s">
        <v>8068</v>
      </c>
      <c r="C42" s="2" t="s">
        <v>5264</v>
      </c>
      <c r="D42" s="2" t="s">
        <v>5229</v>
      </c>
      <c r="E42" s="2" t="s">
        <v>4172</v>
      </c>
      <c r="F42" s="2" t="s">
        <v>4170</v>
      </c>
      <c r="G42" s="2" t="s">
        <v>20</v>
      </c>
      <c r="H42" s="2" t="s">
        <v>5265</v>
      </c>
      <c r="I42" s="2" t="s">
        <v>5266</v>
      </c>
      <c r="J42" s="2" t="n">
        <v>2</v>
      </c>
    </row>
    <row r="43" customFormat="false" ht="46.25" hidden="false" customHeight="false" outlineLevel="0" collapsed="false">
      <c r="A43" s="2" t="s">
        <v>5267</v>
      </c>
      <c r="B43" s="2" t="s">
        <v>8069</v>
      </c>
      <c r="C43" s="2" t="s">
        <v>5268</v>
      </c>
      <c r="D43" s="2" t="s">
        <v>5269</v>
      </c>
      <c r="E43" s="2" t="s">
        <v>5270</v>
      </c>
      <c r="F43" s="2" t="s">
        <v>5271</v>
      </c>
      <c r="G43" s="2" t="s">
        <v>20</v>
      </c>
      <c r="H43" s="2" t="s">
        <v>5272</v>
      </c>
      <c r="I43" s="2" t="s">
        <v>5273</v>
      </c>
      <c r="J43" s="2" t="n">
        <v>3</v>
      </c>
    </row>
    <row r="44" customFormat="false" ht="76.1" hidden="false" customHeight="false" outlineLevel="0" collapsed="false">
      <c r="A44" s="2" t="s">
        <v>5274</v>
      </c>
      <c r="B44" s="2" t="s">
        <v>8068</v>
      </c>
      <c r="C44" s="2" t="s">
        <v>5275</v>
      </c>
      <c r="D44" s="2" t="s">
        <v>5276</v>
      </c>
      <c r="E44" s="2" t="s">
        <v>5277</v>
      </c>
      <c r="F44" s="2" t="s">
        <v>5278</v>
      </c>
      <c r="G44" s="2" t="s">
        <v>20</v>
      </c>
      <c r="H44" s="2" t="s">
        <v>5279</v>
      </c>
      <c r="I44" s="2" t="s">
        <v>5280</v>
      </c>
      <c r="J44" s="2" t="n">
        <v>3</v>
      </c>
    </row>
    <row r="45" customFormat="false" ht="46.25" hidden="false" customHeight="false" outlineLevel="0" collapsed="false">
      <c r="A45" s="2" t="s">
        <v>5281</v>
      </c>
      <c r="B45" s="2" t="s">
        <v>8068</v>
      </c>
      <c r="C45" s="2" t="s">
        <v>5282</v>
      </c>
      <c r="D45" s="2" t="s">
        <v>5283</v>
      </c>
      <c r="E45" s="2" t="s">
        <v>5284</v>
      </c>
      <c r="F45" s="2" t="s">
        <v>5285</v>
      </c>
      <c r="G45" s="2" t="s">
        <v>20</v>
      </c>
      <c r="H45" s="2" t="s">
        <v>5286</v>
      </c>
      <c r="I45" s="2" t="s">
        <v>5287</v>
      </c>
      <c r="J45" s="2" t="n">
        <v>2</v>
      </c>
    </row>
    <row r="46" customFormat="false" ht="76.1" hidden="false" customHeight="false" outlineLevel="0" collapsed="false">
      <c r="A46" s="2" t="s">
        <v>5288</v>
      </c>
      <c r="B46" s="2" t="s">
        <v>8068</v>
      </c>
      <c r="C46" s="2" t="s">
        <v>5289</v>
      </c>
      <c r="D46" s="2" t="s">
        <v>5290</v>
      </c>
      <c r="E46" s="2" t="s">
        <v>5291</v>
      </c>
      <c r="F46" s="2" t="s">
        <v>5292</v>
      </c>
      <c r="G46" s="2" t="s">
        <v>20</v>
      </c>
      <c r="H46" s="2" t="s">
        <v>5293</v>
      </c>
      <c r="I46" s="2" t="s">
        <v>5294</v>
      </c>
      <c r="J46" s="2" t="n">
        <v>2</v>
      </c>
    </row>
    <row r="47" customFormat="false" ht="61.15" hidden="false" customHeight="false" outlineLevel="0" collapsed="false">
      <c r="A47" s="2" t="s">
        <v>5295</v>
      </c>
      <c r="B47" s="2" t="s">
        <v>8068</v>
      </c>
      <c r="C47" s="2" t="s">
        <v>5296</v>
      </c>
      <c r="D47" s="2" t="s">
        <v>4172</v>
      </c>
      <c r="E47" s="2" t="s">
        <v>4170</v>
      </c>
      <c r="F47" s="2" t="s">
        <v>4171</v>
      </c>
      <c r="G47" s="2" t="s">
        <v>226</v>
      </c>
      <c r="H47" s="2" t="s">
        <v>5297</v>
      </c>
      <c r="I47" s="2" t="s">
        <v>5294</v>
      </c>
      <c r="J47" s="2" t="n">
        <v>2</v>
      </c>
    </row>
    <row r="48" customFormat="false" ht="61.15" hidden="false" customHeight="false" outlineLevel="0" collapsed="false">
      <c r="A48" s="2" t="s">
        <v>5298</v>
      </c>
      <c r="B48" s="2" t="s">
        <v>8068</v>
      </c>
      <c r="C48" s="2" t="s">
        <v>5299</v>
      </c>
      <c r="D48" s="2" t="s">
        <v>5300</v>
      </c>
      <c r="E48" s="2" t="s">
        <v>5301</v>
      </c>
      <c r="F48" s="2" t="s">
        <v>5302</v>
      </c>
      <c r="G48" s="2" t="s">
        <v>20</v>
      </c>
      <c r="H48" s="2" t="s">
        <v>5303</v>
      </c>
      <c r="I48" s="2" t="s">
        <v>5304</v>
      </c>
      <c r="J48" s="2" t="n">
        <v>3</v>
      </c>
    </row>
    <row r="49" customFormat="false" ht="76.1" hidden="false" customHeight="false" outlineLevel="0" collapsed="false">
      <c r="A49" s="2" t="s">
        <v>5305</v>
      </c>
      <c r="B49" s="2" t="s">
        <v>8068</v>
      </c>
      <c r="C49" s="2" t="s">
        <v>5306</v>
      </c>
      <c r="D49" s="2" t="s">
        <v>5307</v>
      </c>
      <c r="E49" s="2" t="s">
        <v>5308</v>
      </c>
      <c r="F49" s="2" t="s">
        <v>5309</v>
      </c>
      <c r="G49" s="2" t="s">
        <v>20</v>
      </c>
      <c r="H49" s="2" t="s">
        <v>5310</v>
      </c>
      <c r="I49" s="2" t="s">
        <v>5294</v>
      </c>
      <c r="J49" s="2" t="n">
        <v>2</v>
      </c>
    </row>
    <row r="50" customFormat="false" ht="76.1" hidden="false" customHeight="false" outlineLevel="0" collapsed="false">
      <c r="A50" s="2" t="s">
        <v>5311</v>
      </c>
      <c r="B50" s="2" t="s">
        <v>8068</v>
      </c>
      <c r="C50" s="2" t="s">
        <v>5312</v>
      </c>
      <c r="D50" s="2" t="s">
        <v>5313</v>
      </c>
      <c r="E50" s="2" t="s">
        <v>5314</v>
      </c>
      <c r="F50" s="2" t="s">
        <v>5315</v>
      </c>
      <c r="G50" s="2" t="s">
        <v>20</v>
      </c>
      <c r="H50" s="2" t="s">
        <v>5316</v>
      </c>
      <c r="I50" s="2" t="s">
        <v>5294</v>
      </c>
      <c r="J50" s="2" t="n">
        <v>2</v>
      </c>
    </row>
    <row r="51" customFormat="false" ht="76.1" hidden="false" customHeight="false" outlineLevel="0" collapsed="false">
      <c r="A51" s="2" t="s">
        <v>5317</v>
      </c>
      <c r="B51" s="2" t="s">
        <v>8068</v>
      </c>
      <c r="C51" s="2" t="s">
        <v>5318</v>
      </c>
      <c r="D51" s="2" t="s">
        <v>5319</v>
      </c>
      <c r="E51" s="2" t="s">
        <v>5320</v>
      </c>
      <c r="F51" s="2" t="s">
        <v>5321</v>
      </c>
      <c r="G51" s="2" t="s">
        <v>20</v>
      </c>
      <c r="H51" s="2" t="s">
        <v>5322</v>
      </c>
      <c r="I51" s="2" t="s">
        <v>5323</v>
      </c>
      <c r="J51" s="2" t="n">
        <v>3</v>
      </c>
    </row>
    <row r="52" customFormat="false" ht="76.1" hidden="false" customHeight="false" outlineLevel="0" collapsed="false">
      <c r="A52" s="2" t="s">
        <v>5324</v>
      </c>
      <c r="B52" s="2" t="s">
        <v>8068</v>
      </c>
      <c r="C52" s="2" t="s">
        <v>5325</v>
      </c>
      <c r="D52" s="2" t="s">
        <v>5326</v>
      </c>
      <c r="E52" s="2" t="s">
        <v>5327</v>
      </c>
      <c r="F52" s="2" t="s">
        <v>5328</v>
      </c>
      <c r="G52" s="2" t="s">
        <v>20</v>
      </c>
      <c r="H52" s="2" t="s">
        <v>5329</v>
      </c>
      <c r="I52" s="2" t="s">
        <v>5330</v>
      </c>
      <c r="J52" s="2" t="n">
        <v>2</v>
      </c>
    </row>
    <row r="53" customFormat="false" ht="61.15" hidden="false" customHeight="false" outlineLevel="0" collapsed="false">
      <c r="A53" s="2" t="s">
        <v>5331</v>
      </c>
      <c r="B53" s="2" t="s">
        <v>8068</v>
      </c>
      <c r="C53" s="2" t="s">
        <v>5332</v>
      </c>
      <c r="D53" s="2" t="s">
        <v>5333</v>
      </c>
      <c r="E53" s="2" t="s">
        <v>5334</v>
      </c>
      <c r="F53" s="2" t="s">
        <v>5335</v>
      </c>
      <c r="G53" s="2" t="s">
        <v>28</v>
      </c>
      <c r="H53" s="2" t="s">
        <v>5336</v>
      </c>
      <c r="I53" s="2" t="s">
        <v>5330</v>
      </c>
      <c r="J53" s="2" t="n">
        <v>2</v>
      </c>
    </row>
    <row r="54" customFormat="false" ht="91" hidden="false" customHeight="false" outlineLevel="0" collapsed="false">
      <c r="A54" s="2" t="s">
        <v>5337</v>
      </c>
      <c r="B54" s="2" t="s">
        <v>8068</v>
      </c>
      <c r="C54" s="2" t="s">
        <v>5338</v>
      </c>
      <c r="D54" s="2" t="s">
        <v>5339</v>
      </c>
      <c r="E54" s="2" t="s">
        <v>5320</v>
      </c>
      <c r="F54" s="2" t="s">
        <v>5340</v>
      </c>
      <c r="G54" s="2" t="s">
        <v>20</v>
      </c>
      <c r="H54" s="2" t="s">
        <v>5341</v>
      </c>
      <c r="I54" s="2" t="s">
        <v>5342</v>
      </c>
      <c r="J54" s="2" t="n">
        <v>4</v>
      </c>
    </row>
    <row r="55" customFormat="false" ht="46.25" hidden="false" customHeight="false" outlineLevel="0" collapsed="false">
      <c r="A55" s="2" t="s">
        <v>5343</v>
      </c>
      <c r="B55" s="2" t="s">
        <v>8068</v>
      </c>
      <c r="C55" s="2" t="s">
        <v>5344</v>
      </c>
      <c r="D55" s="2" t="s">
        <v>5345</v>
      </c>
      <c r="E55" s="2" t="s">
        <v>5346</v>
      </c>
      <c r="F55" s="2" t="s">
        <v>5347</v>
      </c>
      <c r="G55" s="2" t="s">
        <v>20</v>
      </c>
      <c r="H55" s="2" t="s">
        <v>5348</v>
      </c>
      <c r="I55" s="2" t="s">
        <v>5349</v>
      </c>
      <c r="J55" s="2" t="n">
        <v>1</v>
      </c>
    </row>
    <row r="56" customFormat="false" ht="61.15" hidden="false" customHeight="false" outlineLevel="0" collapsed="false">
      <c r="A56" s="2" t="s">
        <v>5350</v>
      </c>
      <c r="B56" s="2" t="s">
        <v>8068</v>
      </c>
      <c r="C56" s="2" t="s">
        <v>5351</v>
      </c>
      <c r="D56" s="2" t="s">
        <v>5352</v>
      </c>
      <c r="E56" s="2" t="s">
        <v>5353</v>
      </c>
      <c r="F56" s="2" t="s">
        <v>5354</v>
      </c>
      <c r="G56" s="2" t="s">
        <v>20</v>
      </c>
      <c r="H56" s="2" t="s">
        <v>5355</v>
      </c>
      <c r="I56" s="2" t="s">
        <v>5356</v>
      </c>
      <c r="J56" s="2" t="n">
        <v>2</v>
      </c>
    </row>
    <row r="57" customFormat="false" ht="76.1" hidden="false" customHeight="false" outlineLevel="0" collapsed="false">
      <c r="A57" s="2" t="s">
        <v>5357</v>
      </c>
      <c r="B57" s="2" t="s">
        <v>8069</v>
      </c>
      <c r="C57" s="2" t="s">
        <v>5358</v>
      </c>
      <c r="D57" s="2" t="s">
        <v>5359</v>
      </c>
      <c r="E57" s="2" t="s">
        <v>5360</v>
      </c>
      <c r="F57" s="2" t="s">
        <v>5361</v>
      </c>
      <c r="G57" s="2" t="s">
        <v>20</v>
      </c>
      <c r="H57" s="2" t="s">
        <v>5362</v>
      </c>
      <c r="I57" s="2" t="s">
        <v>5363</v>
      </c>
      <c r="J57" s="2" t="n">
        <v>1</v>
      </c>
    </row>
    <row r="58" customFormat="false" ht="61.15" hidden="false" customHeight="false" outlineLevel="0" collapsed="false">
      <c r="A58" s="2" t="s">
        <v>5364</v>
      </c>
      <c r="B58" s="2" t="s">
        <v>8068</v>
      </c>
      <c r="C58" s="2" t="s">
        <v>5365</v>
      </c>
      <c r="D58" s="2" t="s">
        <v>5366</v>
      </c>
      <c r="E58" s="2" t="s">
        <v>5367</v>
      </c>
      <c r="F58" s="2" t="s">
        <v>5368</v>
      </c>
      <c r="G58" s="2" t="s">
        <v>20</v>
      </c>
      <c r="H58" s="2" t="s">
        <v>5369</v>
      </c>
      <c r="I58" s="2" t="s">
        <v>5363</v>
      </c>
      <c r="J58" s="2" t="n">
        <v>2</v>
      </c>
    </row>
    <row r="59" customFormat="false" ht="61.15" hidden="false" customHeight="false" outlineLevel="0" collapsed="false">
      <c r="A59" s="2" t="s">
        <v>5370</v>
      </c>
      <c r="B59" s="2" t="s">
        <v>8068</v>
      </c>
      <c r="C59" s="2" t="s">
        <v>5371</v>
      </c>
      <c r="D59" s="2" t="s">
        <v>5372</v>
      </c>
      <c r="E59" s="2" t="s">
        <v>5373</v>
      </c>
      <c r="F59" s="2" t="s">
        <v>5374</v>
      </c>
      <c r="G59" s="2" t="s">
        <v>28</v>
      </c>
      <c r="H59" s="2" t="s">
        <v>5375</v>
      </c>
      <c r="I59" s="2" t="s">
        <v>5363</v>
      </c>
      <c r="J59" s="2" t="n">
        <v>3</v>
      </c>
    </row>
    <row r="60" customFormat="false" ht="76.1" hidden="false" customHeight="false" outlineLevel="0" collapsed="false">
      <c r="A60" s="2" t="s">
        <v>5376</v>
      </c>
      <c r="B60" s="2" t="s">
        <v>8069</v>
      </c>
      <c r="C60" s="2" t="s">
        <v>5377</v>
      </c>
      <c r="D60" s="2" t="s">
        <v>5378</v>
      </c>
      <c r="E60" s="2" t="s">
        <v>5379</v>
      </c>
      <c r="F60" s="2" t="s">
        <v>5380</v>
      </c>
      <c r="G60" s="2" t="s">
        <v>20</v>
      </c>
      <c r="H60" s="2" t="s">
        <v>5381</v>
      </c>
      <c r="I60" s="2" t="s">
        <v>5382</v>
      </c>
      <c r="J60" s="2" t="n">
        <v>2</v>
      </c>
    </row>
    <row r="61" customFormat="false" ht="61.15" hidden="false" customHeight="false" outlineLevel="0" collapsed="false">
      <c r="A61" s="2" t="s">
        <v>5383</v>
      </c>
      <c r="B61" s="2" t="s">
        <v>8068</v>
      </c>
      <c r="C61" s="2" t="s">
        <v>5384</v>
      </c>
      <c r="D61" s="2" t="s">
        <v>4172</v>
      </c>
      <c r="E61" s="2" t="s">
        <v>5229</v>
      </c>
      <c r="F61" s="2" t="s">
        <v>4170</v>
      </c>
      <c r="G61" s="2" t="s">
        <v>20</v>
      </c>
      <c r="H61" s="2" t="s">
        <v>5385</v>
      </c>
      <c r="I61" s="2" t="s">
        <v>5382</v>
      </c>
      <c r="J61" s="2" t="n">
        <v>2</v>
      </c>
    </row>
    <row r="62" customFormat="false" ht="61.15" hidden="false" customHeight="false" outlineLevel="0" collapsed="false">
      <c r="A62" s="2" t="s">
        <v>5386</v>
      </c>
      <c r="B62" s="2" t="s">
        <v>8068</v>
      </c>
      <c r="C62" s="2" t="s">
        <v>5387</v>
      </c>
      <c r="D62" s="2" t="s">
        <v>5388</v>
      </c>
      <c r="E62" s="2" t="s">
        <v>5389</v>
      </c>
      <c r="F62" s="2" t="s">
        <v>5390</v>
      </c>
      <c r="G62" s="2" t="s">
        <v>20</v>
      </c>
      <c r="H62" s="2" t="s">
        <v>5391</v>
      </c>
      <c r="I62" s="2" t="s">
        <v>5382</v>
      </c>
      <c r="J62" s="2" t="n">
        <v>3</v>
      </c>
    </row>
    <row r="63" customFormat="false" ht="76.1" hidden="false" customHeight="false" outlineLevel="0" collapsed="false">
      <c r="A63" s="2" t="s">
        <v>5392</v>
      </c>
      <c r="B63" s="2" t="s">
        <v>8068</v>
      </c>
      <c r="C63" s="2" t="s">
        <v>5393</v>
      </c>
      <c r="D63" s="2" t="s">
        <v>5394</v>
      </c>
      <c r="E63" s="2" t="s">
        <v>5395</v>
      </c>
      <c r="F63" s="2" t="s">
        <v>5396</v>
      </c>
      <c r="G63" s="2" t="s">
        <v>226</v>
      </c>
      <c r="H63" s="2" t="s">
        <v>5397</v>
      </c>
      <c r="I63" s="2" t="s">
        <v>5398</v>
      </c>
      <c r="J63" s="2" t="n">
        <v>2</v>
      </c>
    </row>
    <row r="64" customFormat="false" ht="61.15" hidden="false" customHeight="false" outlineLevel="0" collapsed="false">
      <c r="A64" s="2" t="s">
        <v>5399</v>
      </c>
      <c r="B64" s="2" t="s">
        <v>8068</v>
      </c>
      <c r="C64" s="2" t="s">
        <v>5400</v>
      </c>
      <c r="D64" s="2" t="s">
        <v>5401</v>
      </c>
      <c r="E64" s="2" t="s">
        <v>5402</v>
      </c>
      <c r="F64" s="2" t="s">
        <v>5403</v>
      </c>
      <c r="G64" s="2" t="s">
        <v>28</v>
      </c>
      <c r="H64" s="2" t="s">
        <v>5404</v>
      </c>
      <c r="I64" s="2" t="s">
        <v>5398</v>
      </c>
      <c r="J64" s="2" t="n">
        <v>3</v>
      </c>
    </row>
    <row r="65" customFormat="false" ht="61.15" hidden="false" customHeight="false" outlineLevel="0" collapsed="false">
      <c r="A65" s="2" t="s">
        <v>5405</v>
      </c>
      <c r="B65" s="2" t="s">
        <v>8068</v>
      </c>
      <c r="C65" s="2" t="s">
        <v>5406</v>
      </c>
      <c r="D65" s="2" t="s">
        <v>5407</v>
      </c>
      <c r="E65" s="2" t="s">
        <v>5408</v>
      </c>
      <c r="F65" s="2" t="s">
        <v>5409</v>
      </c>
      <c r="G65" s="2" t="s">
        <v>20</v>
      </c>
      <c r="H65" s="2" t="s">
        <v>5410</v>
      </c>
      <c r="I65" s="2" t="s">
        <v>5398</v>
      </c>
      <c r="J65" s="2" t="n">
        <v>3</v>
      </c>
    </row>
    <row r="66" customFormat="false" ht="61.15" hidden="false" customHeight="false" outlineLevel="0" collapsed="false">
      <c r="A66" s="2" t="s">
        <v>5411</v>
      </c>
      <c r="B66" s="2" t="s">
        <v>8068</v>
      </c>
      <c r="C66" s="2" t="s">
        <v>5412</v>
      </c>
      <c r="D66" s="2" t="s">
        <v>5413</v>
      </c>
      <c r="E66" s="2" t="s">
        <v>5414</v>
      </c>
      <c r="F66" s="2" t="s">
        <v>5415</v>
      </c>
      <c r="G66" s="2" t="s">
        <v>20</v>
      </c>
      <c r="H66" s="2" t="s">
        <v>5416</v>
      </c>
      <c r="I66" s="2" t="s">
        <v>5417</v>
      </c>
      <c r="J66" s="2" t="n">
        <v>2</v>
      </c>
    </row>
    <row r="67" customFormat="false" ht="76.1" hidden="false" customHeight="false" outlineLevel="0" collapsed="false">
      <c r="A67" s="2" t="s">
        <v>5418</v>
      </c>
      <c r="B67" s="2" t="s">
        <v>8068</v>
      </c>
      <c r="C67" s="2" t="s">
        <v>5419</v>
      </c>
      <c r="D67" s="2" t="s">
        <v>5420</v>
      </c>
      <c r="E67" s="2" t="s">
        <v>5421</v>
      </c>
      <c r="F67" s="2" t="s">
        <v>5422</v>
      </c>
      <c r="G67" s="2" t="s">
        <v>20</v>
      </c>
      <c r="H67" s="2" t="s">
        <v>5423</v>
      </c>
      <c r="I67" s="2" t="s">
        <v>5424</v>
      </c>
      <c r="J67" s="2" t="n">
        <v>2</v>
      </c>
    </row>
    <row r="68" customFormat="false" ht="91" hidden="false" customHeight="false" outlineLevel="0" collapsed="false">
      <c r="A68" s="2" t="s">
        <v>5425</v>
      </c>
      <c r="B68" s="2" t="s">
        <v>8068</v>
      </c>
      <c r="C68" s="2" t="s">
        <v>5426</v>
      </c>
      <c r="D68" s="2" t="s">
        <v>5427</v>
      </c>
      <c r="E68" s="2" t="s">
        <v>5428</v>
      </c>
      <c r="F68" s="2" t="s">
        <v>5429</v>
      </c>
      <c r="G68" s="2" t="s">
        <v>20</v>
      </c>
      <c r="H68" s="2" t="s">
        <v>5430</v>
      </c>
      <c r="I68" s="2" t="s">
        <v>5431</v>
      </c>
      <c r="J68" s="2" t="n">
        <v>3</v>
      </c>
    </row>
    <row r="69" customFormat="false" ht="76.1" hidden="false" customHeight="false" outlineLevel="0" collapsed="false">
      <c r="A69" s="2" t="s">
        <v>5432</v>
      </c>
      <c r="B69" s="2" t="s">
        <v>8068</v>
      </c>
      <c r="C69" s="2" t="s">
        <v>5433</v>
      </c>
      <c r="D69" s="2" t="s">
        <v>5434</v>
      </c>
      <c r="E69" s="2" t="s">
        <v>5435</v>
      </c>
      <c r="F69" s="2" t="s">
        <v>5436</v>
      </c>
      <c r="G69" s="2" t="s">
        <v>20</v>
      </c>
      <c r="H69" s="2" t="s">
        <v>5437</v>
      </c>
      <c r="I69" s="2" t="s">
        <v>5438</v>
      </c>
      <c r="J69" s="2" t="n">
        <v>3</v>
      </c>
    </row>
    <row r="70" customFormat="false" ht="91" hidden="false" customHeight="false" outlineLevel="0" collapsed="false">
      <c r="A70" s="2" t="s">
        <v>5439</v>
      </c>
      <c r="B70" s="2" t="s">
        <v>8068</v>
      </c>
      <c r="C70" s="2" t="s">
        <v>5440</v>
      </c>
      <c r="D70" s="2" t="s">
        <v>5441</v>
      </c>
      <c r="E70" s="2" t="s">
        <v>5442</v>
      </c>
      <c r="F70" s="2" t="s">
        <v>5443</v>
      </c>
      <c r="G70" s="2" t="s">
        <v>28</v>
      </c>
      <c r="H70" s="2" t="s">
        <v>5444</v>
      </c>
      <c r="I70" s="2" t="s">
        <v>5445</v>
      </c>
      <c r="J70" s="2" t="n">
        <v>4</v>
      </c>
    </row>
    <row r="71" customFormat="false" ht="76.1" hidden="false" customHeight="false" outlineLevel="0" collapsed="false">
      <c r="A71" s="2" t="s">
        <v>5446</v>
      </c>
      <c r="B71" s="2" t="s">
        <v>8069</v>
      </c>
      <c r="C71" s="2" t="s">
        <v>5447</v>
      </c>
      <c r="D71" s="2" t="s">
        <v>5448</v>
      </c>
      <c r="E71" s="2" t="s">
        <v>5449</v>
      </c>
      <c r="F71" s="2" t="s">
        <v>5450</v>
      </c>
      <c r="G71" s="2" t="s">
        <v>20</v>
      </c>
      <c r="H71" s="2" t="s">
        <v>5451</v>
      </c>
      <c r="I71" s="2" t="s">
        <v>5445</v>
      </c>
      <c r="J71" s="2" t="n">
        <v>2</v>
      </c>
    </row>
    <row r="72" customFormat="false" ht="91" hidden="false" customHeight="false" outlineLevel="0" collapsed="false">
      <c r="A72" s="2" t="s">
        <v>5452</v>
      </c>
      <c r="B72" s="2" t="s">
        <v>8068</v>
      </c>
      <c r="C72" s="2" t="s">
        <v>5453</v>
      </c>
      <c r="D72" s="2" t="s">
        <v>5454</v>
      </c>
      <c r="E72" s="2" t="s">
        <v>5455</v>
      </c>
      <c r="F72" s="2" t="s">
        <v>5456</v>
      </c>
      <c r="G72" s="2" t="s">
        <v>20</v>
      </c>
      <c r="H72" s="2" t="s">
        <v>5457</v>
      </c>
      <c r="I72" s="2" t="s">
        <v>5458</v>
      </c>
      <c r="J72" s="2" t="n">
        <v>2</v>
      </c>
    </row>
    <row r="73" customFormat="false" ht="46.25" hidden="false" customHeight="false" outlineLevel="0" collapsed="false">
      <c r="A73" s="2" t="s">
        <v>5459</v>
      </c>
      <c r="B73" s="2" t="s">
        <v>8069</v>
      </c>
      <c r="C73" s="2" t="s">
        <v>5460</v>
      </c>
      <c r="D73" s="2" t="s">
        <v>5461</v>
      </c>
      <c r="E73" s="2" t="s">
        <v>5462</v>
      </c>
      <c r="F73" s="2" t="s">
        <v>5463</v>
      </c>
      <c r="G73" s="2" t="s">
        <v>28</v>
      </c>
      <c r="H73" s="2" t="s">
        <v>5464</v>
      </c>
      <c r="I73" s="2" t="s">
        <v>5465</v>
      </c>
      <c r="J73" s="2" t="n">
        <v>2</v>
      </c>
    </row>
    <row r="74" customFormat="false" ht="61.15" hidden="false" customHeight="false" outlineLevel="0" collapsed="false">
      <c r="A74" s="2" t="s">
        <v>5466</v>
      </c>
      <c r="B74" s="2" t="s">
        <v>8068</v>
      </c>
      <c r="C74" s="2" t="s">
        <v>5467</v>
      </c>
      <c r="D74" s="2" t="s">
        <v>2727</v>
      </c>
      <c r="E74" s="2" t="s">
        <v>5468</v>
      </c>
      <c r="F74" s="2" t="s">
        <v>5469</v>
      </c>
      <c r="G74" s="2" t="s">
        <v>20</v>
      </c>
      <c r="H74" s="2" t="s">
        <v>5470</v>
      </c>
      <c r="I74" s="2" t="s">
        <v>5471</v>
      </c>
      <c r="J74" s="2" t="n">
        <v>2</v>
      </c>
    </row>
    <row r="75" customFormat="false" ht="61.15" hidden="false" customHeight="false" outlineLevel="0" collapsed="false">
      <c r="A75" s="2" t="s">
        <v>5472</v>
      </c>
      <c r="B75" s="2" t="s">
        <v>8068</v>
      </c>
      <c r="C75" s="2" t="s">
        <v>5473</v>
      </c>
      <c r="D75" s="2" t="s">
        <v>5474</v>
      </c>
      <c r="E75" s="2" t="s">
        <v>5475</v>
      </c>
      <c r="F75" s="2" t="s">
        <v>5476</v>
      </c>
      <c r="G75" s="2" t="s">
        <v>20</v>
      </c>
      <c r="H75" s="2" t="s">
        <v>5477</v>
      </c>
      <c r="I75" s="2" t="s">
        <v>5458</v>
      </c>
      <c r="J75" s="2" t="n">
        <v>4</v>
      </c>
    </row>
    <row r="76" customFormat="false" ht="61.15" hidden="false" customHeight="false" outlineLevel="0" collapsed="false">
      <c r="A76" s="2" t="s">
        <v>5478</v>
      </c>
      <c r="B76" s="2" t="s">
        <v>8069</v>
      </c>
      <c r="C76" s="2" t="s">
        <v>5479</v>
      </c>
      <c r="D76" s="2" t="s">
        <v>5480</v>
      </c>
      <c r="E76" s="2" t="s">
        <v>5481</v>
      </c>
      <c r="F76" s="2" t="s">
        <v>5482</v>
      </c>
      <c r="G76" s="2" t="s">
        <v>20</v>
      </c>
      <c r="H76" s="2" t="s">
        <v>5483</v>
      </c>
      <c r="I76" s="2" t="s">
        <v>5484</v>
      </c>
      <c r="J76" s="2" t="n">
        <v>1</v>
      </c>
    </row>
    <row r="77" customFormat="false" ht="76.1" hidden="false" customHeight="false" outlineLevel="0" collapsed="false">
      <c r="A77" s="2" t="s">
        <v>5485</v>
      </c>
      <c r="B77" s="2" t="s">
        <v>8068</v>
      </c>
      <c r="C77" s="2" t="s">
        <v>5486</v>
      </c>
      <c r="D77" s="2" t="s">
        <v>5487</v>
      </c>
      <c r="E77" s="2" t="s">
        <v>5488</v>
      </c>
      <c r="F77" s="2" t="s">
        <v>5489</v>
      </c>
      <c r="G77" s="2" t="s">
        <v>20</v>
      </c>
      <c r="H77" s="2" t="s">
        <v>5490</v>
      </c>
      <c r="I77" s="2" t="s">
        <v>5491</v>
      </c>
      <c r="J77" s="2" t="n">
        <v>2</v>
      </c>
    </row>
    <row r="78" customFormat="false" ht="76.1" hidden="false" customHeight="false" outlineLevel="0" collapsed="false">
      <c r="A78" s="2" t="s">
        <v>5492</v>
      </c>
      <c r="B78" s="2" t="s">
        <v>8068</v>
      </c>
      <c r="C78" s="2" t="s">
        <v>5493</v>
      </c>
      <c r="D78" s="2" t="s">
        <v>5494</v>
      </c>
      <c r="E78" s="2" t="s">
        <v>5495</v>
      </c>
      <c r="F78" s="2" t="s">
        <v>5496</v>
      </c>
      <c r="G78" s="2" t="s">
        <v>20</v>
      </c>
      <c r="H78" s="2" t="s">
        <v>5497</v>
      </c>
      <c r="I78" s="2" t="s">
        <v>5491</v>
      </c>
      <c r="J78" s="2" t="n">
        <v>3</v>
      </c>
    </row>
    <row r="79" customFormat="false" ht="135.8" hidden="false" customHeight="false" outlineLevel="0" collapsed="false">
      <c r="A79" s="2" t="s">
        <v>5498</v>
      </c>
      <c r="B79" s="2" t="s">
        <v>8068</v>
      </c>
      <c r="C79" s="2" t="s">
        <v>5499</v>
      </c>
      <c r="D79" s="2" t="s">
        <v>5500</v>
      </c>
      <c r="E79" s="2" t="s">
        <v>5501</v>
      </c>
      <c r="F79" s="2" t="s">
        <v>5502</v>
      </c>
      <c r="G79" s="2" t="s">
        <v>20</v>
      </c>
      <c r="H79" s="2" t="s">
        <v>5503</v>
      </c>
      <c r="I79" s="2" t="s">
        <v>5491</v>
      </c>
      <c r="J79" s="2" t="n">
        <v>4</v>
      </c>
    </row>
    <row r="80" customFormat="false" ht="91" hidden="false" customHeight="false" outlineLevel="0" collapsed="false">
      <c r="A80" s="2" t="s">
        <v>5504</v>
      </c>
      <c r="B80" s="2" t="s">
        <v>8068</v>
      </c>
      <c r="C80" s="2" t="s">
        <v>5505</v>
      </c>
      <c r="D80" s="2" t="s">
        <v>5506</v>
      </c>
      <c r="E80" s="2" t="s">
        <v>5507</v>
      </c>
      <c r="F80" s="2" t="s">
        <v>5508</v>
      </c>
      <c r="G80" s="2" t="s">
        <v>20</v>
      </c>
      <c r="H80" s="2" t="s">
        <v>5509</v>
      </c>
      <c r="I80" s="2" t="s">
        <v>5510</v>
      </c>
      <c r="J80" s="2" t="n">
        <v>2</v>
      </c>
    </row>
    <row r="81" customFormat="false" ht="61.15" hidden="false" customHeight="false" outlineLevel="0" collapsed="false">
      <c r="A81" s="2" t="s">
        <v>5511</v>
      </c>
      <c r="B81" s="2" t="s">
        <v>8068</v>
      </c>
      <c r="C81" s="2" t="s">
        <v>5512</v>
      </c>
      <c r="D81" s="2" t="s">
        <v>5513</v>
      </c>
      <c r="E81" s="2" t="s">
        <v>5514</v>
      </c>
      <c r="F81" s="2" t="s">
        <v>5515</v>
      </c>
      <c r="G81" s="2" t="s">
        <v>20</v>
      </c>
      <c r="H81" s="2" t="s">
        <v>5516</v>
      </c>
      <c r="I81" s="2" t="s">
        <v>5510</v>
      </c>
      <c r="J81" s="2" t="n">
        <v>3</v>
      </c>
    </row>
    <row r="82" customFormat="false" ht="76.1" hidden="false" customHeight="false" outlineLevel="0" collapsed="false">
      <c r="A82" s="2" t="s">
        <v>5517</v>
      </c>
      <c r="B82" s="2" t="s">
        <v>8068</v>
      </c>
      <c r="C82" s="2" t="s">
        <v>5518</v>
      </c>
      <c r="D82" s="2" t="s">
        <v>5519</v>
      </c>
      <c r="E82" s="2" t="s">
        <v>5520</v>
      </c>
      <c r="F82" s="2" t="s">
        <v>5521</v>
      </c>
      <c r="G82" s="2" t="s">
        <v>226</v>
      </c>
      <c r="H82" s="2" t="s">
        <v>5522</v>
      </c>
      <c r="I82" s="2" t="s">
        <v>5510</v>
      </c>
      <c r="J82" s="2" t="n">
        <v>3</v>
      </c>
    </row>
    <row r="83" customFormat="false" ht="61.15" hidden="false" customHeight="false" outlineLevel="0" collapsed="false">
      <c r="A83" s="2" t="s">
        <v>5523</v>
      </c>
      <c r="B83" s="2" t="s">
        <v>8068</v>
      </c>
      <c r="C83" s="2" t="s">
        <v>5524</v>
      </c>
      <c r="D83" s="2" t="s">
        <v>5525</v>
      </c>
      <c r="E83" s="2" t="s">
        <v>5526</v>
      </c>
      <c r="F83" s="2" t="s">
        <v>5527</v>
      </c>
      <c r="G83" s="2" t="s">
        <v>20</v>
      </c>
      <c r="H83" s="2" t="s">
        <v>5528</v>
      </c>
      <c r="I83" s="2" t="s">
        <v>5510</v>
      </c>
      <c r="J83" s="2" t="n">
        <v>4</v>
      </c>
    </row>
    <row r="84" customFormat="false" ht="76.1" hidden="false" customHeight="false" outlineLevel="0" collapsed="false">
      <c r="A84" s="2" t="s">
        <v>5529</v>
      </c>
      <c r="B84" s="2" t="s">
        <v>8068</v>
      </c>
      <c r="C84" s="2" t="s">
        <v>5530</v>
      </c>
      <c r="D84" s="2" t="s">
        <v>5531</v>
      </c>
      <c r="E84" s="2" t="s">
        <v>5532</v>
      </c>
      <c r="F84" s="2" t="s">
        <v>5533</v>
      </c>
      <c r="G84" s="2" t="s">
        <v>20</v>
      </c>
      <c r="H84" s="2" t="s">
        <v>5534</v>
      </c>
      <c r="I84" s="2" t="s">
        <v>5510</v>
      </c>
      <c r="J84" s="2" t="n">
        <v>3</v>
      </c>
    </row>
    <row r="85" customFormat="false" ht="76.1" hidden="false" customHeight="false" outlineLevel="0" collapsed="false">
      <c r="A85" s="2" t="s">
        <v>5535</v>
      </c>
      <c r="B85" s="2" t="s">
        <v>8068</v>
      </c>
      <c r="C85" s="2" t="s">
        <v>5536</v>
      </c>
      <c r="D85" s="2" t="s">
        <v>5537</v>
      </c>
      <c r="E85" s="2" t="s">
        <v>5538</v>
      </c>
      <c r="F85" s="2" t="s">
        <v>2973</v>
      </c>
      <c r="G85" s="2" t="s">
        <v>20</v>
      </c>
      <c r="H85" s="2" t="s">
        <v>5539</v>
      </c>
      <c r="I85" s="2" t="s">
        <v>5510</v>
      </c>
      <c r="J85" s="2" t="n">
        <v>4</v>
      </c>
    </row>
    <row r="86" customFormat="false" ht="91" hidden="false" customHeight="false" outlineLevel="0" collapsed="false">
      <c r="A86" s="2" t="s">
        <v>5540</v>
      </c>
      <c r="B86" s="2" t="s">
        <v>8068</v>
      </c>
      <c r="C86" s="2" t="s">
        <v>5541</v>
      </c>
      <c r="D86" s="2" t="s">
        <v>5542</v>
      </c>
      <c r="E86" s="2" t="s">
        <v>5543</v>
      </c>
      <c r="F86" s="2" t="s">
        <v>5544</v>
      </c>
      <c r="G86" s="2" t="s">
        <v>20</v>
      </c>
      <c r="H86" s="2" t="s">
        <v>5545</v>
      </c>
      <c r="I86" s="2" t="s">
        <v>5546</v>
      </c>
      <c r="J86" s="2" t="n">
        <v>3</v>
      </c>
    </row>
    <row r="87" customFormat="false" ht="76.1" hidden="false" customHeight="false" outlineLevel="0" collapsed="false">
      <c r="A87" s="2" t="s">
        <v>5547</v>
      </c>
      <c r="B87" s="2" t="s">
        <v>8069</v>
      </c>
      <c r="C87" s="2" t="s">
        <v>5548</v>
      </c>
      <c r="D87" s="2" t="s">
        <v>5549</v>
      </c>
      <c r="E87" s="2" t="s">
        <v>5550</v>
      </c>
      <c r="F87" s="2" t="s">
        <v>5551</v>
      </c>
      <c r="G87" s="2" t="s">
        <v>20</v>
      </c>
      <c r="H87" s="2" t="s">
        <v>5552</v>
      </c>
      <c r="I87" s="2" t="s">
        <v>5553</v>
      </c>
      <c r="J87" s="2" t="n">
        <v>3</v>
      </c>
    </row>
    <row r="88" customFormat="false" ht="61.15" hidden="false" customHeight="false" outlineLevel="0" collapsed="false">
      <c r="A88" s="2" t="s">
        <v>5554</v>
      </c>
      <c r="B88" s="2" t="s">
        <v>8068</v>
      </c>
      <c r="C88" s="2" t="s">
        <v>5555</v>
      </c>
      <c r="D88" s="2" t="s">
        <v>5556</v>
      </c>
      <c r="E88" s="2" t="s">
        <v>5557</v>
      </c>
      <c r="F88" s="2" t="s">
        <v>5558</v>
      </c>
      <c r="G88" s="2" t="s">
        <v>20</v>
      </c>
      <c r="H88" s="2" t="s">
        <v>5559</v>
      </c>
      <c r="I88" s="2" t="s">
        <v>5553</v>
      </c>
      <c r="J88" s="2" t="n">
        <v>2</v>
      </c>
    </row>
    <row r="89" customFormat="false" ht="61.15" hidden="false" customHeight="false" outlineLevel="0" collapsed="false">
      <c r="A89" s="2" t="s">
        <v>5560</v>
      </c>
      <c r="B89" s="2" t="s">
        <v>8068</v>
      </c>
      <c r="C89" s="2" t="s">
        <v>5561</v>
      </c>
      <c r="D89" s="2" t="s">
        <v>5562</v>
      </c>
      <c r="E89" s="2" t="s">
        <v>5563</v>
      </c>
      <c r="F89" s="2" t="s">
        <v>5564</v>
      </c>
      <c r="G89" s="2" t="s">
        <v>20</v>
      </c>
      <c r="H89" s="2" t="s">
        <v>5565</v>
      </c>
      <c r="I89" s="2" t="s">
        <v>5553</v>
      </c>
      <c r="J89" s="2" t="n">
        <v>2</v>
      </c>
    </row>
    <row r="90" customFormat="false" ht="61.15" hidden="false" customHeight="false" outlineLevel="0" collapsed="false">
      <c r="A90" s="2" t="s">
        <v>5566</v>
      </c>
      <c r="B90" s="2" t="s">
        <v>8069</v>
      </c>
      <c r="C90" s="2" t="s">
        <v>5567</v>
      </c>
      <c r="D90" s="2" t="s">
        <v>5568</v>
      </c>
      <c r="E90" s="2" t="s">
        <v>5569</v>
      </c>
      <c r="F90" s="2" t="s">
        <v>5570</v>
      </c>
      <c r="G90" s="2" t="s">
        <v>20</v>
      </c>
      <c r="H90" s="2" t="s">
        <v>5571</v>
      </c>
      <c r="I90" s="2" t="s">
        <v>5553</v>
      </c>
      <c r="J90" s="2" t="n">
        <v>3</v>
      </c>
    </row>
    <row r="91" customFormat="false" ht="61.15" hidden="false" customHeight="false" outlineLevel="0" collapsed="false">
      <c r="A91" s="2" t="s">
        <v>5572</v>
      </c>
      <c r="B91" s="2" t="s">
        <v>8068</v>
      </c>
      <c r="C91" s="2" t="s">
        <v>5573</v>
      </c>
      <c r="D91" s="2" t="s">
        <v>1607</v>
      </c>
      <c r="E91" s="2" t="s">
        <v>1608</v>
      </c>
      <c r="F91" s="2" t="s">
        <v>5162</v>
      </c>
      <c r="G91" s="2" t="s">
        <v>20</v>
      </c>
      <c r="H91" s="2" t="s">
        <v>5574</v>
      </c>
      <c r="I91" s="2" t="s">
        <v>5553</v>
      </c>
      <c r="J91" s="2" t="n">
        <v>2</v>
      </c>
    </row>
    <row r="92" customFormat="false" ht="61.15" hidden="false" customHeight="false" outlineLevel="0" collapsed="false">
      <c r="A92" s="2" t="s">
        <v>5575</v>
      </c>
      <c r="B92" s="2" t="s">
        <v>8068</v>
      </c>
      <c r="C92" s="2" t="s">
        <v>5576</v>
      </c>
      <c r="D92" s="2" t="s">
        <v>5577</v>
      </c>
      <c r="E92" s="2" t="s">
        <v>5578</v>
      </c>
      <c r="F92" s="2" t="s">
        <v>5579</v>
      </c>
      <c r="G92" s="2" t="s">
        <v>20</v>
      </c>
      <c r="H92" s="2" t="s">
        <v>5580</v>
      </c>
      <c r="I92" s="2" t="s">
        <v>5553</v>
      </c>
      <c r="J92" s="2" t="n">
        <v>2</v>
      </c>
    </row>
    <row r="93" customFormat="false" ht="61.15" hidden="false" customHeight="false" outlineLevel="0" collapsed="false">
      <c r="A93" s="2" t="s">
        <v>5581</v>
      </c>
      <c r="B93" s="2" t="s">
        <v>8068</v>
      </c>
      <c r="C93" s="2" t="s">
        <v>5582</v>
      </c>
      <c r="D93" s="2" t="s">
        <v>1608</v>
      </c>
      <c r="E93" s="2" t="s">
        <v>1607</v>
      </c>
      <c r="F93" s="2" t="s">
        <v>5162</v>
      </c>
      <c r="G93" s="2" t="s">
        <v>20</v>
      </c>
      <c r="H93" s="2" t="s">
        <v>5583</v>
      </c>
      <c r="I93" s="2" t="s">
        <v>5584</v>
      </c>
      <c r="J93" s="2" t="n">
        <v>2</v>
      </c>
    </row>
    <row r="94" customFormat="false" ht="61.15" hidden="false" customHeight="false" outlineLevel="0" collapsed="false">
      <c r="A94" s="2" t="s">
        <v>5585</v>
      </c>
      <c r="B94" s="2" t="s">
        <v>8068</v>
      </c>
      <c r="C94" s="2" t="s">
        <v>5586</v>
      </c>
      <c r="D94" s="2" t="s">
        <v>1608</v>
      </c>
      <c r="E94" s="2" t="s">
        <v>5587</v>
      </c>
      <c r="F94" s="2" t="s">
        <v>1607</v>
      </c>
      <c r="G94" s="2" t="s">
        <v>226</v>
      </c>
      <c r="H94" s="2" t="s">
        <v>5588</v>
      </c>
      <c r="I94" s="2" t="s">
        <v>5589</v>
      </c>
      <c r="J94" s="2" t="n">
        <v>2</v>
      </c>
    </row>
    <row r="95" customFormat="false" ht="61.15" hidden="false" customHeight="false" outlineLevel="0" collapsed="false">
      <c r="A95" s="2" t="s">
        <v>5590</v>
      </c>
      <c r="B95" s="2" t="s">
        <v>8068</v>
      </c>
      <c r="C95" s="2" t="s">
        <v>5591</v>
      </c>
      <c r="D95" s="2" t="s">
        <v>5592</v>
      </c>
      <c r="E95" s="2" t="s">
        <v>5593</v>
      </c>
      <c r="F95" s="2" t="s">
        <v>5594</v>
      </c>
      <c r="G95" s="2" t="s">
        <v>20</v>
      </c>
      <c r="H95" s="2" t="s">
        <v>5595</v>
      </c>
      <c r="I95" s="2" t="s">
        <v>5589</v>
      </c>
      <c r="J95" s="2" t="n">
        <v>2</v>
      </c>
    </row>
    <row r="96" customFormat="false" ht="46.25" hidden="false" customHeight="false" outlineLevel="0" collapsed="false">
      <c r="A96" s="2" t="s">
        <v>5596</v>
      </c>
      <c r="B96" s="2" t="s">
        <v>8068</v>
      </c>
      <c r="C96" s="2" t="s">
        <v>5597</v>
      </c>
      <c r="D96" s="2" t="s">
        <v>1967</v>
      </c>
      <c r="E96" s="2" t="s">
        <v>5598</v>
      </c>
      <c r="F96" s="2" t="s">
        <v>5085</v>
      </c>
      <c r="G96" s="2" t="s">
        <v>20</v>
      </c>
      <c r="H96" s="2" t="s">
        <v>5599</v>
      </c>
      <c r="I96" s="2" t="s">
        <v>5600</v>
      </c>
      <c r="J96" s="2" t="n">
        <v>1</v>
      </c>
    </row>
    <row r="97" customFormat="false" ht="61.15" hidden="false" customHeight="false" outlineLevel="0" collapsed="false">
      <c r="A97" s="2" t="s">
        <v>5601</v>
      </c>
      <c r="B97" s="2" t="s">
        <v>8068</v>
      </c>
      <c r="C97" s="2" t="s">
        <v>5602</v>
      </c>
      <c r="D97" s="2" t="s">
        <v>5603</v>
      </c>
      <c r="E97" s="2" t="s">
        <v>5604</v>
      </c>
      <c r="F97" s="2" t="s">
        <v>5605</v>
      </c>
      <c r="G97" s="2" t="s">
        <v>20</v>
      </c>
      <c r="H97" s="2" t="s">
        <v>5606</v>
      </c>
      <c r="I97" s="2" t="s">
        <v>5600</v>
      </c>
      <c r="J97" s="2" t="n">
        <v>2</v>
      </c>
    </row>
    <row r="98" customFormat="false" ht="61.15" hidden="false" customHeight="false" outlineLevel="0" collapsed="false">
      <c r="A98" s="2" t="s">
        <v>5607</v>
      </c>
      <c r="B98" s="2" t="s">
        <v>8068</v>
      </c>
      <c r="C98" s="2" t="s">
        <v>5608</v>
      </c>
      <c r="D98" s="2" t="s">
        <v>5609</v>
      </c>
      <c r="E98" s="2" t="s">
        <v>5610</v>
      </c>
      <c r="F98" s="2" t="s">
        <v>5611</v>
      </c>
      <c r="G98" s="2" t="s">
        <v>28</v>
      </c>
      <c r="H98" s="2" t="s">
        <v>5612</v>
      </c>
      <c r="I98" s="2" t="s">
        <v>5600</v>
      </c>
      <c r="J98" s="2" t="n">
        <v>2</v>
      </c>
    </row>
    <row r="99" customFormat="false" ht="61.15" hidden="false" customHeight="false" outlineLevel="0" collapsed="false">
      <c r="A99" s="2" t="s">
        <v>5613</v>
      </c>
      <c r="B99" s="2" t="s">
        <v>8068</v>
      </c>
      <c r="C99" s="2" t="s">
        <v>5614</v>
      </c>
      <c r="D99" s="2" t="s">
        <v>5615</v>
      </c>
      <c r="E99" s="2" t="s">
        <v>5616</v>
      </c>
      <c r="F99" s="2" t="s">
        <v>4596</v>
      </c>
      <c r="G99" s="2" t="s">
        <v>20</v>
      </c>
      <c r="H99" s="2" t="s">
        <v>5617</v>
      </c>
      <c r="I99" s="2" t="s">
        <v>5600</v>
      </c>
      <c r="J99" s="2" t="n">
        <v>3</v>
      </c>
    </row>
    <row r="100" customFormat="false" ht="76.1" hidden="false" customHeight="false" outlineLevel="0" collapsed="false">
      <c r="A100" s="2" t="s">
        <v>5618</v>
      </c>
      <c r="B100" s="2" t="s">
        <v>8068</v>
      </c>
      <c r="C100" s="2" t="s">
        <v>5619</v>
      </c>
      <c r="D100" s="2" t="s">
        <v>5620</v>
      </c>
      <c r="E100" s="2" t="s">
        <v>5621</v>
      </c>
      <c r="F100" s="2" t="s">
        <v>5622</v>
      </c>
      <c r="G100" s="2" t="s">
        <v>20</v>
      </c>
      <c r="H100" s="2" t="s">
        <v>5623</v>
      </c>
      <c r="I100" s="2" t="s">
        <v>5584</v>
      </c>
      <c r="J100" s="2" t="n">
        <v>3</v>
      </c>
    </row>
    <row r="101" customFormat="false" ht="76.1" hidden="false" customHeight="false" outlineLevel="0" collapsed="false">
      <c r="A101" s="2" t="s">
        <v>5624</v>
      </c>
      <c r="B101" s="2" t="s">
        <v>8068</v>
      </c>
      <c r="C101" s="2" t="s">
        <v>5625</v>
      </c>
      <c r="D101" s="2" t="s">
        <v>5626</v>
      </c>
      <c r="E101" s="2" t="s">
        <v>5627</v>
      </c>
      <c r="F101" s="2" t="s">
        <v>5628</v>
      </c>
      <c r="G101" s="2" t="s">
        <v>20</v>
      </c>
      <c r="H101" s="2" t="s">
        <v>5629</v>
      </c>
      <c r="I101" s="2" t="s">
        <v>5584</v>
      </c>
      <c r="J101" s="2" t="n">
        <v>2</v>
      </c>
    </row>
    <row r="102" customFormat="false" ht="61.15" hidden="false" customHeight="false" outlineLevel="0" collapsed="false">
      <c r="A102" s="2" t="s">
        <v>5630</v>
      </c>
      <c r="B102" s="2" t="s">
        <v>8068</v>
      </c>
      <c r="C102" s="2" t="s">
        <v>5631</v>
      </c>
      <c r="D102" s="2" t="s">
        <v>5085</v>
      </c>
      <c r="E102" s="2" t="s">
        <v>5632</v>
      </c>
      <c r="F102" s="2" t="s">
        <v>1967</v>
      </c>
      <c r="G102" s="2" t="s">
        <v>226</v>
      </c>
      <c r="H102" s="2" t="s">
        <v>5633</v>
      </c>
      <c r="I102" s="2" t="s">
        <v>5600</v>
      </c>
      <c r="J102" s="2" t="n">
        <v>2</v>
      </c>
    </row>
    <row r="103" customFormat="false" ht="61.15" hidden="false" customHeight="false" outlineLevel="0" collapsed="false">
      <c r="A103" s="2" t="s">
        <v>5634</v>
      </c>
      <c r="B103" s="2" t="s">
        <v>8068</v>
      </c>
      <c r="C103" s="2" t="s">
        <v>5635</v>
      </c>
      <c r="D103" s="2" t="s">
        <v>5636</v>
      </c>
      <c r="E103" s="2" t="s">
        <v>5637</v>
      </c>
      <c r="F103" s="2" t="s">
        <v>5638</v>
      </c>
      <c r="G103" s="2" t="s">
        <v>20</v>
      </c>
      <c r="H103" s="2" t="s">
        <v>5639</v>
      </c>
      <c r="I103" s="2" t="s">
        <v>5600</v>
      </c>
      <c r="J103" s="2" t="n">
        <v>3</v>
      </c>
    </row>
    <row r="104" customFormat="false" ht="61.15" hidden="false" customHeight="false" outlineLevel="0" collapsed="false">
      <c r="A104" s="2" t="s">
        <v>5640</v>
      </c>
      <c r="B104" s="2" t="s">
        <v>8068</v>
      </c>
      <c r="C104" s="2" t="s">
        <v>5641</v>
      </c>
      <c r="D104" s="2" t="s">
        <v>5642</v>
      </c>
      <c r="E104" s="2" t="s">
        <v>1967</v>
      </c>
      <c r="F104" s="2" t="s">
        <v>5643</v>
      </c>
      <c r="G104" s="2" t="s">
        <v>20</v>
      </c>
      <c r="H104" s="2" t="s">
        <v>5644</v>
      </c>
      <c r="I104" s="2" t="s">
        <v>5645</v>
      </c>
      <c r="J104" s="2" t="n">
        <v>3</v>
      </c>
    </row>
    <row r="105" customFormat="false" ht="46.25" hidden="false" customHeight="false" outlineLevel="0" collapsed="false">
      <c r="A105" s="2" t="s">
        <v>5646</v>
      </c>
      <c r="B105" s="2" t="s">
        <v>8068</v>
      </c>
      <c r="C105" s="2" t="s">
        <v>5647</v>
      </c>
      <c r="D105" s="2" t="s">
        <v>5648</v>
      </c>
      <c r="E105" s="2" t="s">
        <v>1967</v>
      </c>
      <c r="F105" s="2" t="s">
        <v>5649</v>
      </c>
      <c r="G105" s="2" t="s">
        <v>28</v>
      </c>
      <c r="H105" s="2" t="s">
        <v>5650</v>
      </c>
      <c r="I105" s="2" t="s">
        <v>5600</v>
      </c>
      <c r="J105" s="2" t="n">
        <v>3</v>
      </c>
    </row>
    <row r="106" customFormat="false" ht="46.25" hidden="false" customHeight="false" outlineLevel="0" collapsed="false">
      <c r="A106" s="2" t="s">
        <v>5651</v>
      </c>
      <c r="B106" s="2" t="s">
        <v>8069</v>
      </c>
      <c r="C106" s="2" t="s">
        <v>5652</v>
      </c>
      <c r="D106" s="2" t="s">
        <v>5653</v>
      </c>
      <c r="E106" s="2" t="s">
        <v>5654</v>
      </c>
      <c r="F106" s="2" t="s">
        <v>5655</v>
      </c>
      <c r="G106" s="2" t="s">
        <v>20</v>
      </c>
      <c r="H106" s="2" t="s">
        <v>5656</v>
      </c>
      <c r="I106" s="2" t="s">
        <v>5600</v>
      </c>
      <c r="J106" s="2" t="n">
        <v>2</v>
      </c>
    </row>
    <row r="107" customFormat="false" ht="61.15" hidden="false" customHeight="false" outlineLevel="0" collapsed="false">
      <c r="A107" s="2" t="s">
        <v>5657</v>
      </c>
      <c r="B107" s="2" t="s">
        <v>8069</v>
      </c>
      <c r="C107" s="2" t="s">
        <v>5658</v>
      </c>
      <c r="D107" s="2" t="s">
        <v>5659</v>
      </c>
      <c r="E107" s="2" t="s">
        <v>5660</v>
      </c>
      <c r="F107" s="2" t="s">
        <v>5661</v>
      </c>
      <c r="G107" s="2" t="s">
        <v>20</v>
      </c>
      <c r="H107" s="2" t="s">
        <v>5662</v>
      </c>
      <c r="I107" s="2" t="s">
        <v>5663</v>
      </c>
      <c r="J107" s="2" t="n">
        <v>1</v>
      </c>
    </row>
    <row r="108" customFormat="false" ht="61.15" hidden="false" customHeight="false" outlineLevel="0" collapsed="false">
      <c r="A108" s="2" t="s">
        <v>5664</v>
      </c>
      <c r="B108" s="2" t="s">
        <v>8068</v>
      </c>
      <c r="C108" s="2" t="s">
        <v>5665</v>
      </c>
      <c r="D108" s="2" t="s">
        <v>5666</v>
      </c>
      <c r="E108" s="2" t="s">
        <v>5667</v>
      </c>
      <c r="F108" s="2" t="s">
        <v>5668</v>
      </c>
      <c r="G108" s="2" t="s">
        <v>20</v>
      </c>
      <c r="H108" s="2" t="s">
        <v>5669</v>
      </c>
      <c r="I108" s="2" t="s">
        <v>5663</v>
      </c>
      <c r="J108" s="2" t="n">
        <v>3</v>
      </c>
    </row>
    <row r="109" customFormat="false" ht="61.15" hidden="false" customHeight="false" outlineLevel="0" collapsed="false">
      <c r="A109" s="2" t="s">
        <v>5670</v>
      </c>
      <c r="B109" s="2" t="s">
        <v>8068</v>
      </c>
      <c r="C109" s="2" t="s">
        <v>5671</v>
      </c>
      <c r="D109" s="2" t="s">
        <v>5672</v>
      </c>
      <c r="E109" s="2" t="s">
        <v>5673</v>
      </c>
      <c r="F109" s="2" t="s">
        <v>5674</v>
      </c>
      <c r="G109" s="2" t="s">
        <v>20</v>
      </c>
      <c r="H109" s="2" t="s">
        <v>5675</v>
      </c>
      <c r="I109" s="2" t="s">
        <v>5663</v>
      </c>
      <c r="J109" s="2" t="n">
        <v>2</v>
      </c>
    </row>
    <row r="110" customFormat="false" ht="46.25" hidden="false" customHeight="false" outlineLevel="0" collapsed="false">
      <c r="A110" s="2" t="s">
        <v>5676</v>
      </c>
      <c r="B110" s="2" t="s">
        <v>8068</v>
      </c>
      <c r="C110" s="2" t="s">
        <v>5677</v>
      </c>
      <c r="D110" s="2" t="s">
        <v>5678</v>
      </c>
      <c r="E110" s="2" t="s">
        <v>5679</v>
      </c>
      <c r="F110" s="2" t="s">
        <v>5680</v>
      </c>
      <c r="G110" s="2" t="s">
        <v>20</v>
      </c>
      <c r="H110" s="2" t="s">
        <v>5681</v>
      </c>
      <c r="I110" s="2" t="s">
        <v>5663</v>
      </c>
      <c r="J110" s="2" t="n">
        <v>2</v>
      </c>
    </row>
    <row r="111" customFormat="false" ht="31.3" hidden="false" customHeight="false" outlineLevel="0" collapsed="false">
      <c r="A111" s="2" t="s">
        <v>5682</v>
      </c>
      <c r="B111" s="2" t="s">
        <v>8068</v>
      </c>
      <c r="C111" s="2" t="s">
        <v>5683</v>
      </c>
      <c r="D111" s="2" t="s">
        <v>1607</v>
      </c>
      <c r="E111" s="2" t="s">
        <v>4596</v>
      </c>
      <c r="F111" s="2" t="s">
        <v>5162</v>
      </c>
      <c r="G111" s="2" t="s">
        <v>20</v>
      </c>
      <c r="H111" s="2" t="s">
        <v>5684</v>
      </c>
      <c r="I111" s="2" t="s">
        <v>5663</v>
      </c>
      <c r="J111" s="2" t="n">
        <v>2</v>
      </c>
    </row>
    <row r="112" customFormat="false" ht="46.25" hidden="false" customHeight="false" outlineLevel="0" collapsed="false">
      <c r="A112" s="2" t="s">
        <v>5685</v>
      </c>
      <c r="B112" s="2" t="s">
        <v>8068</v>
      </c>
      <c r="C112" s="2" t="s">
        <v>5686</v>
      </c>
      <c r="D112" s="2" t="s">
        <v>1607</v>
      </c>
      <c r="E112" s="2" t="s">
        <v>1608</v>
      </c>
      <c r="F112" s="2" t="s">
        <v>4596</v>
      </c>
      <c r="G112" s="2" t="s">
        <v>20</v>
      </c>
      <c r="H112" s="2" t="s">
        <v>5687</v>
      </c>
      <c r="I112" s="2" t="s">
        <v>5663</v>
      </c>
      <c r="J112" s="2" t="n">
        <v>2</v>
      </c>
    </row>
    <row r="113" customFormat="false" ht="76.1" hidden="false" customHeight="false" outlineLevel="0" collapsed="false">
      <c r="A113" s="2" t="s">
        <v>5688</v>
      </c>
      <c r="B113" s="2" t="s">
        <v>8068</v>
      </c>
      <c r="C113" s="2" t="s">
        <v>5689</v>
      </c>
      <c r="D113" s="2" t="s">
        <v>5690</v>
      </c>
      <c r="E113" s="2" t="s">
        <v>5691</v>
      </c>
      <c r="F113" s="2" t="s">
        <v>5692</v>
      </c>
      <c r="G113" s="2" t="s">
        <v>20</v>
      </c>
      <c r="H113" s="2" t="s">
        <v>5693</v>
      </c>
      <c r="I113" s="2" t="s">
        <v>5663</v>
      </c>
      <c r="J113" s="2" t="n">
        <v>3</v>
      </c>
    </row>
    <row r="114" customFormat="false" ht="61.15" hidden="false" customHeight="false" outlineLevel="0" collapsed="false">
      <c r="A114" s="2" t="s">
        <v>5694</v>
      </c>
      <c r="B114" s="2" t="s">
        <v>8068</v>
      </c>
      <c r="C114" s="2" t="s">
        <v>5695</v>
      </c>
      <c r="D114" s="2" t="s">
        <v>5696</v>
      </c>
      <c r="E114" s="2" t="s">
        <v>5697</v>
      </c>
      <c r="F114" s="2" t="s">
        <v>5698</v>
      </c>
      <c r="G114" s="2" t="s">
        <v>226</v>
      </c>
      <c r="H114" s="2" t="s">
        <v>5699</v>
      </c>
      <c r="I114" s="2" t="s">
        <v>5700</v>
      </c>
      <c r="J114" s="2" t="n">
        <v>2</v>
      </c>
    </row>
    <row r="115" customFormat="false" ht="61.15" hidden="false" customHeight="false" outlineLevel="0" collapsed="false">
      <c r="A115" s="2" t="s">
        <v>5701</v>
      </c>
      <c r="B115" s="2" t="s">
        <v>8069</v>
      </c>
      <c r="C115" s="2" t="s">
        <v>5702</v>
      </c>
      <c r="D115" s="2" t="s">
        <v>5703</v>
      </c>
      <c r="E115" s="2" t="s">
        <v>5704</v>
      </c>
      <c r="F115" s="2" t="s">
        <v>5705</v>
      </c>
      <c r="G115" s="2" t="s">
        <v>20</v>
      </c>
      <c r="H115" s="2" t="s">
        <v>5706</v>
      </c>
      <c r="I115" s="2" t="s">
        <v>5584</v>
      </c>
      <c r="J115" s="2" t="n">
        <v>1</v>
      </c>
    </row>
    <row r="116" customFormat="false" ht="61.15" hidden="false" customHeight="false" outlineLevel="0" collapsed="false">
      <c r="A116" s="2" t="s">
        <v>5707</v>
      </c>
      <c r="B116" s="2" t="s">
        <v>8068</v>
      </c>
      <c r="C116" s="2" t="s">
        <v>5708</v>
      </c>
      <c r="D116" s="2" t="s">
        <v>5709</v>
      </c>
      <c r="E116" s="2" t="s">
        <v>5710</v>
      </c>
      <c r="F116" s="2" t="s">
        <v>5711</v>
      </c>
      <c r="G116" s="2" t="s">
        <v>28</v>
      </c>
      <c r="H116" s="2" t="s">
        <v>5712</v>
      </c>
      <c r="I116" s="2" t="s">
        <v>5713</v>
      </c>
      <c r="J116" s="2" t="n">
        <v>3</v>
      </c>
    </row>
    <row r="117" customFormat="false" ht="61.15" hidden="false" customHeight="false" outlineLevel="0" collapsed="false">
      <c r="A117" s="2" t="s">
        <v>5714</v>
      </c>
      <c r="B117" s="2" t="s">
        <v>8068</v>
      </c>
      <c r="C117" s="2" t="s">
        <v>5715</v>
      </c>
      <c r="D117" s="2" t="s">
        <v>5716</v>
      </c>
      <c r="E117" s="2" t="s">
        <v>5717</v>
      </c>
      <c r="F117" s="2" t="s">
        <v>5718</v>
      </c>
      <c r="G117" s="2" t="s">
        <v>226</v>
      </c>
      <c r="H117" s="2" t="s">
        <v>5719</v>
      </c>
      <c r="I117" s="2" t="s">
        <v>5584</v>
      </c>
      <c r="J117" s="2" t="n">
        <v>2</v>
      </c>
    </row>
    <row r="118" customFormat="false" ht="76.1" hidden="false" customHeight="false" outlineLevel="0" collapsed="false">
      <c r="A118" s="2" t="s">
        <v>5720</v>
      </c>
      <c r="B118" s="2" t="s">
        <v>8068</v>
      </c>
      <c r="C118" s="2" t="s">
        <v>5721</v>
      </c>
      <c r="D118" s="2" t="s">
        <v>5616</v>
      </c>
      <c r="E118" s="2" t="s">
        <v>5615</v>
      </c>
      <c r="F118" s="2" t="s">
        <v>4596</v>
      </c>
      <c r="G118" s="2" t="s">
        <v>20</v>
      </c>
      <c r="H118" s="2" t="s">
        <v>5722</v>
      </c>
      <c r="I118" s="2" t="s">
        <v>5076</v>
      </c>
      <c r="J118" s="2" t="n">
        <v>3</v>
      </c>
    </row>
    <row r="119" customFormat="false" ht="61.15" hidden="false" customHeight="false" outlineLevel="0" collapsed="false">
      <c r="A119" s="2" t="s">
        <v>5723</v>
      </c>
      <c r="B119" s="2" t="s">
        <v>8068</v>
      </c>
      <c r="C119" s="2" t="s">
        <v>5724</v>
      </c>
      <c r="D119" s="2" t="s">
        <v>5725</v>
      </c>
      <c r="E119" s="2" t="s">
        <v>5726</v>
      </c>
      <c r="F119" s="2" t="s">
        <v>5727</v>
      </c>
      <c r="G119" s="2" t="s">
        <v>20</v>
      </c>
      <c r="H119" s="2" t="s">
        <v>5728</v>
      </c>
      <c r="I119" s="2" t="s">
        <v>5076</v>
      </c>
      <c r="J119" s="2" t="n">
        <v>3</v>
      </c>
    </row>
    <row r="120" customFormat="false" ht="76.1" hidden="false" customHeight="false" outlineLevel="0" collapsed="false">
      <c r="A120" s="2" t="s">
        <v>5729</v>
      </c>
      <c r="B120" s="2" t="s">
        <v>8069</v>
      </c>
      <c r="C120" s="2" t="s">
        <v>5730</v>
      </c>
      <c r="D120" s="2" t="s">
        <v>5731</v>
      </c>
      <c r="E120" s="2" t="s">
        <v>5732</v>
      </c>
      <c r="F120" s="2" t="s">
        <v>5733</v>
      </c>
      <c r="G120" s="2" t="s">
        <v>226</v>
      </c>
      <c r="H120" s="2" t="s">
        <v>5734</v>
      </c>
      <c r="I120" s="2" t="s">
        <v>5076</v>
      </c>
      <c r="J120" s="2" t="n">
        <v>2</v>
      </c>
    </row>
    <row r="121" customFormat="false" ht="61.15" hidden="false" customHeight="false" outlineLevel="0" collapsed="false">
      <c r="A121" s="2" t="s">
        <v>5735</v>
      </c>
      <c r="B121" s="2" t="s">
        <v>8068</v>
      </c>
      <c r="C121" s="2" t="s">
        <v>5736</v>
      </c>
      <c r="D121" s="2" t="s">
        <v>5737</v>
      </c>
      <c r="E121" s="2" t="s">
        <v>5738</v>
      </c>
      <c r="F121" s="2" t="s">
        <v>5739</v>
      </c>
      <c r="G121" s="2" t="s">
        <v>20</v>
      </c>
      <c r="H121" s="2" t="s">
        <v>5740</v>
      </c>
      <c r="I121" s="2" t="s">
        <v>5076</v>
      </c>
      <c r="J121" s="2" t="n">
        <v>3</v>
      </c>
    </row>
    <row r="122" customFormat="false" ht="61.15" hidden="false" customHeight="false" outlineLevel="0" collapsed="false">
      <c r="A122" s="2" t="s">
        <v>5741</v>
      </c>
      <c r="B122" s="2" t="s">
        <v>8068</v>
      </c>
      <c r="C122" s="2" t="s">
        <v>5742</v>
      </c>
      <c r="D122" s="2" t="s">
        <v>5743</v>
      </c>
      <c r="E122" s="2" t="s">
        <v>5744</v>
      </c>
      <c r="F122" s="2" t="s">
        <v>5745</v>
      </c>
      <c r="G122" s="2" t="s">
        <v>20</v>
      </c>
      <c r="H122" s="2" t="s">
        <v>5746</v>
      </c>
      <c r="I122" s="2" t="s">
        <v>5076</v>
      </c>
      <c r="J122" s="2" t="n">
        <v>3</v>
      </c>
    </row>
    <row r="123" customFormat="false" ht="76.1" hidden="false" customHeight="false" outlineLevel="0" collapsed="false">
      <c r="A123" s="2" t="s">
        <v>5747</v>
      </c>
      <c r="B123" s="2" t="s">
        <v>8069</v>
      </c>
      <c r="C123" s="2" t="s">
        <v>5748</v>
      </c>
      <c r="D123" s="2" t="s">
        <v>5749</v>
      </c>
      <c r="E123" s="2" t="s">
        <v>5750</v>
      </c>
      <c r="F123" s="2" t="s">
        <v>5751</v>
      </c>
      <c r="G123" s="2" t="s">
        <v>226</v>
      </c>
      <c r="H123" s="2" t="s">
        <v>5752</v>
      </c>
      <c r="I123" s="2" t="s">
        <v>5753</v>
      </c>
      <c r="J123" s="2" t="n">
        <v>2</v>
      </c>
    </row>
    <row r="124" customFormat="false" ht="76.1" hidden="false" customHeight="false" outlineLevel="0" collapsed="false">
      <c r="A124" s="2" t="s">
        <v>5754</v>
      </c>
      <c r="B124" s="2" t="s">
        <v>8069</v>
      </c>
      <c r="C124" s="2" t="s">
        <v>5755</v>
      </c>
      <c r="D124" s="2" t="s">
        <v>5756</v>
      </c>
      <c r="E124" s="2" t="s">
        <v>5757</v>
      </c>
      <c r="F124" s="2" t="s">
        <v>5758</v>
      </c>
      <c r="G124" s="2" t="s">
        <v>20</v>
      </c>
      <c r="H124" s="2" t="s">
        <v>5759</v>
      </c>
      <c r="I124" s="2" t="s">
        <v>5760</v>
      </c>
      <c r="J124" s="2" t="n">
        <v>2</v>
      </c>
    </row>
    <row r="125" customFormat="false" ht="61.15" hidden="false" customHeight="false" outlineLevel="0" collapsed="false">
      <c r="A125" s="2" t="s">
        <v>5761</v>
      </c>
      <c r="B125" s="2" t="s">
        <v>8068</v>
      </c>
      <c r="C125" s="2" t="s">
        <v>5762</v>
      </c>
      <c r="D125" s="2" t="s">
        <v>1967</v>
      </c>
      <c r="E125" s="2" t="s">
        <v>5085</v>
      </c>
      <c r="F125" s="2" t="s">
        <v>4596</v>
      </c>
      <c r="G125" s="2" t="s">
        <v>28</v>
      </c>
      <c r="H125" s="2" t="s">
        <v>5763</v>
      </c>
      <c r="I125" s="2" t="s">
        <v>5760</v>
      </c>
      <c r="J125" s="2" t="n">
        <v>3</v>
      </c>
    </row>
    <row r="126" customFormat="false" ht="61.15" hidden="false" customHeight="false" outlineLevel="0" collapsed="false">
      <c r="A126" s="2" t="s">
        <v>5764</v>
      </c>
      <c r="B126" s="2" t="s">
        <v>8068</v>
      </c>
      <c r="C126" s="2" t="s">
        <v>5765</v>
      </c>
      <c r="D126" s="2" t="s">
        <v>1967</v>
      </c>
      <c r="E126" s="2" t="s">
        <v>5085</v>
      </c>
      <c r="F126" s="2" t="s">
        <v>5766</v>
      </c>
      <c r="G126" s="2" t="s">
        <v>28</v>
      </c>
      <c r="H126" s="2" t="s">
        <v>5767</v>
      </c>
      <c r="I126" s="2" t="s">
        <v>5760</v>
      </c>
      <c r="J126" s="2" t="n">
        <v>3</v>
      </c>
    </row>
    <row r="127" customFormat="false" ht="61.15" hidden="false" customHeight="false" outlineLevel="0" collapsed="false">
      <c r="A127" s="2" t="s">
        <v>5768</v>
      </c>
      <c r="B127" s="2" t="s">
        <v>8068</v>
      </c>
      <c r="C127" s="2" t="s">
        <v>5769</v>
      </c>
      <c r="D127" s="2" t="s">
        <v>5770</v>
      </c>
      <c r="E127" s="2" t="s">
        <v>5771</v>
      </c>
      <c r="F127" s="2" t="s">
        <v>5772</v>
      </c>
      <c r="G127" s="2" t="s">
        <v>20</v>
      </c>
      <c r="H127" s="2" t="s">
        <v>5773</v>
      </c>
      <c r="I127" s="2" t="s">
        <v>5760</v>
      </c>
      <c r="J127" s="2" t="n">
        <v>4</v>
      </c>
    </row>
    <row r="128" customFormat="false" ht="61.15" hidden="false" customHeight="false" outlineLevel="0" collapsed="false">
      <c r="A128" s="2" t="s">
        <v>5774</v>
      </c>
      <c r="B128" s="2" t="s">
        <v>8068</v>
      </c>
      <c r="C128" s="2" t="s">
        <v>5775</v>
      </c>
      <c r="D128" s="2" t="s">
        <v>5776</v>
      </c>
      <c r="E128" s="2" t="s">
        <v>5777</v>
      </c>
      <c r="F128" s="2" t="s">
        <v>5778</v>
      </c>
      <c r="G128" s="2" t="s">
        <v>20</v>
      </c>
      <c r="H128" s="2" t="s">
        <v>5779</v>
      </c>
      <c r="I128" s="2" t="s">
        <v>5760</v>
      </c>
      <c r="J128" s="2" t="n">
        <v>3</v>
      </c>
    </row>
    <row r="129" customFormat="false" ht="61.15" hidden="false" customHeight="false" outlineLevel="0" collapsed="false">
      <c r="A129" s="2" t="s">
        <v>5780</v>
      </c>
      <c r="B129" s="2" t="s">
        <v>8068</v>
      </c>
      <c r="C129" s="2" t="s">
        <v>5781</v>
      </c>
      <c r="D129" s="2" t="s">
        <v>5782</v>
      </c>
      <c r="E129" s="2" t="s">
        <v>5783</v>
      </c>
      <c r="F129" s="2" t="s">
        <v>5784</v>
      </c>
      <c r="G129" s="2" t="s">
        <v>20</v>
      </c>
      <c r="H129" s="2" t="s">
        <v>5785</v>
      </c>
      <c r="I129" s="2" t="s">
        <v>5786</v>
      </c>
      <c r="J129" s="2" t="n">
        <v>3</v>
      </c>
    </row>
    <row r="130" customFormat="false" ht="61.15" hidden="false" customHeight="false" outlineLevel="0" collapsed="false">
      <c r="A130" s="2" t="s">
        <v>5787</v>
      </c>
      <c r="B130" s="2" t="s">
        <v>8068</v>
      </c>
      <c r="C130" s="2" t="s">
        <v>5788</v>
      </c>
      <c r="D130" s="2" t="s">
        <v>5789</v>
      </c>
      <c r="E130" s="2" t="s">
        <v>5790</v>
      </c>
      <c r="F130" s="2" t="s">
        <v>5791</v>
      </c>
      <c r="G130" s="2" t="s">
        <v>20</v>
      </c>
      <c r="H130" s="2" t="s">
        <v>5792</v>
      </c>
      <c r="I130" s="2" t="s">
        <v>5793</v>
      </c>
      <c r="J130" s="2" t="n">
        <v>2</v>
      </c>
    </row>
    <row r="131" customFormat="false" ht="76.1" hidden="false" customHeight="false" outlineLevel="0" collapsed="false">
      <c r="A131" s="2" t="s">
        <v>5794</v>
      </c>
      <c r="B131" s="2" t="s">
        <v>8068</v>
      </c>
      <c r="C131" s="2" t="s">
        <v>5795</v>
      </c>
      <c r="D131" s="2" t="s">
        <v>3290</v>
      </c>
      <c r="E131" s="2" t="s">
        <v>1607</v>
      </c>
      <c r="F131" s="2" t="s">
        <v>1608</v>
      </c>
      <c r="G131" s="2" t="s">
        <v>20</v>
      </c>
      <c r="H131" s="2" t="s">
        <v>5796</v>
      </c>
      <c r="I131" s="2" t="s">
        <v>5797</v>
      </c>
      <c r="J131" s="2" t="n">
        <v>2</v>
      </c>
    </row>
    <row r="132" customFormat="false" ht="61.15" hidden="false" customHeight="false" outlineLevel="0" collapsed="false">
      <c r="A132" s="2" t="s">
        <v>5798</v>
      </c>
      <c r="B132" s="2" t="s">
        <v>8068</v>
      </c>
      <c r="C132" s="2" t="s">
        <v>5799</v>
      </c>
      <c r="D132" s="2" t="s">
        <v>3290</v>
      </c>
      <c r="E132" s="2" t="s">
        <v>1607</v>
      </c>
      <c r="F132" s="2" t="s">
        <v>1608</v>
      </c>
      <c r="G132" s="2" t="s">
        <v>20</v>
      </c>
      <c r="H132" s="2" t="s">
        <v>5800</v>
      </c>
      <c r="I132" s="2" t="s">
        <v>5797</v>
      </c>
      <c r="J132" s="2" t="n">
        <v>2</v>
      </c>
    </row>
    <row r="133" customFormat="false" ht="61.15" hidden="false" customHeight="false" outlineLevel="0" collapsed="false">
      <c r="A133" s="2" t="s">
        <v>5801</v>
      </c>
      <c r="B133" s="2" t="s">
        <v>8068</v>
      </c>
      <c r="C133" s="2" t="s">
        <v>5802</v>
      </c>
      <c r="D133" s="2" t="s">
        <v>5803</v>
      </c>
      <c r="E133" s="2" t="s">
        <v>5804</v>
      </c>
      <c r="F133" s="2" t="s">
        <v>5805</v>
      </c>
      <c r="G133" s="2" t="s">
        <v>20</v>
      </c>
      <c r="H133" s="2" t="s">
        <v>5806</v>
      </c>
      <c r="I133" s="2" t="s">
        <v>5797</v>
      </c>
      <c r="J133" s="2" t="n">
        <v>2</v>
      </c>
    </row>
    <row r="134" customFormat="false" ht="61.15" hidden="false" customHeight="false" outlineLevel="0" collapsed="false">
      <c r="A134" s="2" t="s">
        <v>5807</v>
      </c>
      <c r="B134" s="2" t="s">
        <v>8068</v>
      </c>
      <c r="C134" s="2" t="s">
        <v>5808</v>
      </c>
      <c r="D134" s="2" t="s">
        <v>5809</v>
      </c>
      <c r="E134" s="2" t="s">
        <v>5810</v>
      </c>
      <c r="F134" s="2" t="s">
        <v>5811</v>
      </c>
      <c r="G134" s="2" t="s">
        <v>20</v>
      </c>
      <c r="H134" s="2" t="s">
        <v>5812</v>
      </c>
      <c r="I134" s="2" t="s">
        <v>5797</v>
      </c>
      <c r="J134" s="2" t="n">
        <v>1</v>
      </c>
    </row>
    <row r="135" customFormat="false" ht="76.1" hidden="false" customHeight="false" outlineLevel="0" collapsed="false">
      <c r="A135" s="2" t="s">
        <v>5813</v>
      </c>
      <c r="B135" s="2" t="s">
        <v>8068</v>
      </c>
      <c r="C135" s="2" t="s">
        <v>5814</v>
      </c>
      <c r="D135" s="2" t="s">
        <v>5815</v>
      </c>
      <c r="E135" s="2" t="s">
        <v>5816</v>
      </c>
      <c r="F135" s="2" t="s">
        <v>5817</v>
      </c>
      <c r="G135" s="2" t="s">
        <v>20</v>
      </c>
      <c r="H135" s="2" t="s">
        <v>5818</v>
      </c>
      <c r="I135" s="2" t="s">
        <v>5819</v>
      </c>
      <c r="J135" s="2" t="n">
        <v>2</v>
      </c>
    </row>
    <row r="136" customFormat="false" ht="61.15" hidden="false" customHeight="false" outlineLevel="0" collapsed="false">
      <c r="A136" s="2" t="s">
        <v>5820</v>
      </c>
      <c r="B136" s="2" t="s">
        <v>8068</v>
      </c>
      <c r="C136" s="2" t="s">
        <v>5821</v>
      </c>
      <c r="D136" s="2" t="s">
        <v>1607</v>
      </c>
      <c r="E136" s="2" t="s">
        <v>1608</v>
      </c>
      <c r="F136" s="2" t="s">
        <v>3290</v>
      </c>
      <c r="G136" s="2" t="s">
        <v>20</v>
      </c>
      <c r="H136" s="2" t="s">
        <v>5822</v>
      </c>
      <c r="I136" s="2" t="s">
        <v>5819</v>
      </c>
      <c r="J136" s="2" t="n">
        <v>2</v>
      </c>
    </row>
    <row r="137" customFormat="false" ht="76.1" hidden="false" customHeight="false" outlineLevel="0" collapsed="false">
      <c r="A137" s="2" t="s">
        <v>5823</v>
      </c>
      <c r="B137" s="2" t="s">
        <v>8068</v>
      </c>
      <c r="C137" s="2" t="s">
        <v>5824</v>
      </c>
      <c r="D137" s="2" t="s">
        <v>1607</v>
      </c>
      <c r="E137" s="2" t="s">
        <v>1608</v>
      </c>
      <c r="F137" s="2" t="s">
        <v>3290</v>
      </c>
      <c r="G137" s="2" t="s">
        <v>20</v>
      </c>
      <c r="H137" s="2" t="s">
        <v>5825</v>
      </c>
      <c r="I137" s="2" t="s">
        <v>5819</v>
      </c>
      <c r="J137" s="2" t="n">
        <v>3</v>
      </c>
    </row>
    <row r="138" customFormat="false" ht="61.15" hidden="false" customHeight="false" outlineLevel="0" collapsed="false">
      <c r="A138" s="2" t="s">
        <v>5826</v>
      </c>
      <c r="B138" s="2" t="s">
        <v>8068</v>
      </c>
      <c r="C138" s="2" t="s">
        <v>5827</v>
      </c>
      <c r="D138" s="2" t="s">
        <v>5828</v>
      </c>
      <c r="E138" s="2" t="s">
        <v>5829</v>
      </c>
      <c r="F138" s="2" t="s">
        <v>5830</v>
      </c>
      <c r="G138" s="2" t="s">
        <v>20</v>
      </c>
      <c r="H138" s="2" t="s">
        <v>5831</v>
      </c>
      <c r="I138" s="2" t="s">
        <v>5819</v>
      </c>
      <c r="J138" s="2" t="n">
        <v>2</v>
      </c>
    </row>
    <row r="139" customFormat="false" ht="61.15" hidden="false" customHeight="false" outlineLevel="0" collapsed="false">
      <c r="A139" s="2" t="s">
        <v>5832</v>
      </c>
      <c r="B139" s="2" t="s">
        <v>8068</v>
      </c>
      <c r="C139" s="2" t="s">
        <v>5833</v>
      </c>
      <c r="D139" s="2" t="s">
        <v>1608</v>
      </c>
      <c r="E139" s="2" t="s">
        <v>3290</v>
      </c>
      <c r="F139" s="2" t="s">
        <v>1607</v>
      </c>
      <c r="G139" s="2" t="s">
        <v>226</v>
      </c>
      <c r="H139" s="2" t="s">
        <v>5834</v>
      </c>
      <c r="I139" s="2" t="s">
        <v>5819</v>
      </c>
      <c r="J139" s="2" t="n">
        <v>2</v>
      </c>
    </row>
    <row r="140" customFormat="false" ht="61.15" hidden="false" customHeight="false" outlineLevel="0" collapsed="false">
      <c r="A140" s="2" t="s">
        <v>5835</v>
      </c>
      <c r="B140" s="2" t="s">
        <v>8068</v>
      </c>
      <c r="C140" s="2" t="s">
        <v>5836</v>
      </c>
      <c r="D140" s="2" t="s">
        <v>5837</v>
      </c>
      <c r="E140" s="2" t="s">
        <v>5838</v>
      </c>
      <c r="F140" s="2" t="s">
        <v>5839</v>
      </c>
      <c r="G140" s="2" t="s">
        <v>20</v>
      </c>
      <c r="H140" s="2" t="s">
        <v>5840</v>
      </c>
      <c r="I140" s="2" t="s">
        <v>5819</v>
      </c>
      <c r="J140" s="2" t="n">
        <v>2</v>
      </c>
    </row>
    <row r="141" customFormat="false" ht="61.15" hidden="false" customHeight="false" outlineLevel="0" collapsed="false">
      <c r="A141" s="2" t="s">
        <v>5841</v>
      </c>
      <c r="B141" s="2" t="s">
        <v>8068</v>
      </c>
      <c r="C141" s="2" t="s">
        <v>5842</v>
      </c>
      <c r="D141" s="2" t="s">
        <v>5843</v>
      </c>
      <c r="E141" s="2" t="s">
        <v>5844</v>
      </c>
      <c r="F141" s="2" t="s">
        <v>5845</v>
      </c>
      <c r="G141" s="2" t="s">
        <v>20</v>
      </c>
      <c r="H141" s="2" t="s">
        <v>5846</v>
      </c>
      <c r="I141" s="2" t="s">
        <v>5819</v>
      </c>
      <c r="J141" s="2" t="n">
        <v>2</v>
      </c>
    </row>
    <row r="142" customFormat="false" ht="91" hidden="false" customHeight="false" outlineLevel="0" collapsed="false">
      <c r="A142" s="2" t="s">
        <v>5847</v>
      </c>
      <c r="B142" s="2" t="s">
        <v>8068</v>
      </c>
      <c r="C142" s="2" t="s">
        <v>5848</v>
      </c>
      <c r="D142" s="2" t="s">
        <v>5849</v>
      </c>
      <c r="E142" s="2" t="s">
        <v>5850</v>
      </c>
      <c r="F142" s="2" t="s">
        <v>5851</v>
      </c>
      <c r="G142" s="2" t="s">
        <v>20</v>
      </c>
      <c r="H142" s="2" t="s">
        <v>5852</v>
      </c>
      <c r="I142" s="2" t="s">
        <v>5853</v>
      </c>
      <c r="J142" s="2" t="n">
        <v>3</v>
      </c>
    </row>
    <row r="143" customFormat="false" ht="61.15" hidden="false" customHeight="false" outlineLevel="0" collapsed="false">
      <c r="A143" s="2" t="s">
        <v>5854</v>
      </c>
      <c r="B143" s="2" t="s">
        <v>8068</v>
      </c>
      <c r="C143" s="2" t="s">
        <v>5855</v>
      </c>
      <c r="D143" s="2" t="s">
        <v>5856</v>
      </c>
      <c r="E143" s="2" t="s">
        <v>5857</v>
      </c>
      <c r="F143" s="2" t="s">
        <v>5858</v>
      </c>
      <c r="G143" s="2" t="s">
        <v>20</v>
      </c>
      <c r="H143" s="2" t="s">
        <v>5859</v>
      </c>
      <c r="I143" s="2" t="s">
        <v>5853</v>
      </c>
      <c r="J143" s="2" t="n">
        <v>3</v>
      </c>
    </row>
    <row r="144" customFormat="false" ht="61.15" hidden="false" customHeight="false" outlineLevel="0" collapsed="false">
      <c r="A144" s="2" t="s">
        <v>5860</v>
      </c>
      <c r="B144" s="2" t="s">
        <v>8068</v>
      </c>
      <c r="C144" s="2" t="s">
        <v>5861</v>
      </c>
      <c r="D144" s="2" t="s">
        <v>5862</v>
      </c>
      <c r="E144" s="2" t="s">
        <v>5863</v>
      </c>
      <c r="F144" s="2" t="s">
        <v>5864</v>
      </c>
      <c r="G144" s="2" t="s">
        <v>226</v>
      </c>
      <c r="H144" s="2" t="s">
        <v>5865</v>
      </c>
      <c r="I144" s="2" t="s">
        <v>5853</v>
      </c>
      <c r="J144" s="2" t="n">
        <v>3</v>
      </c>
    </row>
    <row r="145" customFormat="false" ht="46.25" hidden="false" customHeight="false" outlineLevel="0" collapsed="false">
      <c r="A145" s="2" t="s">
        <v>5866</v>
      </c>
      <c r="B145" s="2" t="s">
        <v>8068</v>
      </c>
      <c r="C145" s="2" t="s">
        <v>5867</v>
      </c>
      <c r="D145" s="2" t="s">
        <v>5868</v>
      </c>
      <c r="E145" s="2" t="s">
        <v>5869</v>
      </c>
      <c r="F145" s="2" t="s">
        <v>5870</v>
      </c>
      <c r="G145" s="2" t="s">
        <v>20</v>
      </c>
      <c r="H145" s="2" t="s">
        <v>5871</v>
      </c>
      <c r="I145" s="2" t="s">
        <v>5853</v>
      </c>
      <c r="J145" s="2" t="n">
        <v>2</v>
      </c>
    </row>
    <row r="146" customFormat="false" ht="61.15" hidden="false" customHeight="false" outlineLevel="0" collapsed="false">
      <c r="A146" s="2" t="s">
        <v>5872</v>
      </c>
      <c r="B146" s="2" t="s">
        <v>8068</v>
      </c>
      <c r="C146" s="2" t="s">
        <v>5873</v>
      </c>
      <c r="D146" s="2" t="s">
        <v>5874</v>
      </c>
      <c r="E146" s="2" t="s">
        <v>5875</v>
      </c>
      <c r="F146" s="2" t="s">
        <v>5876</v>
      </c>
      <c r="G146" s="2" t="s">
        <v>28</v>
      </c>
      <c r="H146" s="2" t="s">
        <v>5877</v>
      </c>
      <c r="I146" s="2" t="s">
        <v>5853</v>
      </c>
      <c r="J146" s="2" t="n">
        <v>3</v>
      </c>
    </row>
    <row r="147" customFormat="false" ht="61.15" hidden="false" customHeight="false" outlineLevel="0" collapsed="false">
      <c r="A147" s="2" t="s">
        <v>5878</v>
      </c>
      <c r="B147" s="2" t="s">
        <v>8068</v>
      </c>
      <c r="C147" s="2" t="s">
        <v>5879</v>
      </c>
      <c r="D147" s="2" t="s">
        <v>5880</v>
      </c>
      <c r="E147" s="2" t="s">
        <v>5881</v>
      </c>
      <c r="F147" s="2" t="s">
        <v>5882</v>
      </c>
      <c r="G147" s="2" t="s">
        <v>226</v>
      </c>
      <c r="H147" s="2" t="s">
        <v>5883</v>
      </c>
      <c r="I147" s="2" t="s">
        <v>5853</v>
      </c>
      <c r="J147" s="2" t="n">
        <v>2</v>
      </c>
    </row>
    <row r="148" customFormat="false" ht="61.15" hidden="false" customHeight="false" outlineLevel="0" collapsed="false">
      <c r="A148" s="2" t="s">
        <v>5884</v>
      </c>
      <c r="B148" s="2" t="s">
        <v>8068</v>
      </c>
      <c r="C148" s="2" t="s">
        <v>5885</v>
      </c>
      <c r="D148" s="2" t="s">
        <v>5886</v>
      </c>
      <c r="E148" s="2" t="s">
        <v>5887</v>
      </c>
      <c r="F148" s="2" t="s">
        <v>5888</v>
      </c>
      <c r="G148" s="2" t="s">
        <v>28</v>
      </c>
      <c r="H148" s="2" t="s">
        <v>5889</v>
      </c>
      <c r="I148" s="2" t="s">
        <v>5853</v>
      </c>
      <c r="J148" s="2" t="n">
        <v>2</v>
      </c>
    </row>
    <row r="149" customFormat="false" ht="46.25" hidden="false" customHeight="false" outlineLevel="0" collapsed="false">
      <c r="A149" s="2" t="s">
        <v>5890</v>
      </c>
      <c r="B149" s="2" t="s">
        <v>8068</v>
      </c>
      <c r="C149" s="2" t="s">
        <v>5891</v>
      </c>
      <c r="D149" s="2" t="s">
        <v>5892</v>
      </c>
      <c r="E149" s="2" t="s">
        <v>5893</v>
      </c>
      <c r="F149" s="2" t="s">
        <v>5894</v>
      </c>
      <c r="G149" s="2" t="s">
        <v>20</v>
      </c>
      <c r="H149" s="2" t="s">
        <v>5895</v>
      </c>
      <c r="I149" s="2" t="s">
        <v>5853</v>
      </c>
      <c r="J149" s="2" t="n">
        <v>2</v>
      </c>
    </row>
    <row r="150" customFormat="false" ht="76.1" hidden="false" customHeight="false" outlineLevel="0" collapsed="false">
      <c r="A150" s="2" t="s">
        <v>5896</v>
      </c>
      <c r="B150" s="2" t="s">
        <v>8068</v>
      </c>
      <c r="C150" s="2" t="s">
        <v>5897</v>
      </c>
      <c r="D150" s="2" t="s">
        <v>5085</v>
      </c>
      <c r="E150" s="2" t="s">
        <v>5643</v>
      </c>
      <c r="F150" s="2" t="s">
        <v>1967</v>
      </c>
      <c r="G150" s="2" t="s">
        <v>226</v>
      </c>
      <c r="H150" s="2" t="s">
        <v>5898</v>
      </c>
      <c r="I150" s="2" t="s">
        <v>5899</v>
      </c>
      <c r="J150" s="2" t="n">
        <v>2</v>
      </c>
    </row>
    <row r="151" customFormat="false" ht="61.15" hidden="false" customHeight="false" outlineLevel="0" collapsed="false">
      <c r="A151" s="2" t="s">
        <v>5900</v>
      </c>
      <c r="B151" s="2" t="s">
        <v>8068</v>
      </c>
      <c r="C151" s="2" t="s">
        <v>5901</v>
      </c>
      <c r="D151" s="2" t="s">
        <v>5902</v>
      </c>
      <c r="E151" s="2" t="s">
        <v>5903</v>
      </c>
      <c r="F151" s="2" t="s">
        <v>5904</v>
      </c>
      <c r="G151" s="2" t="s">
        <v>20</v>
      </c>
      <c r="H151" s="2" t="s">
        <v>5905</v>
      </c>
      <c r="I151" s="2" t="s">
        <v>5899</v>
      </c>
      <c r="J151" s="2" t="n">
        <v>3</v>
      </c>
    </row>
    <row r="152" customFormat="false" ht="46.25" hidden="false" customHeight="false" outlineLevel="0" collapsed="false">
      <c r="A152" s="2" t="s">
        <v>5906</v>
      </c>
      <c r="B152" s="2" t="s">
        <v>8068</v>
      </c>
      <c r="C152" s="2" t="s">
        <v>5907</v>
      </c>
      <c r="D152" s="2" t="s">
        <v>5908</v>
      </c>
      <c r="E152" s="2" t="s">
        <v>5909</v>
      </c>
      <c r="F152" s="2" t="s">
        <v>5910</v>
      </c>
      <c r="G152" s="2" t="s">
        <v>20</v>
      </c>
      <c r="H152" s="2" t="s">
        <v>5911</v>
      </c>
      <c r="I152" s="2" t="s">
        <v>5912</v>
      </c>
      <c r="J152" s="2" t="n">
        <v>2</v>
      </c>
    </row>
    <row r="153" customFormat="false" ht="91" hidden="false" customHeight="false" outlineLevel="0" collapsed="false">
      <c r="A153" s="2" t="s">
        <v>5913</v>
      </c>
      <c r="B153" s="2" t="s">
        <v>8068</v>
      </c>
      <c r="C153" s="2" t="s">
        <v>5914</v>
      </c>
      <c r="D153" s="2" t="s">
        <v>5915</v>
      </c>
      <c r="E153" s="2" t="s">
        <v>5916</v>
      </c>
      <c r="F153" s="2" t="s">
        <v>5917</v>
      </c>
      <c r="G153" s="2" t="s">
        <v>20</v>
      </c>
      <c r="H153" s="2" t="s">
        <v>5918</v>
      </c>
      <c r="I153" s="2" t="s">
        <v>5912</v>
      </c>
      <c r="J153" s="2" t="n">
        <v>3</v>
      </c>
    </row>
    <row r="154" customFormat="false" ht="105.95" hidden="false" customHeight="false" outlineLevel="0" collapsed="false">
      <c r="A154" s="2" t="s">
        <v>5919</v>
      </c>
      <c r="B154" s="2" t="s">
        <v>8068</v>
      </c>
      <c r="C154" s="2" t="s">
        <v>5920</v>
      </c>
      <c r="D154" s="2" t="s">
        <v>5921</v>
      </c>
      <c r="E154" s="2" t="s">
        <v>5922</v>
      </c>
      <c r="F154" s="2" t="s">
        <v>5923</v>
      </c>
      <c r="G154" s="2" t="s">
        <v>20</v>
      </c>
      <c r="H154" s="2" t="s">
        <v>5924</v>
      </c>
      <c r="I154" s="2" t="s">
        <v>5912</v>
      </c>
      <c r="J154" s="2" t="n">
        <v>3</v>
      </c>
    </row>
    <row r="155" customFormat="false" ht="46.25" hidden="false" customHeight="false" outlineLevel="0" collapsed="false">
      <c r="A155" s="2" t="s">
        <v>5925</v>
      </c>
      <c r="B155" s="2" t="s">
        <v>8068</v>
      </c>
      <c r="C155" s="2" t="s">
        <v>5926</v>
      </c>
      <c r="D155" s="2" t="s">
        <v>5927</v>
      </c>
      <c r="E155" s="2" t="s">
        <v>5928</v>
      </c>
      <c r="F155" s="2" t="s">
        <v>5929</v>
      </c>
      <c r="G155" s="2" t="s">
        <v>226</v>
      </c>
      <c r="H155" s="2" t="s">
        <v>5930</v>
      </c>
      <c r="I155" s="2" t="s">
        <v>5349</v>
      </c>
      <c r="J155" s="2" t="n">
        <v>2</v>
      </c>
    </row>
    <row r="156" customFormat="false" ht="46.25" hidden="false" customHeight="false" outlineLevel="0" collapsed="false">
      <c r="A156" s="2" t="s">
        <v>5931</v>
      </c>
      <c r="B156" s="2" t="s">
        <v>8069</v>
      </c>
      <c r="C156" s="2" t="s">
        <v>5932</v>
      </c>
      <c r="D156" s="2" t="s">
        <v>5933</v>
      </c>
      <c r="E156" s="2" t="s">
        <v>5934</v>
      </c>
      <c r="F156" s="2" t="s">
        <v>5935</v>
      </c>
      <c r="G156" s="2" t="s">
        <v>28</v>
      </c>
      <c r="H156" s="2" t="s">
        <v>5936</v>
      </c>
      <c r="I156" s="2" t="s">
        <v>5937</v>
      </c>
      <c r="J156" s="2" t="n">
        <v>2</v>
      </c>
    </row>
    <row r="157" customFormat="false" ht="76.1" hidden="false" customHeight="false" outlineLevel="0" collapsed="false">
      <c r="A157" s="2" t="s">
        <v>5938</v>
      </c>
      <c r="B157" s="2" t="s">
        <v>8068</v>
      </c>
      <c r="C157" s="2" t="s">
        <v>5939</v>
      </c>
      <c r="D157" s="2" t="s">
        <v>5940</v>
      </c>
      <c r="E157" s="2" t="s">
        <v>5941</v>
      </c>
      <c r="F157" s="2" t="s">
        <v>5942</v>
      </c>
      <c r="G157" s="2" t="s">
        <v>20</v>
      </c>
      <c r="H157" s="2" t="s">
        <v>5943</v>
      </c>
      <c r="I157" s="2" t="s">
        <v>5349</v>
      </c>
      <c r="J157" s="2" t="n">
        <v>2</v>
      </c>
    </row>
    <row r="158" customFormat="false" ht="76.1" hidden="false" customHeight="false" outlineLevel="0" collapsed="false">
      <c r="A158" s="2" t="s">
        <v>5944</v>
      </c>
      <c r="B158" s="2" t="s">
        <v>8068</v>
      </c>
      <c r="C158" s="2" t="s">
        <v>5945</v>
      </c>
      <c r="D158" s="2" t="s">
        <v>5946</v>
      </c>
      <c r="E158" s="2" t="s">
        <v>5947</v>
      </c>
      <c r="F158" s="2" t="s">
        <v>5948</v>
      </c>
      <c r="G158" s="2" t="s">
        <v>20</v>
      </c>
      <c r="H158" s="2" t="s">
        <v>5949</v>
      </c>
      <c r="I158" s="2" t="s">
        <v>5950</v>
      </c>
      <c r="J158" s="2" t="n">
        <v>2</v>
      </c>
    </row>
    <row r="159" customFormat="false" ht="61.15" hidden="false" customHeight="false" outlineLevel="0" collapsed="false">
      <c r="A159" s="2" t="s">
        <v>5951</v>
      </c>
      <c r="B159" s="2" t="s">
        <v>8068</v>
      </c>
      <c r="C159" s="2" t="s">
        <v>5952</v>
      </c>
      <c r="D159" s="2" t="s">
        <v>5953</v>
      </c>
      <c r="E159" s="2" t="s">
        <v>5954</v>
      </c>
      <c r="F159" s="2" t="s">
        <v>5955</v>
      </c>
      <c r="G159" s="2" t="s">
        <v>20</v>
      </c>
      <c r="H159" s="2" t="s">
        <v>5956</v>
      </c>
      <c r="I159" s="2" t="s">
        <v>5950</v>
      </c>
      <c r="J159" s="2" t="n">
        <v>4</v>
      </c>
    </row>
    <row r="160" customFormat="false" ht="91" hidden="false" customHeight="false" outlineLevel="0" collapsed="false">
      <c r="A160" s="2" t="s">
        <v>5957</v>
      </c>
      <c r="B160" s="2" t="s">
        <v>8068</v>
      </c>
      <c r="C160" s="2" t="s">
        <v>5958</v>
      </c>
      <c r="D160" s="2" t="s">
        <v>5959</v>
      </c>
      <c r="E160" s="2" t="s">
        <v>5960</v>
      </c>
      <c r="F160" s="2" t="s">
        <v>5961</v>
      </c>
      <c r="G160" s="2" t="s">
        <v>20</v>
      </c>
      <c r="H160" s="2" t="s">
        <v>5962</v>
      </c>
      <c r="I160" s="2" t="s">
        <v>5349</v>
      </c>
      <c r="J160" s="2" t="n">
        <v>3</v>
      </c>
    </row>
    <row r="161" customFormat="false" ht="76.1" hidden="false" customHeight="false" outlineLevel="0" collapsed="false">
      <c r="A161" s="2" t="s">
        <v>5963</v>
      </c>
      <c r="B161" s="2" t="s">
        <v>8068</v>
      </c>
      <c r="C161" s="2" t="s">
        <v>5964</v>
      </c>
      <c r="D161" s="2" t="s">
        <v>5965</v>
      </c>
      <c r="E161" s="2" t="s">
        <v>5966</v>
      </c>
      <c r="F161" s="2" t="s">
        <v>5967</v>
      </c>
      <c r="G161" s="2" t="s">
        <v>20</v>
      </c>
      <c r="H161" s="2" t="s">
        <v>5968</v>
      </c>
      <c r="I161" s="2" t="s">
        <v>5349</v>
      </c>
      <c r="J161" s="2" t="n">
        <v>3</v>
      </c>
    </row>
    <row r="162" customFormat="false" ht="46.25" hidden="false" customHeight="false" outlineLevel="0" collapsed="false">
      <c r="A162" s="2" t="s">
        <v>5969</v>
      </c>
      <c r="B162" s="2" t="s">
        <v>8068</v>
      </c>
      <c r="C162" s="2" t="s">
        <v>5970</v>
      </c>
      <c r="D162" s="2" t="s">
        <v>5971</v>
      </c>
      <c r="E162" s="2" t="s">
        <v>5972</v>
      </c>
      <c r="F162" s="2" t="s">
        <v>5973</v>
      </c>
      <c r="G162" s="2" t="s">
        <v>20</v>
      </c>
      <c r="H162" s="2" t="s">
        <v>5974</v>
      </c>
      <c r="I162" s="2" t="s">
        <v>5349</v>
      </c>
      <c r="J162" s="2" t="n">
        <v>4</v>
      </c>
    </row>
    <row r="163" customFormat="false" ht="91" hidden="false" customHeight="false" outlineLevel="0" collapsed="false">
      <c r="A163" s="2" t="s">
        <v>5975</v>
      </c>
      <c r="B163" s="2" t="s">
        <v>8068</v>
      </c>
      <c r="C163" s="2" t="s">
        <v>5976</v>
      </c>
      <c r="D163" s="2" t="s">
        <v>5977</v>
      </c>
      <c r="E163" s="2" t="s">
        <v>5978</v>
      </c>
      <c r="F163" s="2" t="s">
        <v>5979</v>
      </c>
      <c r="G163" s="2" t="s">
        <v>226</v>
      </c>
      <c r="H163" s="2" t="s">
        <v>5980</v>
      </c>
      <c r="I163" s="2" t="s">
        <v>5349</v>
      </c>
      <c r="J163" s="2" t="n">
        <v>3</v>
      </c>
    </row>
    <row r="164" customFormat="false" ht="61.15" hidden="false" customHeight="false" outlineLevel="0" collapsed="false">
      <c r="A164" s="2" t="s">
        <v>5981</v>
      </c>
      <c r="B164" s="2" t="s">
        <v>8068</v>
      </c>
      <c r="C164" s="2" t="s">
        <v>5982</v>
      </c>
      <c r="D164" s="2" t="s">
        <v>5983</v>
      </c>
      <c r="E164" s="2" t="s">
        <v>5984</v>
      </c>
      <c r="F164" s="2" t="s">
        <v>5985</v>
      </c>
      <c r="G164" s="2" t="s">
        <v>20</v>
      </c>
      <c r="H164" s="2" t="s">
        <v>5986</v>
      </c>
      <c r="I164" s="2" t="s">
        <v>5937</v>
      </c>
      <c r="J164" s="2" t="n">
        <v>4</v>
      </c>
    </row>
    <row r="165" customFormat="false" ht="61.15" hidden="false" customHeight="false" outlineLevel="0" collapsed="false">
      <c r="A165" s="2" t="s">
        <v>5987</v>
      </c>
      <c r="B165" s="2" t="s">
        <v>8069</v>
      </c>
      <c r="C165" s="2" t="s">
        <v>5988</v>
      </c>
      <c r="D165" s="2" t="s">
        <v>5989</v>
      </c>
      <c r="E165" s="2" t="s">
        <v>5990</v>
      </c>
      <c r="F165" s="2" t="s">
        <v>5991</v>
      </c>
      <c r="G165" s="2" t="s">
        <v>20</v>
      </c>
      <c r="H165" s="2" t="s">
        <v>5992</v>
      </c>
      <c r="I165" s="2" t="s">
        <v>5993</v>
      </c>
      <c r="J165" s="2" t="n">
        <v>1</v>
      </c>
    </row>
    <row r="166" customFormat="false" ht="76.1" hidden="false" customHeight="false" outlineLevel="0" collapsed="false">
      <c r="A166" s="2" t="s">
        <v>5994</v>
      </c>
      <c r="B166" s="2" t="s">
        <v>8068</v>
      </c>
      <c r="C166" s="2" t="s">
        <v>5995</v>
      </c>
      <c r="D166" s="2" t="s">
        <v>5996</v>
      </c>
      <c r="E166" s="2" t="s">
        <v>5997</v>
      </c>
      <c r="F166" s="2" t="s">
        <v>5998</v>
      </c>
      <c r="G166" s="2" t="s">
        <v>28</v>
      </c>
      <c r="H166" s="2" t="s">
        <v>5999</v>
      </c>
      <c r="I166" s="2" t="s">
        <v>6000</v>
      </c>
      <c r="J166" s="2" t="n">
        <v>3</v>
      </c>
    </row>
    <row r="167" customFormat="false" ht="46.25" hidden="false" customHeight="false" outlineLevel="0" collapsed="false">
      <c r="A167" s="2" t="s">
        <v>6001</v>
      </c>
      <c r="B167" s="2" t="s">
        <v>8068</v>
      </c>
      <c r="C167" s="2" t="s">
        <v>6002</v>
      </c>
      <c r="D167" s="2" t="s">
        <v>5783</v>
      </c>
      <c r="E167" s="2" t="s">
        <v>6003</v>
      </c>
      <c r="F167" s="2" t="s">
        <v>6004</v>
      </c>
      <c r="G167" s="2" t="s">
        <v>28</v>
      </c>
      <c r="H167" s="2" t="s">
        <v>6005</v>
      </c>
      <c r="I167" s="2" t="s">
        <v>6006</v>
      </c>
      <c r="J167" s="2" t="n">
        <v>3</v>
      </c>
    </row>
    <row r="168" customFormat="false" ht="91" hidden="false" customHeight="false" outlineLevel="0" collapsed="false">
      <c r="A168" s="2" t="s">
        <v>6007</v>
      </c>
      <c r="B168" s="2" t="s">
        <v>8068</v>
      </c>
      <c r="C168" s="2" t="s">
        <v>6008</v>
      </c>
      <c r="D168" s="2" t="s">
        <v>6009</v>
      </c>
      <c r="E168" s="2" t="s">
        <v>6010</v>
      </c>
      <c r="F168" s="2" t="s">
        <v>5373</v>
      </c>
      <c r="G168" s="2" t="s">
        <v>20</v>
      </c>
      <c r="H168" s="2" t="s">
        <v>6011</v>
      </c>
      <c r="I168" s="2" t="s">
        <v>5294</v>
      </c>
      <c r="J168" s="2" t="n">
        <v>3</v>
      </c>
    </row>
    <row r="169" customFormat="false" ht="76.1" hidden="false" customHeight="false" outlineLevel="0" collapsed="false">
      <c r="A169" s="2" t="s">
        <v>6012</v>
      </c>
      <c r="B169" s="2" t="s">
        <v>8068</v>
      </c>
      <c r="C169" s="2" t="s">
        <v>6013</v>
      </c>
      <c r="D169" s="2" t="s">
        <v>6014</v>
      </c>
      <c r="E169" s="2" t="s">
        <v>6015</v>
      </c>
      <c r="F169" s="2" t="s">
        <v>6016</v>
      </c>
      <c r="G169" s="2" t="s">
        <v>20</v>
      </c>
      <c r="H169" s="2" t="s">
        <v>6017</v>
      </c>
      <c r="I169" s="2" t="s">
        <v>6018</v>
      </c>
      <c r="J169" s="2" t="n">
        <v>3</v>
      </c>
    </row>
    <row r="170" customFormat="false" ht="61.15" hidden="false" customHeight="false" outlineLevel="0" collapsed="false">
      <c r="A170" s="2" t="s">
        <v>6019</v>
      </c>
      <c r="B170" s="2" t="s">
        <v>8068</v>
      </c>
      <c r="C170" s="2" t="s">
        <v>6020</v>
      </c>
      <c r="D170" s="2" t="s">
        <v>6021</v>
      </c>
      <c r="E170" s="2" t="s">
        <v>5928</v>
      </c>
      <c r="F170" s="2" t="s">
        <v>6022</v>
      </c>
      <c r="G170" s="2" t="s">
        <v>226</v>
      </c>
      <c r="H170" s="2" t="s">
        <v>6023</v>
      </c>
      <c r="I170" s="2" t="s">
        <v>6024</v>
      </c>
      <c r="J170" s="2" t="n">
        <v>3</v>
      </c>
    </row>
    <row r="171" customFormat="false" ht="61.15" hidden="false" customHeight="false" outlineLevel="0" collapsed="false">
      <c r="A171" s="2" t="s">
        <v>6025</v>
      </c>
      <c r="B171" s="2" t="s">
        <v>8068</v>
      </c>
      <c r="C171" s="2" t="s">
        <v>6026</v>
      </c>
      <c r="D171" s="2" t="s">
        <v>2940</v>
      </c>
      <c r="E171" s="2" t="s">
        <v>6027</v>
      </c>
      <c r="F171" s="2" t="s">
        <v>6028</v>
      </c>
      <c r="G171" s="2" t="s">
        <v>20</v>
      </c>
      <c r="H171" s="2" t="s">
        <v>6029</v>
      </c>
      <c r="I171" s="2" t="s">
        <v>6030</v>
      </c>
      <c r="J171" s="2" t="n">
        <v>2</v>
      </c>
    </row>
    <row r="172" customFormat="false" ht="76.1" hidden="false" customHeight="false" outlineLevel="0" collapsed="false">
      <c r="A172" s="2" t="s">
        <v>6031</v>
      </c>
      <c r="B172" s="2" t="s">
        <v>8068</v>
      </c>
      <c r="C172" s="2" t="s">
        <v>6032</v>
      </c>
      <c r="D172" s="2" t="s">
        <v>6033</v>
      </c>
      <c r="E172" s="2" t="s">
        <v>6034</v>
      </c>
      <c r="F172" s="2" t="s">
        <v>6035</v>
      </c>
      <c r="G172" s="2" t="s">
        <v>28</v>
      </c>
      <c r="H172" s="2" t="s">
        <v>6036</v>
      </c>
      <c r="I172" s="2" t="s">
        <v>6030</v>
      </c>
      <c r="J172" s="2" t="n">
        <v>3</v>
      </c>
    </row>
    <row r="173" customFormat="false" ht="61.15" hidden="false" customHeight="false" outlineLevel="0" collapsed="false">
      <c r="A173" s="2" t="s">
        <v>6037</v>
      </c>
      <c r="B173" s="2" t="s">
        <v>8068</v>
      </c>
      <c r="C173" s="2" t="s">
        <v>6038</v>
      </c>
      <c r="D173" s="2" t="s">
        <v>6039</v>
      </c>
      <c r="E173" s="2" t="s">
        <v>5844</v>
      </c>
      <c r="F173" s="2" t="s">
        <v>6040</v>
      </c>
      <c r="G173" s="2" t="s">
        <v>20</v>
      </c>
      <c r="H173" s="2" t="s">
        <v>6041</v>
      </c>
      <c r="I173" s="2" t="s">
        <v>5589</v>
      </c>
      <c r="J173" s="2" t="n">
        <v>2</v>
      </c>
    </row>
    <row r="174" customFormat="false" ht="61.15" hidden="false" customHeight="false" outlineLevel="0" collapsed="false">
      <c r="A174" s="2" t="s">
        <v>6042</v>
      </c>
      <c r="B174" s="2" t="s">
        <v>8068</v>
      </c>
      <c r="C174" s="2" t="s">
        <v>6043</v>
      </c>
      <c r="D174" s="2" t="s">
        <v>6044</v>
      </c>
      <c r="E174" s="2" t="s">
        <v>6045</v>
      </c>
      <c r="F174" s="2" t="s">
        <v>6046</v>
      </c>
      <c r="G174" s="2" t="s">
        <v>20</v>
      </c>
      <c r="H174" s="2" t="s">
        <v>6047</v>
      </c>
      <c r="I174" s="2" t="s">
        <v>5589</v>
      </c>
      <c r="J174" s="2" t="n">
        <v>3</v>
      </c>
    </row>
    <row r="175" customFormat="false" ht="76.1" hidden="false" customHeight="false" outlineLevel="0" collapsed="false">
      <c r="A175" s="2" t="s">
        <v>6048</v>
      </c>
      <c r="B175" s="2" t="s">
        <v>8068</v>
      </c>
      <c r="C175" s="2" t="s">
        <v>6049</v>
      </c>
      <c r="D175" s="2" t="s">
        <v>6050</v>
      </c>
      <c r="E175" s="2" t="s">
        <v>6051</v>
      </c>
      <c r="F175" s="2" t="s">
        <v>6052</v>
      </c>
      <c r="G175" s="2" t="s">
        <v>20</v>
      </c>
      <c r="H175" s="2" t="s">
        <v>6053</v>
      </c>
      <c r="I175" s="2" t="s">
        <v>5553</v>
      </c>
      <c r="J175" s="2" t="n">
        <v>2</v>
      </c>
    </row>
    <row r="176" customFormat="false" ht="76.1" hidden="false" customHeight="false" outlineLevel="0" collapsed="false">
      <c r="A176" s="2" t="s">
        <v>6054</v>
      </c>
      <c r="B176" s="2" t="s">
        <v>8068</v>
      </c>
      <c r="C176" s="2" t="s">
        <v>6055</v>
      </c>
      <c r="D176" s="2" t="s">
        <v>6056</v>
      </c>
      <c r="E176" s="2" t="s">
        <v>6057</v>
      </c>
      <c r="F176" s="2" t="s">
        <v>5766</v>
      </c>
      <c r="G176" s="2" t="s">
        <v>28</v>
      </c>
      <c r="H176" s="2" t="s">
        <v>6058</v>
      </c>
      <c r="I176" s="2" t="s">
        <v>5076</v>
      </c>
      <c r="J176" s="2" t="n">
        <v>4</v>
      </c>
    </row>
    <row r="177" customFormat="false" ht="61.15" hidden="false" customHeight="false" outlineLevel="0" collapsed="false">
      <c r="A177" s="2" t="s">
        <v>6059</v>
      </c>
      <c r="B177" s="2" t="s">
        <v>8069</v>
      </c>
      <c r="C177" s="2" t="s">
        <v>6060</v>
      </c>
      <c r="D177" s="2" t="s">
        <v>6061</v>
      </c>
      <c r="E177" s="2" t="s">
        <v>6062</v>
      </c>
      <c r="F177" s="2" t="s">
        <v>6063</v>
      </c>
      <c r="G177" s="2" t="s">
        <v>20</v>
      </c>
      <c r="H177" s="2" t="s">
        <v>6064</v>
      </c>
      <c r="I177" s="2" t="s">
        <v>5349</v>
      </c>
      <c r="J177" s="2" t="n">
        <v>2</v>
      </c>
    </row>
    <row r="178" customFormat="false" ht="61.15" hidden="false" customHeight="false" outlineLevel="0" collapsed="false">
      <c r="A178" s="2" t="s">
        <v>6065</v>
      </c>
      <c r="B178" s="2" t="s">
        <v>8068</v>
      </c>
      <c r="C178" s="2" t="s">
        <v>6066</v>
      </c>
      <c r="D178" s="2" t="s">
        <v>6067</v>
      </c>
      <c r="E178" s="2" t="s">
        <v>6068</v>
      </c>
      <c r="F178" s="2" t="s">
        <v>6069</v>
      </c>
      <c r="G178" s="2" t="s">
        <v>20</v>
      </c>
      <c r="H178" s="2" t="s">
        <v>6070</v>
      </c>
      <c r="I178" s="2" t="s">
        <v>5819</v>
      </c>
      <c r="J178" s="2" t="n">
        <v>2</v>
      </c>
    </row>
    <row r="179" customFormat="false" ht="61.15" hidden="false" customHeight="false" outlineLevel="0" collapsed="false">
      <c r="A179" s="2" t="s">
        <v>6071</v>
      </c>
      <c r="B179" s="2" t="s">
        <v>8068</v>
      </c>
      <c r="C179" s="2" t="s">
        <v>6072</v>
      </c>
      <c r="D179" s="2" t="s">
        <v>4170</v>
      </c>
      <c r="E179" s="2" t="s">
        <v>4370</v>
      </c>
      <c r="F179" s="2" t="s">
        <v>4172</v>
      </c>
      <c r="G179" s="2" t="s">
        <v>20</v>
      </c>
      <c r="H179" s="2" t="s">
        <v>6073</v>
      </c>
      <c r="I179" s="2" t="s">
        <v>5458</v>
      </c>
      <c r="J179" s="2" t="n">
        <v>2</v>
      </c>
    </row>
    <row r="180" customFormat="false" ht="76.1" hidden="false" customHeight="false" outlineLevel="0" collapsed="false">
      <c r="A180" s="2" t="s">
        <v>6074</v>
      </c>
      <c r="B180" s="2" t="s">
        <v>8068</v>
      </c>
      <c r="C180" s="2" t="s">
        <v>6075</v>
      </c>
      <c r="D180" s="2" t="s">
        <v>6076</v>
      </c>
      <c r="E180" s="2" t="s">
        <v>6077</v>
      </c>
      <c r="F180" s="2" t="s">
        <v>6078</v>
      </c>
      <c r="G180" s="2" t="s">
        <v>28</v>
      </c>
      <c r="H180" s="2" t="s">
        <v>6079</v>
      </c>
      <c r="I180" s="2" t="s">
        <v>5760</v>
      </c>
      <c r="J180" s="2" t="n">
        <v>3</v>
      </c>
    </row>
    <row r="181" customFormat="false" ht="76.1" hidden="false" customHeight="false" outlineLevel="0" collapsed="false">
      <c r="A181" s="2" t="s">
        <v>6080</v>
      </c>
      <c r="B181" s="2" t="s">
        <v>8069</v>
      </c>
      <c r="C181" s="2" t="s">
        <v>6081</v>
      </c>
      <c r="D181" s="2" t="s">
        <v>6082</v>
      </c>
      <c r="E181" s="2" t="s">
        <v>6083</v>
      </c>
      <c r="F181" s="2" t="s">
        <v>6084</v>
      </c>
      <c r="G181" s="2" t="s">
        <v>20</v>
      </c>
      <c r="H181" s="2" t="s">
        <v>6085</v>
      </c>
      <c r="I181" s="2" t="s">
        <v>6086</v>
      </c>
      <c r="J181" s="2" t="n">
        <v>3</v>
      </c>
    </row>
    <row r="182" customFormat="false" ht="76.1" hidden="false" customHeight="false" outlineLevel="0" collapsed="false">
      <c r="A182" s="2" t="s">
        <v>6087</v>
      </c>
      <c r="B182" s="2" t="s">
        <v>8068</v>
      </c>
      <c r="C182" s="2" t="s">
        <v>6088</v>
      </c>
      <c r="D182" s="2" t="s">
        <v>6089</v>
      </c>
      <c r="E182" s="2" t="s">
        <v>6090</v>
      </c>
      <c r="F182" s="2" t="s">
        <v>6091</v>
      </c>
      <c r="G182" s="2" t="s">
        <v>20</v>
      </c>
      <c r="H182" s="2" t="s">
        <v>6092</v>
      </c>
      <c r="I182" s="2" t="s">
        <v>6093</v>
      </c>
      <c r="J182" s="2" t="n">
        <v>2</v>
      </c>
    </row>
    <row r="183" customFormat="false" ht="61.15" hidden="false" customHeight="false" outlineLevel="0" collapsed="false">
      <c r="A183" s="2" t="s">
        <v>6094</v>
      </c>
      <c r="B183" s="2" t="s">
        <v>8068</v>
      </c>
      <c r="C183" s="2" t="s">
        <v>6095</v>
      </c>
      <c r="D183" s="2" t="s">
        <v>4596</v>
      </c>
      <c r="E183" s="2" t="s">
        <v>6096</v>
      </c>
      <c r="F183" s="2" t="s">
        <v>6097</v>
      </c>
      <c r="G183" s="2" t="s">
        <v>20</v>
      </c>
      <c r="H183" s="2" t="s">
        <v>6098</v>
      </c>
      <c r="I183" s="2" t="s">
        <v>5600</v>
      </c>
      <c r="J183" s="2" t="n">
        <v>4</v>
      </c>
    </row>
    <row r="184" customFormat="false" ht="61.15" hidden="false" customHeight="false" outlineLevel="0" collapsed="false">
      <c r="A184" s="2" t="s">
        <v>6099</v>
      </c>
      <c r="B184" s="2" t="s">
        <v>8068</v>
      </c>
      <c r="C184" s="2" t="s">
        <v>6100</v>
      </c>
      <c r="D184" s="2" t="s">
        <v>5615</v>
      </c>
      <c r="E184" s="2" t="s">
        <v>4596</v>
      </c>
      <c r="F184" s="2" t="s">
        <v>5616</v>
      </c>
      <c r="G184" s="2" t="s">
        <v>20</v>
      </c>
      <c r="H184" s="2" t="s">
        <v>6101</v>
      </c>
      <c r="I184" s="2" t="s">
        <v>5600</v>
      </c>
      <c r="J184" s="2" t="n">
        <v>4</v>
      </c>
    </row>
    <row r="185" customFormat="false" ht="61.15" hidden="false" customHeight="false" outlineLevel="0" collapsed="false">
      <c r="A185" s="2" t="s">
        <v>6102</v>
      </c>
      <c r="B185" s="2" t="s">
        <v>8068</v>
      </c>
      <c r="C185" s="2" t="s">
        <v>6103</v>
      </c>
      <c r="D185" s="2" t="s">
        <v>6104</v>
      </c>
      <c r="E185" s="2" t="s">
        <v>5727</v>
      </c>
      <c r="F185" s="2" t="s">
        <v>6105</v>
      </c>
      <c r="G185" s="2" t="s">
        <v>28</v>
      </c>
      <c r="H185" s="2" t="s">
        <v>6106</v>
      </c>
      <c r="I185" s="2" t="s">
        <v>5195</v>
      </c>
      <c r="J185" s="2" t="n">
        <v>2</v>
      </c>
    </row>
    <row r="186" customFormat="false" ht="61.15" hidden="false" customHeight="false" outlineLevel="0" collapsed="false">
      <c r="A186" s="2" t="s">
        <v>6107</v>
      </c>
      <c r="B186" s="2" t="s">
        <v>8068</v>
      </c>
      <c r="C186" s="2" t="s">
        <v>6108</v>
      </c>
      <c r="D186" s="2" t="s">
        <v>6109</v>
      </c>
      <c r="E186" s="2" t="s">
        <v>6110</v>
      </c>
      <c r="F186" s="2" t="s">
        <v>6111</v>
      </c>
      <c r="G186" s="2" t="s">
        <v>20</v>
      </c>
      <c r="H186" s="2" t="s">
        <v>6112</v>
      </c>
      <c r="I186" s="2" t="s">
        <v>5323</v>
      </c>
      <c r="J186" s="2" t="n">
        <v>3</v>
      </c>
    </row>
    <row r="187" customFormat="false" ht="91" hidden="false" customHeight="false" outlineLevel="0" collapsed="false">
      <c r="A187" s="2" t="s">
        <v>6113</v>
      </c>
      <c r="B187" s="2" t="s">
        <v>8068</v>
      </c>
      <c r="C187" s="2" t="s">
        <v>6114</v>
      </c>
      <c r="D187" s="2" t="s">
        <v>6115</v>
      </c>
      <c r="E187" s="2" t="s">
        <v>6116</v>
      </c>
      <c r="F187" s="2" t="s">
        <v>6117</v>
      </c>
      <c r="G187" s="2" t="s">
        <v>20</v>
      </c>
      <c r="H187" s="2" t="s">
        <v>6118</v>
      </c>
      <c r="I187" s="2" t="s">
        <v>6093</v>
      </c>
      <c r="J187" s="2" t="n">
        <v>3</v>
      </c>
    </row>
    <row r="188" customFormat="false" ht="76.1" hidden="false" customHeight="false" outlineLevel="0" collapsed="false">
      <c r="A188" s="2" t="s">
        <v>6119</v>
      </c>
      <c r="B188" s="2" t="s">
        <v>8068</v>
      </c>
      <c r="C188" s="2" t="s">
        <v>6120</v>
      </c>
      <c r="D188" s="2" t="s">
        <v>6121</v>
      </c>
      <c r="E188" s="2" t="s">
        <v>6122</v>
      </c>
      <c r="F188" s="2" t="s">
        <v>4841</v>
      </c>
      <c r="G188" s="2" t="s">
        <v>226</v>
      </c>
      <c r="H188" s="2" t="s">
        <v>6123</v>
      </c>
      <c r="I188" s="2" t="s">
        <v>5510</v>
      </c>
      <c r="J188" s="2" t="n">
        <v>4</v>
      </c>
    </row>
    <row r="189" customFormat="false" ht="76.1" hidden="false" customHeight="false" outlineLevel="0" collapsed="false">
      <c r="A189" s="2" t="s">
        <v>6124</v>
      </c>
      <c r="B189" s="2" t="s">
        <v>8068</v>
      </c>
      <c r="C189" s="2" t="s">
        <v>6125</v>
      </c>
      <c r="D189" s="2" t="s">
        <v>6126</v>
      </c>
      <c r="E189" s="2" t="s">
        <v>6127</v>
      </c>
      <c r="F189" s="2" t="s">
        <v>6128</v>
      </c>
      <c r="G189" s="2" t="s">
        <v>28</v>
      </c>
      <c r="H189" s="2" t="s">
        <v>6129</v>
      </c>
      <c r="I189" s="2" t="s">
        <v>6130</v>
      </c>
      <c r="J189" s="2" t="n">
        <v>4</v>
      </c>
    </row>
    <row r="190" customFormat="false" ht="61.15" hidden="false" customHeight="false" outlineLevel="0" collapsed="false">
      <c r="A190" s="2" t="s">
        <v>6131</v>
      </c>
      <c r="B190" s="2" t="s">
        <v>8068</v>
      </c>
      <c r="C190" s="2" t="s">
        <v>6132</v>
      </c>
      <c r="D190" s="2" t="s">
        <v>6133</v>
      </c>
      <c r="E190" s="2" t="s">
        <v>6134</v>
      </c>
      <c r="F190" s="2" t="s">
        <v>6135</v>
      </c>
      <c r="G190" s="2" t="s">
        <v>226</v>
      </c>
      <c r="H190" s="2" t="s">
        <v>6136</v>
      </c>
      <c r="I190" s="2" t="s">
        <v>6137</v>
      </c>
      <c r="J190" s="2" t="n">
        <v>3</v>
      </c>
    </row>
    <row r="191" customFormat="false" ht="76.1" hidden="false" customHeight="false" outlineLevel="0" collapsed="false">
      <c r="A191" s="2" t="s">
        <v>6138</v>
      </c>
      <c r="B191" s="2" t="s">
        <v>8068</v>
      </c>
      <c r="C191" s="2" t="s">
        <v>6139</v>
      </c>
      <c r="D191" s="2" t="s">
        <v>3993</v>
      </c>
      <c r="E191" s="2" t="s">
        <v>6140</v>
      </c>
      <c r="F191" s="2" t="s">
        <v>3995</v>
      </c>
      <c r="G191" s="2" t="s">
        <v>20</v>
      </c>
      <c r="H191" s="2" t="s">
        <v>6141</v>
      </c>
      <c r="I191" s="2" t="s">
        <v>6142</v>
      </c>
      <c r="J191" s="2" t="n">
        <v>4</v>
      </c>
    </row>
    <row r="192" customFormat="false" ht="76.1" hidden="false" customHeight="false" outlineLevel="0" collapsed="false">
      <c r="A192" s="2" t="s">
        <v>6143</v>
      </c>
      <c r="B192" s="2" t="s">
        <v>8068</v>
      </c>
      <c r="C192" s="2" t="s">
        <v>6144</v>
      </c>
      <c r="D192" s="2" t="s">
        <v>6145</v>
      </c>
      <c r="E192" s="2" t="s">
        <v>6146</v>
      </c>
      <c r="F192" s="2" t="s">
        <v>6147</v>
      </c>
      <c r="G192" s="2" t="s">
        <v>20</v>
      </c>
      <c r="H192" s="2" t="s">
        <v>6148</v>
      </c>
      <c r="I192" s="2" t="s">
        <v>5023</v>
      </c>
      <c r="J192" s="2" t="n">
        <v>3</v>
      </c>
    </row>
    <row r="193" customFormat="false" ht="61.15" hidden="false" customHeight="false" outlineLevel="0" collapsed="false">
      <c r="A193" s="2" t="s">
        <v>6149</v>
      </c>
      <c r="B193" s="2" t="s">
        <v>8068</v>
      </c>
      <c r="C193" s="2" t="s">
        <v>6150</v>
      </c>
      <c r="D193" s="2" t="s">
        <v>6151</v>
      </c>
      <c r="E193" s="2" t="s">
        <v>6152</v>
      </c>
      <c r="F193" s="2" t="s">
        <v>6146</v>
      </c>
      <c r="G193" s="2" t="s">
        <v>20</v>
      </c>
      <c r="H193" s="2" t="s">
        <v>6153</v>
      </c>
      <c r="I193" s="2" t="s">
        <v>5023</v>
      </c>
      <c r="J193" s="2" t="n">
        <v>3</v>
      </c>
    </row>
    <row r="194" customFormat="false" ht="61.15" hidden="false" customHeight="false" outlineLevel="0" collapsed="false">
      <c r="A194" s="2" t="s">
        <v>6154</v>
      </c>
      <c r="B194" s="2" t="s">
        <v>8068</v>
      </c>
      <c r="C194" s="2" t="s">
        <v>6155</v>
      </c>
      <c r="D194" s="2" t="s">
        <v>6156</v>
      </c>
      <c r="E194" s="2" t="s">
        <v>6157</v>
      </c>
      <c r="F194" s="2" t="s">
        <v>6158</v>
      </c>
      <c r="G194" s="2" t="s">
        <v>20</v>
      </c>
      <c r="H194" s="2" t="s">
        <v>6159</v>
      </c>
      <c r="I194" s="2" t="s">
        <v>5023</v>
      </c>
      <c r="J194" s="2" t="n">
        <v>1</v>
      </c>
    </row>
    <row r="195" customFormat="false" ht="76.1" hidden="false" customHeight="false" outlineLevel="0" collapsed="false">
      <c r="A195" s="2" t="s">
        <v>6160</v>
      </c>
      <c r="B195" s="2" t="s">
        <v>8068</v>
      </c>
      <c r="C195" s="2" t="s">
        <v>6161</v>
      </c>
      <c r="D195" s="2" t="s">
        <v>2958</v>
      </c>
      <c r="E195" s="2" t="s">
        <v>6162</v>
      </c>
      <c r="F195" s="2" t="s">
        <v>6163</v>
      </c>
      <c r="G195" s="2" t="s">
        <v>20</v>
      </c>
      <c r="H195" s="2" t="s">
        <v>6164</v>
      </c>
      <c r="I195" s="2" t="s">
        <v>6165</v>
      </c>
      <c r="J195" s="2" t="n">
        <v>3</v>
      </c>
    </row>
    <row r="196" customFormat="false" ht="120.85" hidden="false" customHeight="false" outlineLevel="0" collapsed="false">
      <c r="A196" s="2" t="s">
        <v>6166</v>
      </c>
      <c r="B196" s="2" t="s">
        <v>8068</v>
      </c>
      <c r="C196" s="2" t="s">
        <v>6167</v>
      </c>
      <c r="D196" s="2" t="s">
        <v>6168</v>
      </c>
      <c r="E196" s="2" t="s">
        <v>6169</v>
      </c>
      <c r="F196" s="2" t="s">
        <v>6170</v>
      </c>
      <c r="G196" s="2" t="s">
        <v>20</v>
      </c>
      <c r="H196" s="2" t="s">
        <v>6171</v>
      </c>
      <c r="I196" s="2" t="s">
        <v>5023</v>
      </c>
      <c r="J196" s="2" t="n">
        <v>3</v>
      </c>
    </row>
    <row r="197" customFormat="false" ht="61.15" hidden="false" customHeight="false" outlineLevel="0" collapsed="false">
      <c r="A197" s="2" t="s">
        <v>6172</v>
      </c>
      <c r="B197" s="2" t="s">
        <v>8068</v>
      </c>
      <c r="C197" s="2" t="s">
        <v>6173</v>
      </c>
      <c r="D197" s="2" t="s">
        <v>6174</v>
      </c>
      <c r="E197" s="2" t="s">
        <v>6175</v>
      </c>
      <c r="F197" s="2" t="s">
        <v>6176</v>
      </c>
      <c r="G197" s="2" t="s">
        <v>20</v>
      </c>
      <c r="H197" s="2" t="s">
        <v>6177</v>
      </c>
      <c r="I197" s="2" t="s">
        <v>5023</v>
      </c>
      <c r="J197" s="2" t="n">
        <v>2</v>
      </c>
    </row>
    <row r="198" customFormat="false" ht="61.15" hidden="false" customHeight="false" outlineLevel="0" collapsed="false">
      <c r="A198" s="2" t="s">
        <v>6178</v>
      </c>
      <c r="B198" s="2" t="s">
        <v>8068</v>
      </c>
      <c r="C198" s="2" t="s">
        <v>6179</v>
      </c>
      <c r="D198" s="2" t="s">
        <v>6180</v>
      </c>
      <c r="E198" s="2" t="s">
        <v>6181</v>
      </c>
      <c r="F198" s="2" t="s">
        <v>6182</v>
      </c>
      <c r="G198" s="2" t="s">
        <v>20</v>
      </c>
      <c r="H198" s="2" t="s">
        <v>6183</v>
      </c>
      <c r="I198" s="2" t="s">
        <v>5023</v>
      </c>
      <c r="J198" s="2" t="n">
        <v>2</v>
      </c>
    </row>
    <row r="199" customFormat="false" ht="61.15" hidden="false" customHeight="false" outlineLevel="0" collapsed="false">
      <c r="A199" s="2" t="s">
        <v>6184</v>
      </c>
      <c r="B199" s="2" t="s">
        <v>8068</v>
      </c>
      <c r="C199" s="2" t="s">
        <v>6185</v>
      </c>
      <c r="D199" s="2" t="s">
        <v>6186</v>
      </c>
      <c r="E199" s="2" t="s">
        <v>6187</v>
      </c>
      <c r="F199" s="2" t="s">
        <v>6188</v>
      </c>
      <c r="G199" s="2" t="s">
        <v>20</v>
      </c>
      <c r="H199" s="2" t="s">
        <v>6189</v>
      </c>
      <c r="I199" s="2" t="s">
        <v>5023</v>
      </c>
      <c r="J199" s="2" t="n">
        <v>2</v>
      </c>
    </row>
    <row r="200" customFormat="false" ht="76.1" hidden="false" customHeight="false" outlineLevel="0" collapsed="false">
      <c r="A200" s="2" t="s">
        <v>6190</v>
      </c>
      <c r="B200" s="2" t="s">
        <v>8068</v>
      </c>
      <c r="C200" s="2" t="s">
        <v>6191</v>
      </c>
      <c r="D200" s="2" t="s">
        <v>6192</v>
      </c>
      <c r="E200" s="2" t="s">
        <v>6193</v>
      </c>
      <c r="F200" s="2" t="s">
        <v>6194</v>
      </c>
      <c r="G200" s="2" t="s">
        <v>20</v>
      </c>
      <c r="H200" s="2" t="s">
        <v>6195</v>
      </c>
      <c r="I200" s="2" t="s">
        <v>5023</v>
      </c>
      <c r="J200" s="2" t="n">
        <v>2</v>
      </c>
    </row>
    <row r="201" customFormat="false" ht="46.25" hidden="false" customHeight="false" outlineLevel="0" collapsed="false">
      <c r="A201" s="2" t="s">
        <v>6196</v>
      </c>
      <c r="B201" s="2" t="s">
        <v>8068</v>
      </c>
      <c r="C201" s="2" t="s">
        <v>6197</v>
      </c>
      <c r="D201" s="2" t="s">
        <v>3290</v>
      </c>
      <c r="E201" s="2" t="s">
        <v>1607</v>
      </c>
      <c r="F201" s="2" t="s">
        <v>6198</v>
      </c>
      <c r="G201" s="2" t="s">
        <v>20</v>
      </c>
      <c r="H201" s="2" t="s">
        <v>6199</v>
      </c>
      <c r="I201" s="2" t="s">
        <v>5023</v>
      </c>
      <c r="J201" s="2" t="n">
        <v>2</v>
      </c>
    </row>
    <row r="202" customFormat="false" ht="61.15" hidden="false" customHeight="false" outlineLevel="0" collapsed="false">
      <c r="A202" s="2" t="s">
        <v>6200</v>
      </c>
      <c r="B202" s="2" t="s">
        <v>8068</v>
      </c>
      <c r="C202" s="2" t="s">
        <v>6201</v>
      </c>
      <c r="D202" s="2" t="s">
        <v>6202</v>
      </c>
      <c r="E202" s="2" t="s">
        <v>6203</v>
      </c>
      <c r="F202" s="2" t="s">
        <v>6204</v>
      </c>
      <c r="G202" s="2" t="s">
        <v>20</v>
      </c>
      <c r="H202" s="2" t="s">
        <v>6205</v>
      </c>
      <c r="I202" s="2" t="s">
        <v>5023</v>
      </c>
      <c r="J202" s="2" t="n">
        <v>2</v>
      </c>
    </row>
    <row r="203" customFormat="false" ht="91" hidden="false" customHeight="false" outlineLevel="0" collapsed="false">
      <c r="A203" s="2" t="s">
        <v>6206</v>
      </c>
      <c r="B203" s="2" t="s">
        <v>8068</v>
      </c>
      <c r="C203" s="2" t="s">
        <v>6207</v>
      </c>
      <c r="D203" s="2" t="s">
        <v>6208</v>
      </c>
      <c r="E203" s="2" t="s">
        <v>6209</v>
      </c>
      <c r="F203" s="2" t="s">
        <v>6210</v>
      </c>
      <c r="G203" s="2" t="s">
        <v>20</v>
      </c>
      <c r="H203" s="2" t="s">
        <v>6211</v>
      </c>
      <c r="I203" s="2" t="s">
        <v>5458</v>
      </c>
      <c r="J203" s="2" t="n">
        <v>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customHeight="false"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45"/>
    <col collapsed="false" customWidth="true" hidden="false" outlineLevel="0" max="6" min="4" style="0" width="32"/>
    <col collapsed="false" customWidth="true" hidden="false" outlineLevel="0" max="7" min="7" style="0" width="9"/>
    <col collapsed="false" customWidth="true" hidden="false" outlineLevel="0" max="8" min="8" style="0" width="42"/>
    <col collapsed="false" customWidth="true" hidden="false" outlineLevel="0" max="9" min="9" style="0" width="20"/>
    <col collapsed="false" customWidth="true" hidden="false" outlineLevel="0" max="10" min="10" style="0" width="10"/>
  </cols>
  <sheetData>
    <row r="1" customFormat="false" ht="16.4" hidden="false" customHeight="false" outlineLevel="0" collapsed="false">
      <c r="A1" s="1" t="s">
        <v>0</v>
      </c>
      <c r="B1" s="1" t="s">
        <v>8067</v>
      </c>
      <c r="C1" s="1" t="s">
        <v>3</v>
      </c>
      <c r="D1" s="1" t="s">
        <v>4</v>
      </c>
      <c r="E1" s="1" t="s">
        <v>5</v>
      </c>
      <c r="F1" s="1" t="s">
        <v>6</v>
      </c>
      <c r="G1" s="1" t="s">
        <v>7</v>
      </c>
      <c r="H1" s="1" t="s">
        <v>8</v>
      </c>
      <c r="I1" s="1" t="s">
        <v>9</v>
      </c>
      <c r="J1" s="1" t="s">
        <v>11</v>
      </c>
    </row>
    <row r="2" customFormat="false" ht="61.15" hidden="false" customHeight="false" outlineLevel="0" collapsed="false">
      <c r="A2" s="2" t="s">
        <v>6212</v>
      </c>
      <c r="B2" s="2" t="s">
        <v>8068</v>
      </c>
      <c r="C2" s="2" t="s">
        <v>6214</v>
      </c>
      <c r="D2" s="2" t="s">
        <v>6215</v>
      </c>
      <c r="E2" s="2" t="s">
        <v>6216</v>
      </c>
      <c r="F2" s="2" t="s">
        <v>6217</v>
      </c>
      <c r="G2" s="2" t="s">
        <v>28</v>
      </c>
      <c r="H2" s="2" t="s">
        <v>6218</v>
      </c>
      <c r="I2" s="2" t="s">
        <v>6213</v>
      </c>
      <c r="J2" s="2" t="n">
        <v>4</v>
      </c>
    </row>
    <row r="3" customFormat="false" ht="61.15" hidden="false" customHeight="false" outlineLevel="0" collapsed="false">
      <c r="A3" s="2" t="s">
        <v>6219</v>
      </c>
      <c r="B3" s="2" t="s">
        <v>8068</v>
      </c>
      <c r="C3" s="2" t="s">
        <v>6220</v>
      </c>
      <c r="D3" s="2" t="s">
        <v>6221</v>
      </c>
      <c r="E3" s="2" t="s">
        <v>6222</v>
      </c>
      <c r="F3" s="2" t="s">
        <v>4170</v>
      </c>
      <c r="G3" s="2" t="s">
        <v>226</v>
      </c>
      <c r="H3" s="2" t="s">
        <v>6223</v>
      </c>
      <c r="I3" s="2" t="s">
        <v>6213</v>
      </c>
      <c r="J3" s="2" t="n">
        <v>2</v>
      </c>
    </row>
    <row r="4" customFormat="false" ht="76.1" hidden="false" customHeight="false" outlineLevel="0" collapsed="false">
      <c r="A4" s="2" t="s">
        <v>6224</v>
      </c>
      <c r="B4" s="2" t="s">
        <v>8068</v>
      </c>
      <c r="C4" s="2" t="s">
        <v>6225</v>
      </c>
      <c r="D4" s="2" t="s">
        <v>6226</v>
      </c>
      <c r="E4" s="2" t="s">
        <v>6227</v>
      </c>
      <c r="F4" s="2" t="s">
        <v>6228</v>
      </c>
      <c r="G4" s="2" t="s">
        <v>226</v>
      </c>
      <c r="H4" s="2" t="s">
        <v>6229</v>
      </c>
      <c r="I4" s="2" t="s">
        <v>6213</v>
      </c>
      <c r="J4" s="2" t="n">
        <v>2</v>
      </c>
    </row>
    <row r="5" customFormat="false" ht="61.15" hidden="false" customHeight="false" outlineLevel="0" collapsed="false">
      <c r="A5" s="2" t="s">
        <v>6230</v>
      </c>
      <c r="B5" s="2" t="s">
        <v>8069</v>
      </c>
      <c r="C5" s="2" t="s">
        <v>6231</v>
      </c>
      <c r="D5" s="2" t="s">
        <v>6232</v>
      </c>
      <c r="E5" s="2" t="s">
        <v>6233</v>
      </c>
      <c r="F5" s="2" t="s">
        <v>6234</v>
      </c>
      <c r="G5" s="2" t="s">
        <v>20</v>
      </c>
      <c r="H5" s="2" t="s">
        <v>6235</v>
      </c>
      <c r="I5" s="2" t="s">
        <v>6236</v>
      </c>
      <c r="J5" s="2" t="n">
        <v>2</v>
      </c>
    </row>
    <row r="6" customFormat="false" ht="61.15" hidden="false" customHeight="false" outlineLevel="0" collapsed="false">
      <c r="A6" s="2" t="s">
        <v>6237</v>
      </c>
      <c r="B6" s="2" t="s">
        <v>8068</v>
      </c>
      <c r="C6" s="2" t="s">
        <v>6238</v>
      </c>
      <c r="D6" s="2" t="s">
        <v>6239</v>
      </c>
      <c r="E6" s="2" t="s">
        <v>6240</v>
      </c>
      <c r="F6" s="2" t="s">
        <v>6241</v>
      </c>
      <c r="G6" s="2" t="s">
        <v>20</v>
      </c>
      <c r="H6" s="2" t="s">
        <v>6242</v>
      </c>
      <c r="I6" s="2" t="s">
        <v>6236</v>
      </c>
      <c r="J6" s="2" t="n">
        <v>2</v>
      </c>
    </row>
    <row r="7" customFormat="false" ht="91" hidden="false" customHeight="false" outlineLevel="0" collapsed="false">
      <c r="A7" s="2" t="s">
        <v>6243</v>
      </c>
      <c r="B7" s="2" t="s">
        <v>8068</v>
      </c>
      <c r="C7" s="2" t="s">
        <v>6244</v>
      </c>
      <c r="D7" s="2" t="s">
        <v>4891</v>
      </c>
      <c r="E7" s="2" t="s">
        <v>6245</v>
      </c>
      <c r="F7" s="2" t="s">
        <v>6246</v>
      </c>
      <c r="G7" s="2" t="s">
        <v>20</v>
      </c>
      <c r="H7" s="2" t="s">
        <v>6247</v>
      </c>
      <c r="I7" s="2" t="s">
        <v>6248</v>
      </c>
      <c r="J7" s="2" t="n">
        <v>3</v>
      </c>
    </row>
    <row r="8" customFormat="false" ht="46.25" hidden="false" customHeight="false" outlineLevel="0" collapsed="false">
      <c r="A8" s="2" t="s">
        <v>6249</v>
      </c>
      <c r="B8" s="2" t="s">
        <v>8068</v>
      </c>
      <c r="C8" s="2" t="s">
        <v>6250</v>
      </c>
      <c r="D8" s="2" t="s">
        <v>4889</v>
      </c>
      <c r="E8" s="2" t="s">
        <v>4890</v>
      </c>
      <c r="F8" s="2" t="s">
        <v>6251</v>
      </c>
      <c r="G8" s="2" t="s">
        <v>20</v>
      </c>
      <c r="H8" s="2" t="s">
        <v>6252</v>
      </c>
      <c r="I8" s="2" t="s">
        <v>6248</v>
      </c>
      <c r="J8" s="2" t="n">
        <v>2</v>
      </c>
    </row>
    <row r="9" customFormat="false" ht="61.15" hidden="false" customHeight="false" outlineLevel="0" collapsed="false">
      <c r="A9" s="2" t="s">
        <v>6253</v>
      </c>
      <c r="B9" s="2" t="s">
        <v>8068</v>
      </c>
      <c r="C9" s="2" t="s">
        <v>6254</v>
      </c>
      <c r="D9" s="2" t="s">
        <v>6255</v>
      </c>
      <c r="E9" s="2" t="s">
        <v>6256</v>
      </c>
      <c r="F9" s="2" t="s">
        <v>6257</v>
      </c>
      <c r="G9" s="2" t="s">
        <v>20</v>
      </c>
      <c r="H9" s="2" t="s">
        <v>6258</v>
      </c>
      <c r="I9" s="2" t="s">
        <v>6248</v>
      </c>
      <c r="J9" s="2" t="n">
        <v>2</v>
      </c>
    </row>
    <row r="10" customFormat="false" ht="61.15" hidden="false" customHeight="false" outlineLevel="0" collapsed="false">
      <c r="A10" s="2" t="s">
        <v>6259</v>
      </c>
      <c r="B10" s="2" t="s">
        <v>8068</v>
      </c>
      <c r="C10" s="2" t="s">
        <v>6260</v>
      </c>
      <c r="D10" s="2" t="s">
        <v>6261</v>
      </c>
      <c r="E10" s="2" t="s">
        <v>6262</v>
      </c>
      <c r="F10" s="2" t="s">
        <v>6263</v>
      </c>
      <c r="G10" s="2" t="s">
        <v>226</v>
      </c>
      <c r="H10" s="2" t="s">
        <v>6264</v>
      </c>
      <c r="I10" s="2" t="s">
        <v>6248</v>
      </c>
      <c r="J10" s="2" t="n">
        <v>3</v>
      </c>
    </row>
    <row r="11" customFormat="false" ht="46.25" hidden="false" customHeight="false" outlineLevel="0" collapsed="false">
      <c r="A11" s="2" t="s">
        <v>6265</v>
      </c>
      <c r="B11" s="2" t="s">
        <v>8068</v>
      </c>
      <c r="C11" s="2" t="s">
        <v>6266</v>
      </c>
      <c r="D11" s="2" t="s">
        <v>6267</v>
      </c>
      <c r="E11" s="2" t="s">
        <v>6268</v>
      </c>
      <c r="F11" s="2" t="s">
        <v>6269</v>
      </c>
      <c r="G11" s="2" t="s">
        <v>20</v>
      </c>
      <c r="H11" s="2" t="s">
        <v>6270</v>
      </c>
      <c r="I11" s="2" t="s">
        <v>6271</v>
      </c>
      <c r="J11" s="2" t="n">
        <v>2</v>
      </c>
    </row>
    <row r="12" customFormat="false" ht="61.15" hidden="false" customHeight="false" outlineLevel="0" collapsed="false">
      <c r="A12" s="2" t="s">
        <v>6272</v>
      </c>
      <c r="B12" s="2" t="s">
        <v>8068</v>
      </c>
      <c r="C12" s="2" t="s">
        <v>6273</v>
      </c>
      <c r="D12" s="2" t="s">
        <v>4170</v>
      </c>
      <c r="E12" s="2" t="s">
        <v>4172</v>
      </c>
      <c r="F12" s="2" t="s">
        <v>6221</v>
      </c>
      <c r="G12" s="2" t="s">
        <v>20</v>
      </c>
      <c r="H12" s="2" t="s">
        <v>6274</v>
      </c>
      <c r="I12" s="2" t="s">
        <v>6271</v>
      </c>
      <c r="J12" s="2" t="n">
        <v>2</v>
      </c>
    </row>
    <row r="13" customFormat="false" ht="61.15" hidden="false" customHeight="false" outlineLevel="0" collapsed="false">
      <c r="A13" s="2" t="s">
        <v>6275</v>
      </c>
      <c r="B13" s="2" t="s">
        <v>8068</v>
      </c>
      <c r="C13" s="2" t="s">
        <v>6276</v>
      </c>
      <c r="D13" s="2" t="s">
        <v>6277</v>
      </c>
      <c r="E13" s="2" t="s">
        <v>6278</v>
      </c>
      <c r="F13" s="2" t="s">
        <v>6279</v>
      </c>
      <c r="G13" s="2" t="s">
        <v>20</v>
      </c>
      <c r="H13" s="2" t="s">
        <v>6280</v>
      </c>
      <c r="I13" s="2" t="s">
        <v>6271</v>
      </c>
      <c r="J13" s="2" t="n">
        <v>2</v>
      </c>
    </row>
    <row r="14" customFormat="false" ht="61.15" hidden="false" customHeight="false" outlineLevel="0" collapsed="false">
      <c r="A14" s="2" t="s">
        <v>6281</v>
      </c>
      <c r="B14" s="2" t="s">
        <v>8068</v>
      </c>
      <c r="C14" s="2" t="s">
        <v>6282</v>
      </c>
      <c r="D14" s="2" t="s">
        <v>4156</v>
      </c>
      <c r="E14" s="2" t="s">
        <v>6283</v>
      </c>
      <c r="F14" s="2" t="s">
        <v>6222</v>
      </c>
      <c r="G14" s="2" t="s">
        <v>20</v>
      </c>
      <c r="H14" s="2" t="s">
        <v>6284</v>
      </c>
      <c r="I14" s="2" t="s">
        <v>6271</v>
      </c>
      <c r="J14" s="2" t="n">
        <v>2</v>
      </c>
    </row>
    <row r="15" customFormat="false" ht="61.15" hidden="false" customHeight="false" outlineLevel="0" collapsed="false">
      <c r="A15" s="2" t="s">
        <v>6285</v>
      </c>
      <c r="B15" s="2" t="s">
        <v>8068</v>
      </c>
      <c r="C15" s="2" t="s">
        <v>6286</v>
      </c>
      <c r="D15" s="2" t="s">
        <v>6287</v>
      </c>
      <c r="E15" s="2" t="s">
        <v>6288</v>
      </c>
      <c r="F15" s="2" t="s">
        <v>6222</v>
      </c>
      <c r="G15" s="2" t="s">
        <v>226</v>
      </c>
      <c r="H15" s="2" t="s">
        <v>6289</v>
      </c>
      <c r="I15" s="2" t="s">
        <v>6271</v>
      </c>
      <c r="J15" s="2" t="n">
        <v>2</v>
      </c>
    </row>
    <row r="16" customFormat="false" ht="46.25" hidden="false" customHeight="false" outlineLevel="0" collapsed="false">
      <c r="A16" s="2" t="s">
        <v>6290</v>
      </c>
      <c r="B16" s="2" t="s">
        <v>8068</v>
      </c>
      <c r="C16" s="2" t="s">
        <v>6291</v>
      </c>
      <c r="D16" s="2" t="s">
        <v>6292</v>
      </c>
      <c r="E16" s="2" t="s">
        <v>6293</v>
      </c>
      <c r="F16" s="2" t="s">
        <v>6294</v>
      </c>
      <c r="G16" s="2" t="s">
        <v>20</v>
      </c>
      <c r="H16" s="2" t="s">
        <v>6295</v>
      </c>
      <c r="I16" s="2" t="s">
        <v>6271</v>
      </c>
      <c r="J16" s="2" t="n">
        <v>2</v>
      </c>
    </row>
    <row r="17" customFormat="false" ht="61.15" hidden="false" customHeight="false" outlineLevel="0" collapsed="false">
      <c r="A17" s="2" t="s">
        <v>6296</v>
      </c>
      <c r="B17" s="2" t="s">
        <v>8068</v>
      </c>
      <c r="C17" s="2" t="s">
        <v>6297</v>
      </c>
      <c r="D17" s="2" t="s">
        <v>6298</v>
      </c>
      <c r="E17" s="2" t="s">
        <v>6299</v>
      </c>
      <c r="F17" s="2" t="s">
        <v>6300</v>
      </c>
      <c r="G17" s="2" t="s">
        <v>20</v>
      </c>
      <c r="H17" s="2" t="s">
        <v>6301</v>
      </c>
      <c r="I17" s="2" t="s">
        <v>6271</v>
      </c>
      <c r="J17" s="2" t="n">
        <v>3</v>
      </c>
    </row>
    <row r="18" customFormat="false" ht="46.25" hidden="false" customHeight="false" outlineLevel="0" collapsed="false">
      <c r="A18" s="2" t="s">
        <v>6302</v>
      </c>
      <c r="B18" s="2" t="s">
        <v>8068</v>
      </c>
      <c r="C18" s="2" t="s">
        <v>6303</v>
      </c>
      <c r="D18" s="2" t="s">
        <v>6304</v>
      </c>
      <c r="E18" s="2" t="s">
        <v>6283</v>
      </c>
      <c r="F18" s="2" t="s">
        <v>6305</v>
      </c>
      <c r="G18" s="2" t="s">
        <v>28</v>
      </c>
      <c r="H18" s="2" t="s">
        <v>6306</v>
      </c>
      <c r="I18" s="2" t="s">
        <v>6271</v>
      </c>
      <c r="J18" s="2" t="n">
        <v>2</v>
      </c>
    </row>
    <row r="19" customFormat="false" ht="46.25" hidden="false" customHeight="false" outlineLevel="0" collapsed="false">
      <c r="A19" s="2" t="s">
        <v>6307</v>
      </c>
      <c r="B19" s="2" t="s">
        <v>8068</v>
      </c>
      <c r="C19" s="2" t="s">
        <v>6308</v>
      </c>
      <c r="D19" s="2" t="s">
        <v>6309</v>
      </c>
      <c r="E19" s="2" t="s">
        <v>6310</v>
      </c>
      <c r="F19" s="2" t="s">
        <v>4170</v>
      </c>
      <c r="G19" s="2" t="s">
        <v>226</v>
      </c>
      <c r="H19" s="2" t="s">
        <v>6311</v>
      </c>
      <c r="I19" s="2" t="s">
        <v>6271</v>
      </c>
      <c r="J19" s="2" t="n">
        <v>3</v>
      </c>
    </row>
    <row r="20" customFormat="false" ht="46.25" hidden="false" customHeight="false" outlineLevel="0" collapsed="false">
      <c r="A20" s="2" t="s">
        <v>6312</v>
      </c>
      <c r="B20" s="2" t="s">
        <v>8069</v>
      </c>
      <c r="C20" s="2" t="s">
        <v>6313</v>
      </c>
      <c r="D20" s="2" t="s">
        <v>6314</v>
      </c>
      <c r="E20" s="2" t="s">
        <v>6315</v>
      </c>
      <c r="F20" s="2" t="s">
        <v>6316</v>
      </c>
      <c r="G20" s="2" t="s">
        <v>226</v>
      </c>
      <c r="H20" s="2" t="s">
        <v>6317</v>
      </c>
      <c r="I20" s="2" t="s">
        <v>6271</v>
      </c>
      <c r="J20" s="2" t="n">
        <v>2</v>
      </c>
    </row>
    <row r="21" customFormat="false" ht="46.25" hidden="false" customHeight="false" outlineLevel="0" collapsed="false">
      <c r="A21" s="2" t="s">
        <v>6318</v>
      </c>
      <c r="B21" s="2" t="s">
        <v>8068</v>
      </c>
      <c r="C21" s="2" t="s">
        <v>6319</v>
      </c>
      <c r="D21" s="2" t="s">
        <v>6320</v>
      </c>
      <c r="E21" s="2" t="s">
        <v>4170</v>
      </c>
      <c r="F21" s="2" t="s">
        <v>6321</v>
      </c>
      <c r="G21" s="2" t="s">
        <v>28</v>
      </c>
      <c r="H21" s="2" t="s">
        <v>6322</v>
      </c>
      <c r="I21" s="2" t="s">
        <v>6271</v>
      </c>
      <c r="J21" s="2" t="n">
        <v>2</v>
      </c>
    </row>
    <row r="22" customFormat="false" ht="46.25" hidden="false" customHeight="false" outlineLevel="0" collapsed="false">
      <c r="A22" s="2" t="s">
        <v>6323</v>
      </c>
      <c r="B22" s="2" t="s">
        <v>8068</v>
      </c>
      <c r="C22" s="2" t="s">
        <v>6324</v>
      </c>
      <c r="D22" s="2" t="s">
        <v>4170</v>
      </c>
      <c r="E22" s="2" t="s">
        <v>6222</v>
      </c>
      <c r="F22" s="2" t="s">
        <v>6325</v>
      </c>
      <c r="G22" s="2" t="s">
        <v>20</v>
      </c>
      <c r="H22" s="2" t="s">
        <v>6326</v>
      </c>
      <c r="I22" s="2" t="s">
        <v>6271</v>
      </c>
      <c r="J22" s="2" t="n">
        <v>2</v>
      </c>
    </row>
    <row r="23" customFormat="false" ht="76.1" hidden="false" customHeight="false" outlineLevel="0" collapsed="false">
      <c r="A23" s="2" t="s">
        <v>6327</v>
      </c>
      <c r="B23" s="2" t="s">
        <v>8068</v>
      </c>
      <c r="C23" s="2" t="s">
        <v>6328</v>
      </c>
      <c r="D23" s="2" t="s">
        <v>6329</v>
      </c>
      <c r="E23" s="2" t="s">
        <v>6330</v>
      </c>
      <c r="F23" s="2" t="s">
        <v>6331</v>
      </c>
      <c r="G23" s="2" t="s">
        <v>20</v>
      </c>
      <c r="H23" s="2" t="s">
        <v>6332</v>
      </c>
      <c r="I23" s="2" t="s">
        <v>6271</v>
      </c>
      <c r="J23" s="2" t="n">
        <v>3</v>
      </c>
    </row>
    <row r="24" customFormat="false" ht="61.15" hidden="false" customHeight="false" outlineLevel="0" collapsed="false">
      <c r="A24" s="2" t="s">
        <v>6333</v>
      </c>
      <c r="B24" s="2" t="s">
        <v>8068</v>
      </c>
      <c r="C24" s="2" t="s">
        <v>6334</v>
      </c>
      <c r="D24" s="2" t="s">
        <v>4170</v>
      </c>
      <c r="E24" s="2" t="s">
        <v>6320</v>
      </c>
      <c r="F24" s="2" t="s">
        <v>3993</v>
      </c>
      <c r="G24" s="2" t="s">
        <v>20</v>
      </c>
      <c r="H24" s="2" t="s">
        <v>6335</v>
      </c>
      <c r="I24" s="2" t="s">
        <v>6271</v>
      </c>
      <c r="J24" s="2" t="n">
        <v>3</v>
      </c>
    </row>
    <row r="25" customFormat="false" ht="61.15" hidden="false" customHeight="false" outlineLevel="0" collapsed="false">
      <c r="A25" s="2" t="s">
        <v>6336</v>
      </c>
      <c r="B25" s="2" t="s">
        <v>8069</v>
      </c>
      <c r="C25" s="2" t="s">
        <v>6337</v>
      </c>
      <c r="D25" s="2" t="s">
        <v>6338</v>
      </c>
      <c r="E25" s="2" t="s">
        <v>6339</v>
      </c>
      <c r="F25" s="2" t="s">
        <v>6340</v>
      </c>
      <c r="G25" s="2" t="s">
        <v>20</v>
      </c>
      <c r="H25" s="2" t="s">
        <v>6341</v>
      </c>
      <c r="I25" s="2" t="s">
        <v>6342</v>
      </c>
      <c r="J25" s="2" t="n">
        <v>1</v>
      </c>
    </row>
    <row r="26" customFormat="false" ht="46.25" hidden="false" customHeight="false" outlineLevel="0" collapsed="false">
      <c r="A26" s="2" t="s">
        <v>6343</v>
      </c>
      <c r="B26" s="2" t="s">
        <v>8068</v>
      </c>
      <c r="C26" s="2" t="s">
        <v>6344</v>
      </c>
      <c r="D26" s="2" t="s">
        <v>2356</v>
      </c>
      <c r="E26" s="2" t="s">
        <v>6222</v>
      </c>
      <c r="F26" s="2" t="s">
        <v>1833</v>
      </c>
      <c r="G26" s="2" t="s">
        <v>20</v>
      </c>
      <c r="H26" s="2" t="s">
        <v>6345</v>
      </c>
      <c r="I26" s="2" t="s">
        <v>6346</v>
      </c>
      <c r="J26" s="2" t="n">
        <v>2</v>
      </c>
    </row>
    <row r="27" customFormat="false" ht="76.1" hidden="false" customHeight="false" outlineLevel="0" collapsed="false">
      <c r="A27" s="2" t="s">
        <v>6347</v>
      </c>
      <c r="B27" s="2" t="s">
        <v>8068</v>
      </c>
      <c r="C27" s="2" t="s">
        <v>6348</v>
      </c>
      <c r="D27" s="2" t="s">
        <v>6349</v>
      </c>
      <c r="E27" s="2" t="s">
        <v>6350</v>
      </c>
      <c r="F27" s="2" t="s">
        <v>6351</v>
      </c>
      <c r="G27" s="2" t="s">
        <v>20</v>
      </c>
      <c r="H27" s="2" t="s">
        <v>6352</v>
      </c>
      <c r="I27" s="2" t="s">
        <v>6248</v>
      </c>
      <c r="J27" s="2" t="n">
        <v>4</v>
      </c>
    </row>
    <row r="28" customFormat="false" ht="91" hidden="false" customHeight="false" outlineLevel="0" collapsed="false">
      <c r="A28" s="2" t="s">
        <v>6353</v>
      </c>
      <c r="B28" s="2" t="s">
        <v>8068</v>
      </c>
      <c r="C28" s="2" t="s">
        <v>6354</v>
      </c>
      <c r="D28" s="2" t="s">
        <v>4170</v>
      </c>
      <c r="E28" s="2" t="s">
        <v>6222</v>
      </c>
      <c r="F28" s="2" t="s">
        <v>6221</v>
      </c>
      <c r="G28" s="2" t="s">
        <v>20</v>
      </c>
      <c r="H28" s="2" t="s">
        <v>6355</v>
      </c>
      <c r="I28" s="2" t="s">
        <v>6213</v>
      </c>
      <c r="J28" s="2" t="n">
        <v>3</v>
      </c>
    </row>
    <row r="29" customFormat="false" ht="61.15" hidden="false" customHeight="false" outlineLevel="0" collapsed="false">
      <c r="A29" s="2" t="s">
        <v>6356</v>
      </c>
      <c r="B29" s="2" t="s">
        <v>8068</v>
      </c>
      <c r="C29" s="2" t="s">
        <v>6357</v>
      </c>
      <c r="D29" s="2" t="s">
        <v>6358</v>
      </c>
      <c r="E29" s="2" t="s">
        <v>6359</v>
      </c>
      <c r="F29" s="2" t="s">
        <v>6360</v>
      </c>
      <c r="G29" s="2" t="s">
        <v>20</v>
      </c>
      <c r="H29" s="2" t="s">
        <v>6361</v>
      </c>
      <c r="I29" s="2" t="s">
        <v>6213</v>
      </c>
      <c r="J29" s="2" t="n">
        <v>2</v>
      </c>
    </row>
    <row r="30" customFormat="false" ht="61.15" hidden="false" customHeight="false" outlineLevel="0" collapsed="false">
      <c r="A30" s="2" t="s">
        <v>6362</v>
      </c>
      <c r="B30" s="2" t="s">
        <v>8068</v>
      </c>
      <c r="C30" s="2" t="s">
        <v>6363</v>
      </c>
      <c r="D30" s="2" t="s">
        <v>6364</v>
      </c>
      <c r="E30" s="2" t="s">
        <v>6365</v>
      </c>
      <c r="F30" s="2" t="s">
        <v>6366</v>
      </c>
      <c r="G30" s="2" t="s">
        <v>20</v>
      </c>
      <c r="H30" s="2" t="s">
        <v>6367</v>
      </c>
      <c r="I30" s="2" t="s">
        <v>6213</v>
      </c>
      <c r="J30" s="2" t="n">
        <v>2</v>
      </c>
    </row>
    <row r="31" customFormat="false" ht="76.1" hidden="false" customHeight="false" outlineLevel="0" collapsed="false">
      <c r="A31" s="2" t="s">
        <v>6368</v>
      </c>
      <c r="B31" s="2" t="s">
        <v>8068</v>
      </c>
      <c r="C31" s="2" t="s">
        <v>6369</v>
      </c>
      <c r="D31" s="2" t="s">
        <v>6370</v>
      </c>
      <c r="E31" s="2" t="s">
        <v>6371</v>
      </c>
      <c r="F31" s="2" t="s">
        <v>6372</v>
      </c>
      <c r="G31" s="2" t="s">
        <v>20</v>
      </c>
      <c r="H31" s="2" t="s">
        <v>6373</v>
      </c>
      <c r="I31" s="2" t="s">
        <v>6213</v>
      </c>
      <c r="J31" s="2" t="n">
        <v>3</v>
      </c>
    </row>
    <row r="32" customFormat="false" ht="76.1" hidden="false" customHeight="false" outlineLevel="0" collapsed="false">
      <c r="A32" s="2" t="s">
        <v>6374</v>
      </c>
      <c r="B32" s="2" t="s">
        <v>8069</v>
      </c>
      <c r="C32" s="2" t="s">
        <v>6375</v>
      </c>
      <c r="D32" s="2" t="s">
        <v>6376</v>
      </c>
      <c r="E32" s="2" t="s">
        <v>6377</v>
      </c>
      <c r="F32" s="2" t="s">
        <v>6378</v>
      </c>
      <c r="G32" s="2" t="s">
        <v>20</v>
      </c>
      <c r="H32" s="2" t="s">
        <v>6379</v>
      </c>
      <c r="I32" s="2" t="s">
        <v>6213</v>
      </c>
      <c r="J32" s="2" t="n">
        <v>2</v>
      </c>
    </row>
    <row r="33" customFormat="false" ht="61.15" hidden="false" customHeight="false" outlineLevel="0" collapsed="false">
      <c r="A33" s="2" t="s">
        <v>6380</v>
      </c>
      <c r="B33" s="2" t="s">
        <v>8068</v>
      </c>
      <c r="C33" s="2" t="s">
        <v>6381</v>
      </c>
      <c r="D33" s="2" t="s">
        <v>6382</v>
      </c>
      <c r="E33" s="2" t="s">
        <v>6383</v>
      </c>
      <c r="F33" s="2" t="s">
        <v>6384</v>
      </c>
      <c r="G33" s="2" t="s">
        <v>20</v>
      </c>
      <c r="H33" s="2" t="s">
        <v>6385</v>
      </c>
      <c r="I33" s="2" t="s">
        <v>6213</v>
      </c>
      <c r="J33" s="2" t="n">
        <v>3</v>
      </c>
    </row>
    <row r="34" customFormat="false" ht="76.1" hidden="false" customHeight="false" outlineLevel="0" collapsed="false">
      <c r="A34" s="2" t="s">
        <v>6386</v>
      </c>
      <c r="B34" s="2" t="s">
        <v>8068</v>
      </c>
      <c r="C34" s="2" t="s">
        <v>6387</v>
      </c>
      <c r="D34" s="2" t="s">
        <v>1392</v>
      </c>
      <c r="E34" s="2" t="s">
        <v>1366</v>
      </c>
      <c r="F34" s="2" t="s">
        <v>1338</v>
      </c>
      <c r="G34" s="2" t="s">
        <v>20</v>
      </c>
      <c r="H34" s="2" t="s">
        <v>6388</v>
      </c>
      <c r="I34" s="2" t="s">
        <v>6213</v>
      </c>
      <c r="J34" s="2" t="n">
        <v>2</v>
      </c>
    </row>
    <row r="35" customFormat="false" ht="61.15" hidden="false" customHeight="false" outlineLevel="0" collapsed="false">
      <c r="A35" s="2" t="s">
        <v>6389</v>
      </c>
      <c r="B35" s="2" t="s">
        <v>8068</v>
      </c>
      <c r="C35" s="2" t="s">
        <v>6390</v>
      </c>
      <c r="D35" s="2" t="s">
        <v>2356</v>
      </c>
      <c r="E35" s="2" t="s">
        <v>6222</v>
      </c>
      <c r="F35" s="2" t="s">
        <v>1833</v>
      </c>
      <c r="G35" s="2" t="s">
        <v>20</v>
      </c>
      <c r="H35" s="2" t="s">
        <v>6391</v>
      </c>
      <c r="I35" s="2" t="s">
        <v>6213</v>
      </c>
      <c r="J35" s="2" t="n">
        <v>2</v>
      </c>
    </row>
    <row r="36" customFormat="false" ht="46.25" hidden="false" customHeight="false" outlineLevel="0" collapsed="false">
      <c r="A36" s="2" t="s">
        <v>6392</v>
      </c>
      <c r="B36" s="2" t="s">
        <v>8068</v>
      </c>
      <c r="C36" s="2" t="s">
        <v>6393</v>
      </c>
      <c r="D36" s="2" t="s">
        <v>6394</v>
      </c>
      <c r="E36" s="2" t="s">
        <v>6395</v>
      </c>
      <c r="F36" s="2" t="s">
        <v>4144</v>
      </c>
      <c r="G36" s="2" t="s">
        <v>20</v>
      </c>
      <c r="H36" s="2" t="s">
        <v>6396</v>
      </c>
      <c r="I36" s="2" t="s">
        <v>6213</v>
      </c>
      <c r="J36" s="2" t="n">
        <v>1</v>
      </c>
    </row>
    <row r="37" customFormat="false" ht="76.1" hidden="false" customHeight="false" outlineLevel="0" collapsed="false">
      <c r="A37" s="2" t="s">
        <v>6397</v>
      </c>
      <c r="B37" s="2" t="s">
        <v>8068</v>
      </c>
      <c r="C37" s="2" t="s">
        <v>6398</v>
      </c>
      <c r="D37" s="2" t="s">
        <v>6399</v>
      </c>
      <c r="E37" s="2" t="s">
        <v>6400</v>
      </c>
      <c r="F37" s="2" t="s">
        <v>6401</v>
      </c>
      <c r="G37" s="2" t="s">
        <v>20</v>
      </c>
      <c r="H37" s="2" t="s">
        <v>6402</v>
      </c>
      <c r="I37" s="2" t="s">
        <v>6213</v>
      </c>
      <c r="J37" s="2" t="n">
        <v>2</v>
      </c>
    </row>
    <row r="38" customFormat="false" ht="61.15" hidden="false" customHeight="false" outlineLevel="0" collapsed="false">
      <c r="A38" s="2" t="s">
        <v>6403</v>
      </c>
      <c r="B38" s="2" t="s">
        <v>8069</v>
      </c>
      <c r="C38" s="2" t="s">
        <v>6404</v>
      </c>
      <c r="D38" s="2" t="s">
        <v>6405</v>
      </c>
      <c r="E38" s="2" t="s">
        <v>6406</v>
      </c>
      <c r="F38" s="2" t="s">
        <v>6407</v>
      </c>
      <c r="G38" s="2" t="s">
        <v>20</v>
      </c>
      <c r="H38" s="2" t="s">
        <v>6408</v>
      </c>
      <c r="I38" s="2" t="s">
        <v>6213</v>
      </c>
      <c r="J38" s="2" t="n">
        <v>2</v>
      </c>
    </row>
    <row r="39" customFormat="false" ht="46.25" hidden="false" customHeight="false" outlineLevel="0" collapsed="false">
      <c r="A39" s="2" t="s">
        <v>6409</v>
      </c>
      <c r="B39" s="2" t="s">
        <v>8068</v>
      </c>
      <c r="C39" s="2" t="s">
        <v>6410</v>
      </c>
      <c r="D39" s="2" t="s">
        <v>6411</v>
      </c>
      <c r="E39" s="2" t="s">
        <v>6412</v>
      </c>
      <c r="F39" s="2" t="s">
        <v>6413</v>
      </c>
      <c r="G39" s="2" t="s">
        <v>20</v>
      </c>
      <c r="H39" s="2" t="s">
        <v>6414</v>
      </c>
      <c r="I39" s="2" t="s">
        <v>6213</v>
      </c>
      <c r="J39" s="2" t="n">
        <v>2</v>
      </c>
    </row>
    <row r="40" customFormat="false" ht="61.15" hidden="false" customHeight="false" outlineLevel="0" collapsed="false">
      <c r="A40" s="2" t="s">
        <v>6415</v>
      </c>
      <c r="B40" s="2" t="s">
        <v>8068</v>
      </c>
      <c r="C40" s="2" t="s">
        <v>6416</v>
      </c>
      <c r="D40" s="2" t="s">
        <v>6417</v>
      </c>
      <c r="E40" s="2" t="s">
        <v>4596</v>
      </c>
      <c r="F40" s="2" t="s">
        <v>6418</v>
      </c>
      <c r="G40" s="2" t="s">
        <v>20</v>
      </c>
      <c r="H40" s="2" t="s">
        <v>6419</v>
      </c>
      <c r="I40" s="2" t="s">
        <v>6213</v>
      </c>
      <c r="J40" s="2" t="n">
        <v>2</v>
      </c>
    </row>
    <row r="41" customFormat="false" ht="46.25" hidden="false" customHeight="false" outlineLevel="0" collapsed="false">
      <c r="A41" s="2" t="s">
        <v>6420</v>
      </c>
      <c r="B41" s="2" t="s">
        <v>8068</v>
      </c>
      <c r="C41" s="2" t="s">
        <v>6421</v>
      </c>
      <c r="D41" s="2" t="s">
        <v>6422</v>
      </c>
      <c r="E41" s="2" t="s">
        <v>4170</v>
      </c>
      <c r="F41" s="2" t="s">
        <v>6423</v>
      </c>
      <c r="G41" s="2" t="s">
        <v>20</v>
      </c>
      <c r="H41" s="2" t="s">
        <v>6424</v>
      </c>
      <c r="I41" s="2" t="s">
        <v>6213</v>
      </c>
      <c r="J41" s="2" t="n">
        <v>2</v>
      </c>
    </row>
    <row r="42" customFormat="false" ht="91" hidden="false" customHeight="false" outlineLevel="0" collapsed="false">
      <c r="A42" s="2" t="s">
        <v>6425</v>
      </c>
      <c r="B42" s="2" t="s">
        <v>8068</v>
      </c>
      <c r="C42" s="2" t="s">
        <v>6426</v>
      </c>
      <c r="D42" s="2" t="s">
        <v>6427</v>
      </c>
      <c r="E42" s="2" t="s">
        <v>6428</v>
      </c>
      <c r="F42" s="2" t="s">
        <v>6429</v>
      </c>
      <c r="G42" s="2" t="s">
        <v>20</v>
      </c>
      <c r="H42" s="2" t="s">
        <v>6430</v>
      </c>
      <c r="I42" s="2" t="s">
        <v>6213</v>
      </c>
      <c r="J42" s="2" t="n">
        <v>3</v>
      </c>
    </row>
    <row r="43" customFormat="false" ht="76.1" hidden="false" customHeight="false" outlineLevel="0" collapsed="false">
      <c r="A43" s="2" t="s">
        <v>6431</v>
      </c>
      <c r="B43" s="2" t="s">
        <v>8068</v>
      </c>
      <c r="C43" s="2" t="s">
        <v>6432</v>
      </c>
      <c r="D43" s="2" t="s">
        <v>6433</v>
      </c>
      <c r="E43" s="2" t="s">
        <v>6434</v>
      </c>
      <c r="F43" s="2" t="s">
        <v>6435</v>
      </c>
      <c r="G43" s="2" t="s">
        <v>20</v>
      </c>
      <c r="H43" s="2" t="s">
        <v>6436</v>
      </c>
      <c r="I43" s="2" t="s">
        <v>6213</v>
      </c>
      <c r="J43" s="2" t="n">
        <v>4</v>
      </c>
    </row>
    <row r="44" customFormat="false" ht="91" hidden="false" customHeight="false" outlineLevel="0" collapsed="false">
      <c r="A44" s="2" t="s">
        <v>6437</v>
      </c>
      <c r="B44" s="2" t="s">
        <v>8068</v>
      </c>
      <c r="C44" s="2" t="s">
        <v>6438</v>
      </c>
      <c r="D44" s="2" t="s">
        <v>6439</v>
      </c>
      <c r="E44" s="2" t="s">
        <v>6440</v>
      </c>
      <c r="F44" s="2" t="s">
        <v>6441</v>
      </c>
      <c r="G44" s="2" t="s">
        <v>20</v>
      </c>
      <c r="H44" s="2" t="s">
        <v>6442</v>
      </c>
      <c r="I44" s="2" t="s">
        <v>6213</v>
      </c>
      <c r="J44" s="2" t="n">
        <v>4</v>
      </c>
    </row>
    <row r="45" customFormat="false" ht="105.95" hidden="false" customHeight="false" outlineLevel="0" collapsed="false">
      <c r="A45" s="2" t="s">
        <v>6443</v>
      </c>
      <c r="B45" s="2" t="s">
        <v>8068</v>
      </c>
      <c r="C45" s="2" t="s">
        <v>6444</v>
      </c>
      <c r="D45" s="2" t="s">
        <v>6445</v>
      </c>
      <c r="E45" s="2" t="s">
        <v>6446</v>
      </c>
      <c r="F45" s="2" t="s">
        <v>6447</v>
      </c>
      <c r="G45" s="2" t="s">
        <v>20</v>
      </c>
      <c r="H45" s="2" t="s">
        <v>6448</v>
      </c>
      <c r="I45" s="2" t="s">
        <v>6213</v>
      </c>
      <c r="J45" s="2" t="n">
        <v>4</v>
      </c>
    </row>
    <row r="46" customFormat="false" ht="76.1" hidden="false" customHeight="false" outlineLevel="0" collapsed="false">
      <c r="A46" s="2" t="s">
        <v>6449</v>
      </c>
      <c r="B46" s="2" t="s">
        <v>8068</v>
      </c>
      <c r="C46" s="2" t="s">
        <v>6450</v>
      </c>
      <c r="D46" s="2" t="s">
        <v>6451</v>
      </c>
      <c r="E46" s="2" t="s">
        <v>6452</v>
      </c>
      <c r="F46" s="2" t="s">
        <v>6453</v>
      </c>
      <c r="G46" s="2" t="s">
        <v>20</v>
      </c>
      <c r="H46" s="2" t="s">
        <v>6454</v>
      </c>
      <c r="I46" s="2" t="s">
        <v>6213</v>
      </c>
      <c r="J46" s="2" t="n">
        <v>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customHeight="false"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45"/>
    <col collapsed="false" customWidth="true" hidden="false" outlineLevel="0" max="6" min="4" style="0" width="32"/>
    <col collapsed="false" customWidth="true" hidden="false" outlineLevel="0" max="7" min="7" style="0" width="9"/>
    <col collapsed="false" customWidth="true" hidden="false" outlineLevel="0" max="8" min="8" style="0" width="42"/>
    <col collapsed="false" customWidth="true" hidden="false" outlineLevel="0" max="9" min="9" style="0" width="20"/>
    <col collapsed="false" customWidth="true" hidden="false" outlineLevel="0" max="10" min="10" style="0" width="10"/>
  </cols>
  <sheetData>
    <row r="1" customFormat="false" ht="16.4" hidden="false" customHeight="false" outlineLevel="0" collapsed="false">
      <c r="A1" s="1" t="s">
        <v>0</v>
      </c>
      <c r="B1" s="1" t="s">
        <v>8067</v>
      </c>
      <c r="C1" s="1" t="s">
        <v>3</v>
      </c>
      <c r="D1" s="1" t="s">
        <v>4</v>
      </c>
      <c r="E1" s="1" t="s">
        <v>5</v>
      </c>
      <c r="F1" s="1" t="s">
        <v>6</v>
      </c>
      <c r="G1" s="1" t="s">
        <v>7</v>
      </c>
      <c r="H1" s="1" t="s">
        <v>8</v>
      </c>
      <c r="I1" s="1" t="s">
        <v>9</v>
      </c>
      <c r="J1" s="1" t="s">
        <v>11</v>
      </c>
    </row>
    <row r="2" customFormat="false" ht="61.15" hidden="false" customHeight="false" outlineLevel="0" collapsed="false">
      <c r="A2" s="2" t="s">
        <v>6455</v>
      </c>
      <c r="B2" s="2" t="s">
        <v>8068</v>
      </c>
      <c r="C2" s="2" t="s">
        <v>6457</v>
      </c>
      <c r="D2" s="2" t="s">
        <v>6458</v>
      </c>
      <c r="E2" s="2" t="s">
        <v>6459</v>
      </c>
      <c r="F2" s="2" t="s">
        <v>6460</v>
      </c>
      <c r="G2" s="2" t="s">
        <v>20</v>
      </c>
      <c r="H2" s="2" t="s">
        <v>6461</v>
      </c>
      <c r="I2" s="2" t="s">
        <v>6462</v>
      </c>
      <c r="J2" s="2" t="n">
        <v>3</v>
      </c>
    </row>
    <row r="3" customFormat="false" ht="91" hidden="false" customHeight="false" outlineLevel="0" collapsed="false">
      <c r="A3" s="2" t="s">
        <v>6463</v>
      </c>
      <c r="B3" s="2" t="s">
        <v>8068</v>
      </c>
      <c r="C3" s="2" t="s">
        <v>6464</v>
      </c>
      <c r="D3" s="2" t="s">
        <v>6465</v>
      </c>
      <c r="E3" s="2" t="s">
        <v>6466</v>
      </c>
      <c r="F3" s="2" t="s">
        <v>6467</v>
      </c>
      <c r="G3" s="2" t="s">
        <v>20</v>
      </c>
      <c r="H3" s="2" t="s">
        <v>6468</v>
      </c>
      <c r="I3" s="2" t="s">
        <v>6469</v>
      </c>
      <c r="J3" s="2" t="n">
        <v>4</v>
      </c>
    </row>
    <row r="4" customFormat="false" ht="76.1" hidden="false" customHeight="false" outlineLevel="0" collapsed="false">
      <c r="A4" s="2" t="s">
        <v>6470</v>
      </c>
      <c r="B4" s="2" t="s">
        <v>8068</v>
      </c>
      <c r="C4" s="2" t="s">
        <v>6471</v>
      </c>
      <c r="D4" s="2" t="s">
        <v>2356</v>
      </c>
      <c r="E4" s="2" t="s">
        <v>6472</v>
      </c>
      <c r="F4" s="2" t="s">
        <v>6473</v>
      </c>
      <c r="G4" s="2" t="s">
        <v>28</v>
      </c>
      <c r="H4" s="2" t="s">
        <v>6474</v>
      </c>
      <c r="I4" s="2" t="s">
        <v>6475</v>
      </c>
      <c r="J4" s="2" t="n">
        <v>3</v>
      </c>
    </row>
    <row r="5" customFormat="false" ht="76.1" hidden="false" customHeight="false" outlineLevel="0" collapsed="false">
      <c r="A5" s="2" t="s">
        <v>6476</v>
      </c>
      <c r="B5" s="2" t="s">
        <v>8068</v>
      </c>
      <c r="C5" s="2" t="s">
        <v>6477</v>
      </c>
      <c r="D5" s="2" t="s">
        <v>6478</v>
      </c>
      <c r="E5" s="2" t="s">
        <v>6479</v>
      </c>
      <c r="F5" s="2" t="s">
        <v>6480</v>
      </c>
      <c r="G5" s="2" t="s">
        <v>20</v>
      </c>
      <c r="H5" s="2" t="s">
        <v>6481</v>
      </c>
      <c r="I5" s="2" t="s">
        <v>6456</v>
      </c>
      <c r="J5" s="2" t="n">
        <v>4</v>
      </c>
    </row>
    <row r="6" customFormat="false" ht="91" hidden="false" customHeight="false" outlineLevel="0" collapsed="false">
      <c r="A6" s="2" t="s">
        <v>6482</v>
      </c>
      <c r="B6" s="2" t="s">
        <v>8068</v>
      </c>
      <c r="C6" s="2" t="s">
        <v>6483</v>
      </c>
      <c r="D6" s="2" t="s">
        <v>6484</v>
      </c>
      <c r="E6" s="2" t="s">
        <v>2356</v>
      </c>
      <c r="F6" s="2" t="s">
        <v>6310</v>
      </c>
      <c r="G6" s="2" t="s">
        <v>20</v>
      </c>
      <c r="H6" s="2" t="s">
        <v>6485</v>
      </c>
      <c r="I6" s="2" t="s">
        <v>6456</v>
      </c>
      <c r="J6" s="2" t="n">
        <v>3</v>
      </c>
    </row>
    <row r="7" customFormat="false" ht="61.15" hidden="false" customHeight="false" outlineLevel="0" collapsed="false">
      <c r="A7" s="2" t="s">
        <v>6486</v>
      </c>
      <c r="B7" s="2" t="s">
        <v>8069</v>
      </c>
      <c r="C7" s="2" t="s">
        <v>6487</v>
      </c>
      <c r="D7" s="2" t="s">
        <v>6488</v>
      </c>
      <c r="E7" s="2" t="s">
        <v>6489</v>
      </c>
      <c r="F7" s="2" t="s">
        <v>6490</v>
      </c>
      <c r="G7" s="2" t="s">
        <v>20</v>
      </c>
      <c r="H7" s="2" t="s">
        <v>6491</v>
      </c>
      <c r="I7" s="2" t="s">
        <v>6456</v>
      </c>
      <c r="J7" s="2" t="n">
        <v>1</v>
      </c>
    </row>
    <row r="8" customFormat="false" ht="61.15" hidden="false" customHeight="false" outlineLevel="0" collapsed="false">
      <c r="A8" s="2" t="s">
        <v>6492</v>
      </c>
      <c r="B8" s="2" t="s">
        <v>8068</v>
      </c>
      <c r="C8" s="2" t="s">
        <v>6493</v>
      </c>
      <c r="D8" s="2" t="s">
        <v>6494</v>
      </c>
      <c r="E8" s="2" t="s">
        <v>6495</v>
      </c>
      <c r="F8" s="2" t="s">
        <v>6496</v>
      </c>
      <c r="G8" s="2" t="s">
        <v>20</v>
      </c>
      <c r="H8" s="2" t="s">
        <v>6497</v>
      </c>
      <c r="I8" s="2" t="s">
        <v>6456</v>
      </c>
      <c r="J8" s="2" t="n">
        <v>2</v>
      </c>
    </row>
    <row r="9" customFormat="false" ht="61.15" hidden="false" customHeight="false" outlineLevel="0" collapsed="false">
      <c r="A9" s="2" t="s">
        <v>6498</v>
      </c>
      <c r="B9" s="2" t="s">
        <v>8069</v>
      </c>
      <c r="C9" s="2" t="s">
        <v>6499</v>
      </c>
      <c r="D9" s="2" t="s">
        <v>6500</v>
      </c>
      <c r="E9" s="2" t="s">
        <v>6501</v>
      </c>
      <c r="F9" s="2" t="s">
        <v>6502</v>
      </c>
      <c r="G9" s="2" t="s">
        <v>20</v>
      </c>
      <c r="H9" s="2" t="s">
        <v>6503</v>
      </c>
      <c r="I9" s="2" t="s">
        <v>6504</v>
      </c>
      <c r="J9" s="2" t="n">
        <v>1</v>
      </c>
    </row>
    <row r="10" customFormat="false" ht="46.25" hidden="false" customHeight="false" outlineLevel="0" collapsed="false">
      <c r="A10" s="2" t="s">
        <v>6505</v>
      </c>
      <c r="B10" s="2" t="s">
        <v>8069</v>
      </c>
      <c r="C10" s="2" t="s">
        <v>6506</v>
      </c>
      <c r="D10" s="2" t="s">
        <v>6507</v>
      </c>
      <c r="E10" s="2" t="s">
        <v>6508</v>
      </c>
      <c r="F10" s="2" t="s">
        <v>6509</v>
      </c>
      <c r="G10" s="2" t="s">
        <v>226</v>
      </c>
      <c r="H10" s="2" t="s">
        <v>6510</v>
      </c>
      <c r="I10" s="2" t="s">
        <v>6511</v>
      </c>
      <c r="J10" s="2" t="n">
        <v>1</v>
      </c>
    </row>
    <row r="11" customFormat="false" ht="46.25" hidden="false" customHeight="false" outlineLevel="0" collapsed="false">
      <c r="A11" s="2" t="s">
        <v>6512</v>
      </c>
      <c r="B11" s="2" t="s">
        <v>8068</v>
      </c>
      <c r="C11" s="2" t="s">
        <v>6513</v>
      </c>
      <c r="D11" s="2" t="s">
        <v>2356</v>
      </c>
      <c r="E11" s="2" t="s">
        <v>6484</v>
      </c>
      <c r="F11" s="2" t="s">
        <v>4172</v>
      </c>
      <c r="G11" s="2" t="s">
        <v>20</v>
      </c>
      <c r="H11" s="2" t="s">
        <v>6514</v>
      </c>
      <c r="I11" s="2" t="s">
        <v>6515</v>
      </c>
      <c r="J11" s="2" t="n">
        <v>2</v>
      </c>
    </row>
    <row r="12" customFormat="false" ht="76.1" hidden="false" customHeight="false" outlineLevel="0" collapsed="false">
      <c r="A12" s="2" t="s">
        <v>6516</v>
      </c>
      <c r="B12" s="2" t="s">
        <v>8068</v>
      </c>
      <c r="C12" s="2" t="s">
        <v>6517</v>
      </c>
      <c r="D12" s="2" t="s">
        <v>6518</v>
      </c>
      <c r="E12" s="2" t="s">
        <v>6519</v>
      </c>
      <c r="F12" s="2" t="s">
        <v>6287</v>
      </c>
      <c r="G12" s="2" t="s">
        <v>20</v>
      </c>
      <c r="H12" s="2" t="s">
        <v>6520</v>
      </c>
      <c r="I12" s="2" t="s">
        <v>6515</v>
      </c>
      <c r="J12" s="2" t="n">
        <v>2</v>
      </c>
    </row>
    <row r="13" customFormat="false" ht="61.15" hidden="false" customHeight="false" outlineLevel="0" collapsed="false">
      <c r="A13" s="2" t="s">
        <v>6521</v>
      </c>
      <c r="B13" s="2" t="s">
        <v>8068</v>
      </c>
      <c r="C13" s="2" t="s">
        <v>6522</v>
      </c>
      <c r="D13" s="2" t="s">
        <v>6523</v>
      </c>
      <c r="E13" s="2" t="s">
        <v>6519</v>
      </c>
      <c r="F13" s="2" t="s">
        <v>6524</v>
      </c>
      <c r="G13" s="2" t="s">
        <v>28</v>
      </c>
      <c r="H13" s="2" t="s">
        <v>6525</v>
      </c>
      <c r="I13" s="2" t="s">
        <v>6515</v>
      </c>
      <c r="J13" s="2" t="n">
        <v>3</v>
      </c>
    </row>
    <row r="14" customFormat="false" ht="46.25" hidden="false" customHeight="false" outlineLevel="0" collapsed="false">
      <c r="A14" s="2" t="s">
        <v>6526</v>
      </c>
      <c r="B14" s="2" t="s">
        <v>8068</v>
      </c>
      <c r="C14" s="2" t="s">
        <v>6527</v>
      </c>
      <c r="D14" s="2" t="s">
        <v>6528</v>
      </c>
      <c r="E14" s="2" t="s">
        <v>6529</v>
      </c>
      <c r="F14" s="2" t="s">
        <v>6530</v>
      </c>
      <c r="G14" s="2" t="s">
        <v>226</v>
      </c>
      <c r="H14" s="2" t="s">
        <v>6531</v>
      </c>
      <c r="I14" s="2" t="s">
        <v>6515</v>
      </c>
      <c r="J14" s="2" t="n">
        <v>3</v>
      </c>
    </row>
    <row r="15" customFormat="false" ht="135.8" hidden="false" customHeight="false" outlineLevel="0" collapsed="false">
      <c r="A15" s="2" t="s">
        <v>6532</v>
      </c>
      <c r="B15" s="2" t="s">
        <v>8068</v>
      </c>
      <c r="C15" s="2" t="s">
        <v>6533</v>
      </c>
      <c r="D15" s="2" t="s">
        <v>6534</v>
      </c>
      <c r="E15" s="2" t="s">
        <v>6535</v>
      </c>
      <c r="F15" s="2" t="s">
        <v>6536</v>
      </c>
      <c r="G15" s="2" t="s">
        <v>20</v>
      </c>
      <c r="H15" s="2" t="s">
        <v>6537</v>
      </c>
      <c r="I15" s="2" t="s">
        <v>6515</v>
      </c>
      <c r="J15" s="2" t="n">
        <v>3</v>
      </c>
    </row>
    <row r="16" customFormat="false" ht="46.25" hidden="false" customHeight="false" outlineLevel="0" collapsed="false">
      <c r="A16" s="2" t="s">
        <v>6538</v>
      </c>
      <c r="B16" s="2" t="s">
        <v>8068</v>
      </c>
      <c r="C16" s="2" t="s">
        <v>6539</v>
      </c>
      <c r="D16" s="2" t="s">
        <v>6484</v>
      </c>
      <c r="E16" s="2" t="s">
        <v>4172</v>
      </c>
      <c r="F16" s="2" t="s">
        <v>1833</v>
      </c>
      <c r="G16" s="2" t="s">
        <v>20</v>
      </c>
      <c r="H16" s="2" t="s">
        <v>6540</v>
      </c>
      <c r="I16" s="2" t="s">
        <v>6515</v>
      </c>
      <c r="J16" s="2" t="n">
        <v>2</v>
      </c>
    </row>
    <row r="17" customFormat="false" ht="61.15" hidden="false" customHeight="false" outlineLevel="0" collapsed="false">
      <c r="A17" s="2" t="s">
        <v>6541</v>
      </c>
      <c r="B17" s="2" t="s">
        <v>8068</v>
      </c>
      <c r="C17" s="2" t="s">
        <v>6542</v>
      </c>
      <c r="D17" s="2" t="s">
        <v>6543</v>
      </c>
      <c r="E17" s="2" t="s">
        <v>6544</v>
      </c>
      <c r="F17" s="2" t="s">
        <v>6283</v>
      </c>
      <c r="G17" s="2" t="s">
        <v>20</v>
      </c>
      <c r="H17" s="2" t="s">
        <v>6545</v>
      </c>
      <c r="I17" s="2" t="s">
        <v>6515</v>
      </c>
      <c r="J17" s="2" t="n">
        <v>3</v>
      </c>
    </row>
    <row r="18" customFormat="false" ht="61.15" hidden="false" customHeight="false" outlineLevel="0" collapsed="false">
      <c r="A18" s="2" t="s">
        <v>6546</v>
      </c>
      <c r="B18" s="2" t="s">
        <v>8068</v>
      </c>
      <c r="C18" s="2" t="s">
        <v>6547</v>
      </c>
      <c r="D18" s="2" t="s">
        <v>6548</v>
      </c>
      <c r="E18" s="2" t="s">
        <v>6549</v>
      </c>
      <c r="F18" s="2" t="s">
        <v>6550</v>
      </c>
      <c r="G18" s="2" t="s">
        <v>226</v>
      </c>
      <c r="H18" s="2" t="s">
        <v>6551</v>
      </c>
      <c r="I18" s="2" t="s">
        <v>6515</v>
      </c>
      <c r="J18" s="2" t="n">
        <v>3</v>
      </c>
    </row>
    <row r="19" customFormat="false" ht="46.25" hidden="false" customHeight="false" outlineLevel="0" collapsed="false">
      <c r="A19" s="2" t="s">
        <v>6552</v>
      </c>
      <c r="B19" s="2" t="s">
        <v>8068</v>
      </c>
      <c r="C19" s="2" t="s">
        <v>6553</v>
      </c>
      <c r="D19" s="2" t="s">
        <v>6554</v>
      </c>
      <c r="E19" s="2" t="s">
        <v>6555</v>
      </c>
      <c r="F19" s="2" t="s">
        <v>6556</v>
      </c>
      <c r="G19" s="2" t="s">
        <v>20</v>
      </c>
      <c r="H19" s="2" t="s">
        <v>6557</v>
      </c>
      <c r="I19" s="2" t="s">
        <v>6511</v>
      </c>
      <c r="J19" s="2" t="n">
        <v>2</v>
      </c>
    </row>
    <row r="20" customFormat="false" ht="46.25" hidden="false" customHeight="false" outlineLevel="0" collapsed="false">
      <c r="A20" s="2" t="s">
        <v>6558</v>
      </c>
      <c r="B20" s="2" t="s">
        <v>8068</v>
      </c>
      <c r="C20" s="2" t="s">
        <v>6559</v>
      </c>
      <c r="D20" s="2" t="s">
        <v>6560</v>
      </c>
      <c r="E20" s="2" t="s">
        <v>6561</v>
      </c>
      <c r="F20" s="2" t="s">
        <v>6562</v>
      </c>
      <c r="G20" s="2" t="s">
        <v>20</v>
      </c>
      <c r="H20" s="2" t="s">
        <v>6563</v>
      </c>
      <c r="I20" s="2" t="s">
        <v>6511</v>
      </c>
      <c r="J20" s="2" t="n">
        <v>2</v>
      </c>
    </row>
    <row r="21" customFormat="false" ht="61.15" hidden="false" customHeight="false" outlineLevel="0" collapsed="false">
      <c r="A21" s="2" t="s">
        <v>6564</v>
      </c>
      <c r="B21" s="2" t="s">
        <v>8068</v>
      </c>
      <c r="C21" s="2" t="s">
        <v>6565</v>
      </c>
      <c r="D21" s="2" t="s">
        <v>6566</v>
      </c>
      <c r="E21" s="2" t="s">
        <v>6567</v>
      </c>
      <c r="F21" s="2" t="s">
        <v>6568</v>
      </c>
      <c r="G21" s="2" t="s">
        <v>20</v>
      </c>
      <c r="H21" s="2" t="s">
        <v>6569</v>
      </c>
      <c r="I21" s="2" t="s">
        <v>6515</v>
      </c>
      <c r="J21" s="2" t="n">
        <v>3</v>
      </c>
    </row>
    <row r="22" customFormat="false" ht="46.25" hidden="false" customHeight="false" outlineLevel="0" collapsed="false">
      <c r="A22" s="2" t="s">
        <v>6570</v>
      </c>
      <c r="B22" s="2" t="s">
        <v>8068</v>
      </c>
      <c r="C22" s="2" t="s">
        <v>6571</v>
      </c>
      <c r="D22" s="2" t="s">
        <v>6529</v>
      </c>
      <c r="E22" s="2" t="s">
        <v>6528</v>
      </c>
      <c r="F22" s="2" t="s">
        <v>4170</v>
      </c>
      <c r="G22" s="2" t="s">
        <v>226</v>
      </c>
      <c r="H22" s="2" t="s">
        <v>6572</v>
      </c>
      <c r="I22" s="2" t="s">
        <v>6511</v>
      </c>
      <c r="J22" s="2" t="n">
        <v>3</v>
      </c>
    </row>
    <row r="23" customFormat="false" ht="135.8" hidden="false" customHeight="false" outlineLevel="0" collapsed="false">
      <c r="A23" s="2" t="s">
        <v>6573</v>
      </c>
      <c r="B23" s="2" t="s">
        <v>8068</v>
      </c>
      <c r="C23" s="2" t="s">
        <v>6574</v>
      </c>
      <c r="D23" s="2" t="s">
        <v>6283</v>
      </c>
      <c r="E23" s="2" t="s">
        <v>6575</v>
      </c>
      <c r="F23" s="2" t="s">
        <v>6576</v>
      </c>
      <c r="G23" s="2" t="s">
        <v>20</v>
      </c>
      <c r="H23" s="2" t="s">
        <v>6577</v>
      </c>
      <c r="I23" s="2" t="s">
        <v>6515</v>
      </c>
      <c r="J23" s="2" t="n">
        <v>3</v>
      </c>
    </row>
    <row r="24" customFormat="false" ht="46.25" hidden="false" customHeight="false" outlineLevel="0" collapsed="false">
      <c r="A24" s="2" t="s">
        <v>6578</v>
      </c>
      <c r="B24" s="2" t="s">
        <v>8068</v>
      </c>
      <c r="C24" s="2" t="s">
        <v>6579</v>
      </c>
      <c r="D24" s="2" t="s">
        <v>6580</v>
      </c>
      <c r="E24" s="2" t="s">
        <v>6581</v>
      </c>
      <c r="F24" s="2" t="s">
        <v>6582</v>
      </c>
      <c r="G24" s="2" t="s">
        <v>28</v>
      </c>
      <c r="H24" s="2" t="s">
        <v>6583</v>
      </c>
      <c r="I24" s="2" t="s">
        <v>6515</v>
      </c>
      <c r="J24" s="2" t="n">
        <v>3</v>
      </c>
    </row>
    <row r="25" customFormat="false" ht="46.25" hidden="false" customHeight="false" outlineLevel="0" collapsed="false">
      <c r="A25" s="2" t="s">
        <v>6584</v>
      </c>
      <c r="B25" s="2" t="s">
        <v>8068</v>
      </c>
      <c r="C25" s="2" t="s">
        <v>6585</v>
      </c>
      <c r="D25" s="2" t="s">
        <v>4170</v>
      </c>
      <c r="E25" s="2" t="s">
        <v>6586</v>
      </c>
      <c r="F25" s="2" t="s">
        <v>6325</v>
      </c>
      <c r="G25" s="2" t="s">
        <v>20</v>
      </c>
      <c r="H25" s="2" t="s">
        <v>6587</v>
      </c>
      <c r="I25" s="2" t="s">
        <v>6515</v>
      </c>
      <c r="J25" s="2" t="n">
        <v>3</v>
      </c>
    </row>
    <row r="26" customFormat="false" ht="61.15" hidden="false" customHeight="false" outlineLevel="0" collapsed="false">
      <c r="A26" s="2" t="s">
        <v>6588</v>
      </c>
      <c r="B26" s="2" t="s">
        <v>8068</v>
      </c>
      <c r="C26" s="2" t="s">
        <v>6589</v>
      </c>
      <c r="D26" s="2" t="s">
        <v>6590</v>
      </c>
      <c r="E26" s="2" t="s">
        <v>6591</v>
      </c>
      <c r="F26" s="2" t="s">
        <v>6592</v>
      </c>
      <c r="G26" s="2" t="s">
        <v>226</v>
      </c>
      <c r="H26" s="2" t="s">
        <v>6593</v>
      </c>
      <c r="I26" s="2" t="s">
        <v>6515</v>
      </c>
      <c r="J26" s="2" t="n">
        <v>3</v>
      </c>
    </row>
    <row r="27" customFormat="false" ht="61.15" hidden="false" customHeight="false" outlineLevel="0" collapsed="false">
      <c r="A27" s="2" t="s">
        <v>6594</v>
      </c>
      <c r="B27" s="2" t="s">
        <v>8068</v>
      </c>
      <c r="C27" s="2" t="s">
        <v>6595</v>
      </c>
      <c r="D27" s="2" t="s">
        <v>6596</v>
      </c>
      <c r="E27" s="2" t="s">
        <v>6597</v>
      </c>
      <c r="F27" s="2" t="s">
        <v>6598</v>
      </c>
      <c r="G27" s="2" t="s">
        <v>20</v>
      </c>
      <c r="H27" s="2" t="s">
        <v>6599</v>
      </c>
      <c r="I27" s="2" t="s">
        <v>6515</v>
      </c>
      <c r="J27" s="2" t="n">
        <v>2</v>
      </c>
    </row>
    <row r="28" customFormat="false" ht="91" hidden="false" customHeight="false" outlineLevel="0" collapsed="false">
      <c r="A28" s="2" t="s">
        <v>6600</v>
      </c>
      <c r="B28" s="2" t="s">
        <v>8068</v>
      </c>
      <c r="C28" s="2" t="s">
        <v>6601</v>
      </c>
      <c r="D28" s="2" t="s">
        <v>6484</v>
      </c>
      <c r="E28" s="2" t="s">
        <v>6602</v>
      </c>
      <c r="F28" s="2" t="s">
        <v>6310</v>
      </c>
      <c r="G28" s="2" t="s">
        <v>20</v>
      </c>
      <c r="H28" s="2" t="s">
        <v>6603</v>
      </c>
      <c r="I28" s="2" t="s">
        <v>6515</v>
      </c>
      <c r="J28" s="2" t="n">
        <v>3</v>
      </c>
    </row>
    <row r="29" customFormat="false" ht="46.25" hidden="false" customHeight="false" outlineLevel="0" collapsed="false">
      <c r="A29" s="2" t="s">
        <v>6604</v>
      </c>
      <c r="B29" s="2" t="s">
        <v>8068</v>
      </c>
      <c r="C29" s="2" t="s">
        <v>6605</v>
      </c>
      <c r="D29" s="2" t="s">
        <v>6484</v>
      </c>
      <c r="E29" s="2" t="s">
        <v>6606</v>
      </c>
      <c r="F29" s="2" t="s">
        <v>6607</v>
      </c>
      <c r="G29" s="2" t="s">
        <v>20</v>
      </c>
      <c r="H29" s="2" t="s">
        <v>6608</v>
      </c>
      <c r="I29" s="2" t="s">
        <v>6515</v>
      </c>
      <c r="J29" s="2" t="n">
        <v>3</v>
      </c>
    </row>
    <row r="30" customFormat="false" ht="61.15" hidden="false" customHeight="false" outlineLevel="0" collapsed="false">
      <c r="A30" s="2" t="s">
        <v>6609</v>
      </c>
      <c r="B30" s="2" t="s">
        <v>8068</v>
      </c>
      <c r="C30" s="2" t="s">
        <v>6610</v>
      </c>
      <c r="D30" s="2" t="s">
        <v>6611</v>
      </c>
      <c r="E30" s="2" t="s">
        <v>6612</v>
      </c>
      <c r="F30" s="2" t="s">
        <v>6613</v>
      </c>
      <c r="G30" s="2" t="s">
        <v>20</v>
      </c>
      <c r="H30" s="2" t="s">
        <v>6614</v>
      </c>
      <c r="I30" s="2" t="s">
        <v>6515</v>
      </c>
      <c r="J30" s="2" t="n">
        <v>4</v>
      </c>
    </row>
    <row r="31" customFormat="false" ht="61.15" hidden="false" customHeight="false" outlineLevel="0" collapsed="false">
      <c r="A31" s="2" t="s">
        <v>6615</v>
      </c>
      <c r="B31" s="2" t="s">
        <v>8068</v>
      </c>
      <c r="C31" s="2" t="s">
        <v>6616</v>
      </c>
      <c r="D31" s="2" t="s">
        <v>6617</v>
      </c>
      <c r="E31" s="2" t="s">
        <v>6618</v>
      </c>
      <c r="F31" s="2" t="s">
        <v>6619</v>
      </c>
      <c r="G31" s="2" t="s">
        <v>28</v>
      </c>
      <c r="H31" s="2" t="s">
        <v>6620</v>
      </c>
      <c r="I31" s="2" t="s">
        <v>6515</v>
      </c>
      <c r="J31" s="2" t="n">
        <v>3</v>
      </c>
    </row>
    <row r="32" customFormat="false" ht="46.25" hidden="false" customHeight="false" outlineLevel="0" collapsed="false">
      <c r="A32" s="2" t="s">
        <v>6621</v>
      </c>
      <c r="B32" s="2" t="s">
        <v>8069</v>
      </c>
      <c r="C32" s="2" t="s">
        <v>6622</v>
      </c>
      <c r="D32" s="2" t="s">
        <v>6623</v>
      </c>
      <c r="E32" s="2" t="s">
        <v>6624</v>
      </c>
      <c r="F32" s="2" t="s">
        <v>6625</v>
      </c>
      <c r="G32" s="2" t="s">
        <v>20</v>
      </c>
      <c r="H32" s="2" t="s">
        <v>6626</v>
      </c>
      <c r="I32" s="2" t="s">
        <v>6511</v>
      </c>
      <c r="J32" s="2" t="n">
        <v>2</v>
      </c>
    </row>
    <row r="33" customFormat="false" ht="76.1" hidden="false" customHeight="false" outlineLevel="0" collapsed="false">
      <c r="A33" s="2" t="s">
        <v>6627</v>
      </c>
      <c r="B33" s="2" t="s">
        <v>8068</v>
      </c>
      <c r="C33" s="2" t="s">
        <v>6628</v>
      </c>
      <c r="D33" s="2" t="s">
        <v>6484</v>
      </c>
      <c r="E33" s="2" t="s">
        <v>4172</v>
      </c>
      <c r="F33" s="2" t="s">
        <v>6629</v>
      </c>
      <c r="G33" s="2" t="s">
        <v>20</v>
      </c>
      <c r="H33" s="2" t="s">
        <v>6630</v>
      </c>
      <c r="I33" s="2" t="s">
        <v>6511</v>
      </c>
      <c r="J33" s="2" t="n">
        <v>4</v>
      </c>
    </row>
    <row r="34" customFormat="false" ht="61.15" hidden="false" customHeight="false" outlineLevel="0" collapsed="false">
      <c r="A34" s="2" t="s">
        <v>6631</v>
      </c>
      <c r="B34" s="2" t="s">
        <v>8068</v>
      </c>
      <c r="C34" s="2" t="s">
        <v>6632</v>
      </c>
      <c r="D34" s="2" t="s">
        <v>6633</v>
      </c>
      <c r="E34" s="2" t="s">
        <v>6634</v>
      </c>
      <c r="F34" s="2" t="s">
        <v>6635</v>
      </c>
      <c r="G34" s="2" t="s">
        <v>20</v>
      </c>
      <c r="H34" s="2" t="s">
        <v>6636</v>
      </c>
      <c r="I34" s="2" t="s">
        <v>6511</v>
      </c>
      <c r="J34" s="2" t="n">
        <v>4</v>
      </c>
    </row>
    <row r="35" customFormat="false" ht="76.1" hidden="false" customHeight="false" outlineLevel="0" collapsed="false">
      <c r="A35" s="2" t="s">
        <v>6637</v>
      </c>
      <c r="B35" s="2" t="s">
        <v>8068</v>
      </c>
      <c r="C35" s="2" t="s">
        <v>6638</v>
      </c>
      <c r="D35" s="2" t="s">
        <v>6639</v>
      </c>
      <c r="E35" s="2" t="s">
        <v>6640</v>
      </c>
      <c r="F35" s="2" t="s">
        <v>6641</v>
      </c>
      <c r="G35" s="2" t="s">
        <v>20</v>
      </c>
      <c r="H35" s="2" t="s">
        <v>6642</v>
      </c>
      <c r="I35" s="2" t="s">
        <v>6515</v>
      </c>
      <c r="J35" s="2" t="n">
        <v>4</v>
      </c>
    </row>
    <row r="36" customFormat="false" ht="46.25" hidden="false" customHeight="false" outlineLevel="0" collapsed="false">
      <c r="A36" s="2" t="s">
        <v>6643</v>
      </c>
      <c r="B36" s="2" t="s">
        <v>8068</v>
      </c>
      <c r="C36" s="2" t="s">
        <v>6644</v>
      </c>
      <c r="D36" s="2" t="s">
        <v>6645</v>
      </c>
      <c r="E36" s="2" t="s">
        <v>6646</v>
      </c>
      <c r="F36" s="2" t="s">
        <v>6647</v>
      </c>
      <c r="G36" s="2" t="s">
        <v>20</v>
      </c>
      <c r="H36" s="2" t="s">
        <v>6648</v>
      </c>
      <c r="I36" s="2" t="s">
        <v>6456</v>
      </c>
      <c r="J36" s="2" t="n">
        <v>1</v>
      </c>
    </row>
    <row r="37" customFormat="false" ht="61.15" hidden="false" customHeight="false" outlineLevel="0" collapsed="false">
      <c r="A37" s="2" t="s">
        <v>6649</v>
      </c>
      <c r="B37" s="2" t="s">
        <v>8068</v>
      </c>
      <c r="C37" s="2" t="s">
        <v>6650</v>
      </c>
      <c r="D37" s="2" t="s">
        <v>2356</v>
      </c>
      <c r="E37" s="2" t="s">
        <v>6484</v>
      </c>
      <c r="F37" s="2" t="s">
        <v>6651</v>
      </c>
      <c r="G37" s="2" t="s">
        <v>20</v>
      </c>
      <c r="H37" s="2" t="s">
        <v>6652</v>
      </c>
      <c r="I37" s="2" t="s">
        <v>6456</v>
      </c>
      <c r="J37" s="2" t="n">
        <v>2</v>
      </c>
    </row>
    <row r="38" customFormat="false" ht="61.15" hidden="false" customHeight="false" outlineLevel="0" collapsed="false">
      <c r="A38" s="2" t="s">
        <v>6653</v>
      </c>
      <c r="B38" s="2" t="s">
        <v>8068</v>
      </c>
      <c r="C38" s="2" t="s">
        <v>6654</v>
      </c>
      <c r="D38" s="2" t="s">
        <v>6484</v>
      </c>
      <c r="E38" s="2" t="s">
        <v>2356</v>
      </c>
      <c r="F38" s="2" t="s">
        <v>1833</v>
      </c>
      <c r="G38" s="2" t="s">
        <v>20</v>
      </c>
      <c r="H38" s="2" t="s">
        <v>6655</v>
      </c>
      <c r="I38" s="2" t="s">
        <v>6456</v>
      </c>
      <c r="J38" s="2" t="n">
        <v>2</v>
      </c>
    </row>
    <row r="39" customFormat="false" ht="61.15" hidden="false" customHeight="false" outlineLevel="0" collapsed="false">
      <c r="A39" s="2" t="s">
        <v>6656</v>
      </c>
      <c r="B39" s="2" t="s">
        <v>8068</v>
      </c>
      <c r="C39" s="2" t="s">
        <v>6657</v>
      </c>
      <c r="D39" s="2" t="s">
        <v>6658</v>
      </c>
      <c r="E39" s="2" t="s">
        <v>6659</v>
      </c>
      <c r="F39" s="2" t="s">
        <v>4602</v>
      </c>
      <c r="G39" s="2" t="s">
        <v>20</v>
      </c>
      <c r="H39" s="2" t="s">
        <v>6660</v>
      </c>
      <c r="I39" s="2" t="s">
        <v>6456</v>
      </c>
      <c r="J39" s="2" t="n">
        <v>2</v>
      </c>
    </row>
    <row r="40" customFormat="false" ht="61.15" hidden="false" customHeight="false" outlineLevel="0" collapsed="false">
      <c r="A40" s="2" t="s">
        <v>6661</v>
      </c>
      <c r="B40" s="2" t="s">
        <v>8068</v>
      </c>
      <c r="C40" s="2" t="s">
        <v>6662</v>
      </c>
      <c r="D40" s="2" t="s">
        <v>6663</v>
      </c>
      <c r="E40" s="2" t="s">
        <v>6664</v>
      </c>
      <c r="F40" s="2" t="s">
        <v>6665</v>
      </c>
      <c r="G40" s="2" t="s">
        <v>20</v>
      </c>
      <c r="H40" s="2" t="s">
        <v>6666</v>
      </c>
      <c r="I40" s="2" t="s">
        <v>6456</v>
      </c>
      <c r="J40" s="2" t="n">
        <v>2</v>
      </c>
    </row>
    <row r="41" customFormat="false" ht="76.1" hidden="false" customHeight="false" outlineLevel="0" collapsed="false">
      <c r="A41" s="2" t="s">
        <v>6667</v>
      </c>
      <c r="B41" s="2" t="s">
        <v>8069</v>
      </c>
      <c r="C41" s="2" t="s">
        <v>6668</v>
      </c>
      <c r="D41" s="2" t="s">
        <v>6669</v>
      </c>
      <c r="E41" s="2" t="s">
        <v>6670</v>
      </c>
      <c r="F41" s="2" t="s">
        <v>6671</v>
      </c>
      <c r="G41" s="2" t="s">
        <v>20</v>
      </c>
      <c r="H41" s="2" t="s">
        <v>6672</v>
      </c>
      <c r="I41" s="2" t="s">
        <v>6456</v>
      </c>
      <c r="J41" s="2" t="n">
        <v>2</v>
      </c>
    </row>
    <row r="42" customFormat="false" ht="61.15" hidden="false" customHeight="false" outlineLevel="0" collapsed="false">
      <c r="A42" s="2" t="s">
        <v>6673</v>
      </c>
      <c r="B42" s="2" t="s">
        <v>8068</v>
      </c>
      <c r="C42" s="2" t="s">
        <v>6674</v>
      </c>
      <c r="D42" s="2" t="s">
        <v>6325</v>
      </c>
      <c r="E42" s="2" t="s">
        <v>4170</v>
      </c>
      <c r="F42" s="2" t="s">
        <v>6675</v>
      </c>
      <c r="G42" s="2" t="s">
        <v>28</v>
      </c>
      <c r="H42" s="2" t="s">
        <v>6676</v>
      </c>
      <c r="I42" s="2" t="s">
        <v>6456</v>
      </c>
      <c r="J42" s="2" t="n">
        <v>2</v>
      </c>
    </row>
    <row r="43" customFormat="false" ht="61.15" hidden="false" customHeight="false" outlineLevel="0" collapsed="false">
      <c r="A43" s="2" t="s">
        <v>6677</v>
      </c>
      <c r="B43" s="2" t="s">
        <v>8068</v>
      </c>
      <c r="C43" s="2" t="s">
        <v>6678</v>
      </c>
      <c r="D43" s="2" t="s">
        <v>6679</v>
      </c>
      <c r="E43" s="2" t="s">
        <v>6680</v>
      </c>
      <c r="F43" s="2" t="s">
        <v>6681</v>
      </c>
      <c r="G43" s="2" t="s">
        <v>20</v>
      </c>
      <c r="H43" s="2" t="s">
        <v>6682</v>
      </c>
      <c r="I43" s="2" t="s">
        <v>6456</v>
      </c>
      <c r="J43" s="2" t="n">
        <v>2</v>
      </c>
    </row>
    <row r="44" customFormat="false" ht="61.15" hidden="false" customHeight="false" outlineLevel="0" collapsed="false">
      <c r="A44" s="2" t="s">
        <v>6683</v>
      </c>
      <c r="B44" s="2" t="s">
        <v>8068</v>
      </c>
      <c r="C44" s="2" t="s">
        <v>6684</v>
      </c>
      <c r="D44" s="2" t="s">
        <v>2727</v>
      </c>
      <c r="E44" s="2" t="s">
        <v>6685</v>
      </c>
      <c r="F44" s="2" t="s">
        <v>6686</v>
      </c>
      <c r="G44" s="2" t="s">
        <v>20</v>
      </c>
      <c r="H44" s="2" t="s">
        <v>6687</v>
      </c>
      <c r="I44" s="2" t="s">
        <v>6456</v>
      </c>
      <c r="J44" s="2" t="n">
        <v>3</v>
      </c>
    </row>
    <row r="45" customFormat="false" ht="76.1" hidden="false" customHeight="false" outlineLevel="0" collapsed="false">
      <c r="A45" s="2" t="s">
        <v>6688</v>
      </c>
      <c r="B45" s="2" t="s">
        <v>8068</v>
      </c>
      <c r="C45" s="2" t="s">
        <v>6689</v>
      </c>
      <c r="D45" s="2" t="s">
        <v>6310</v>
      </c>
      <c r="E45" s="2" t="s">
        <v>6690</v>
      </c>
      <c r="F45" s="2" t="s">
        <v>6691</v>
      </c>
      <c r="G45" s="2" t="s">
        <v>20</v>
      </c>
      <c r="H45" s="2" t="s">
        <v>6692</v>
      </c>
      <c r="I45" s="2" t="s">
        <v>6456</v>
      </c>
      <c r="J45" s="2" t="n">
        <v>3</v>
      </c>
    </row>
    <row r="46" customFormat="false" ht="46.25" hidden="false" customHeight="false" outlineLevel="0" collapsed="false">
      <c r="A46" s="2" t="s">
        <v>6693</v>
      </c>
      <c r="B46" s="2" t="s">
        <v>8069</v>
      </c>
      <c r="C46" s="2" t="s">
        <v>6694</v>
      </c>
      <c r="D46" s="2" t="s">
        <v>6695</v>
      </c>
      <c r="E46" s="2" t="s">
        <v>6696</v>
      </c>
      <c r="F46" s="2" t="s">
        <v>6697</v>
      </c>
      <c r="G46" s="2" t="s">
        <v>20</v>
      </c>
      <c r="H46" s="2" t="s">
        <v>6698</v>
      </c>
      <c r="I46" s="2" t="s">
        <v>6456</v>
      </c>
      <c r="J46" s="2" t="n">
        <v>2</v>
      </c>
    </row>
    <row r="47" customFormat="false" ht="76.1" hidden="false" customHeight="false" outlineLevel="0" collapsed="false">
      <c r="A47" s="2" t="s">
        <v>6699</v>
      </c>
      <c r="B47" s="2" t="s">
        <v>8068</v>
      </c>
      <c r="C47" s="2" t="s">
        <v>6700</v>
      </c>
      <c r="D47" s="2" t="s">
        <v>6592</v>
      </c>
      <c r="E47" s="2" t="s">
        <v>6590</v>
      </c>
      <c r="F47" s="2" t="s">
        <v>6701</v>
      </c>
      <c r="G47" s="2" t="s">
        <v>20</v>
      </c>
      <c r="H47" s="2" t="s">
        <v>6702</v>
      </c>
      <c r="I47" s="2" t="s">
        <v>6456</v>
      </c>
      <c r="J47" s="2" t="n">
        <v>2</v>
      </c>
    </row>
    <row r="48" customFormat="false" ht="76.1" hidden="false" customHeight="false" outlineLevel="0" collapsed="false">
      <c r="A48" s="2" t="s">
        <v>6703</v>
      </c>
      <c r="B48" s="2" t="s">
        <v>8068</v>
      </c>
      <c r="C48" s="2" t="s">
        <v>6704</v>
      </c>
      <c r="D48" s="2" t="s">
        <v>6310</v>
      </c>
      <c r="E48" s="2" t="s">
        <v>6691</v>
      </c>
      <c r="F48" s="2" t="s">
        <v>6705</v>
      </c>
      <c r="G48" s="2" t="s">
        <v>20</v>
      </c>
      <c r="H48" s="2" t="s">
        <v>6706</v>
      </c>
      <c r="I48" s="2" t="s">
        <v>6456</v>
      </c>
      <c r="J48" s="2" t="n">
        <v>3</v>
      </c>
    </row>
    <row r="49" customFormat="false" ht="61.15" hidden="false" customHeight="false" outlineLevel="0" collapsed="false">
      <c r="A49" s="2" t="s">
        <v>6707</v>
      </c>
      <c r="B49" s="2" t="s">
        <v>8068</v>
      </c>
      <c r="C49" s="2" t="s">
        <v>6708</v>
      </c>
      <c r="D49" s="2" t="s">
        <v>2727</v>
      </c>
      <c r="E49" s="2" t="s">
        <v>6709</v>
      </c>
      <c r="F49" s="2" t="s">
        <v>5469</v>
      </c>
      <c r="G49" s="2" t="s">
        <v>20</v>
      </c>
      <c r="H49" s="2" t="s">
        <v>6710</v>
      </c>
      <c r="I49" s="2" t="s">
        <v>6456</v>
      </c>
      <c r="J49" s="2" t="n">
        <v>2</v>
      </c>
    </row>
    <row r="50" customFormat="false" ht="61.15" hidden="false" customHeight="false" outlineLevel="0" collapsed="false">
      <c r="A50" s="2" t="s">
        <v>6711</v>
      </c>
      <c r="B50" s="2" t="s">
        <v>8068</v>
      </c>
      <c r="C50" s="2" t="s">
        <v>6712</v>
      </c>
      <c r="D50" s="2" t="s">
        <v>6310</v>
      </c>
      <c r="E50" s="2" t="s">
        <v>6713</v>
      </c>
      <c r="F50" s="2" t="s">
        <v>6714</v>
      </c>
      <c r="G50" s="2" t="s">
        <v>20</v>
      </c>
      <c r="H50" s="2" t="s">
        <v>6715</v>
      </c>
      <c r="I50" s="2" t="s">
        <v>6456</v>
      </c>
      <c r="J50" s="2" t="n">
        <v>2</v>
      </c>
    </row>
    <row r="51" customFormat="false" ht="91" hidden="false" customHeight="false" outlineLevel="0" collapsed="false">
      <c r="A51" s="2" t="s">
        <v>6716</v>
      </c>
      <c r="B51" s="2" t="s">
        <v>8068</v>
      </c>
      <c r="C51" s="2" t="s">
        <v>6717</v>
      </c>
      <c r="D51" s="2" t="s">
        <v>5971</v>
      </c>
      <c r="E51" s="2" t="s">
        <v>5972</v>
      </c>
      <c r="F51" s="2" t="s">
        <v>5973</v>
      </c>
      <c r="G51" s="2" t="s">
        <v>20</v>
      </c>
      <c r="H51" s="2" t="s">
        <v>6718</v>
      </c>
      <c r="I51" s="2" t="s">
        <v>6456</v>
      </c>
      <c r="J51" s="2" t="n">
        <v>3</v>
      </c>
    </row>
    <row r="52" customFormat="false" ht="105.95" hidden="false" customHeight="false" outlineLevel="0" collapsed="false">
      <c r="A52" s="2" t="s">
        <v>6719</v>
      </c>
      <c r="B52" s="2" t="s">
        <v>8068</v>
      </c>
      <c r="C52" s="2" t="s">
        <v>6720</v>
      </c>
      <c r="D52" s="2" t="s">
        <v>6721</v>
      </c>
      <c r="E52" s="2" t="s">
        <v>6722</v>
      </c>
      <c r="F52" s="2" t="s">
        <v>6723</v>
      </c>
      <c r="G52" s="2" t="s">
        <v>20</v>
      </c>
      <c r="H52" s="2" t="s">
        <v>6724</v>
      </c>
      <c r="I52" s="2" t="s">
        <v>6456</v>
      </c>
      <c r="J52" s="2" t="n">
        <v>2</v>
      </c>
    </row>
    <row r="53" customFormat="false" ht="46.25" hidden="false" customHeight="false" outlineLevel="0" collapsed="false">
      <c r="A53" s="2" t="s">
        <v>6725</v>
      </c>
      <c r="B53" s="2" t="s">
        <v>8069</v>
      </c>
      <c r="C53" s="2" t="s">
        <v>6726</v>
      </c>
      <c r="D53" s="2" t="s">
        <v>6727</v>
      </c>
      <c r="E53" s="2" t="s">
        <v>6728</v>
      </c>
      <c r="F53" s="2" t="s">
        <v>6729</v>
      </c>
      <c r="G53" s="2" t="s">
        <v>20</v>
      </c>
      <c r="H53" s="2" t="s">
        <v>6730</v>
      </c>
      <c r="I53" s="2" t="s">
        <v>6456</v>
      </c>
      <c r="J53" s="2" t="n">
        <v>2</v>
      </c>
    </row>
    <row r="54" customFormat="false" ht="76.1" hidden="false" customHeight="false" outlineLevel="0" collapsed="false">
      <c r="A54" s="2" t="s">
        <v>6731</v>
      </c>
      <c r="B54" s="2" t="s">
        <v>8068</v>
      </c>
      <c r="C54" s="2" t="s">
        <v>6732</v>
      </c>
      <c r="D54" s="2" t="s">
        <v>6733</v>
      </c>
      <c r="E54" s="2" t="s">
        <v>6734</v>
      </c>
      <c r="F54" s="2" t="s">
        <v>6735</v>
      </c>
      <c r="G54" s="2" t="s">
        <v>28</v>
      </c>
      <c r="H54" s="2" t="s">
        <v>6736</v>
      </c>
      <c r="I54" s="2" t="s">
        <v>6456</v>
      </c>
      <c r="J54" s="2" t="n">
        <v>2</v>
      </c>
    </row>
    <row r="55" customFormat="false" ht="76.1" hidden="false" customHeight="false" outlineLevel="0" collapsed="false">
      <c r="A55" s="2" t="s">
        <v>6737</v>
      </c>
      <c r="B55" s="2" t="s">
        <v>8069</v>
      </c>
      <c r="C55" s="2" t="s">
        <v>6738</v>
      </c>
      <c r="D55" s="2" t="s">
        <v>6739</v>
      </c>
      <c r="E55" s="2" t="s">
        <v>6740</v>
      </c>
      <c r="F55" s="2" t="s">
        <v>6741</v>
      </c>
      <c r="G55" s="2" t="s">
        <v>20</v>
      </c>
      <c r="H55" s="2" t="s">
        <v>6742</v>
      </c>
      <c r="I55" s="2" t="s">
        <v>6456</v>
      </c>
      <c r="J55" s="2" t="n">
        <v>3</v>
      </c>
    </row>
    <row r="56" customFormat="false" ht="61.15" hidden="false" customHeight="false" outlineLevel="0" collapsed="false">
      <c r="A56" s="2" t="s">
        <v>6743</v>
      </c>
      <c r="B56" s="2" t="s">
        <v>8068</v>
      </c>
      <c r="C56" s="2" t="s">
        <v>6744</v>
      </c>
      <c r="D56" s="2" t="s">
        <v>6745</v>
      </c>
      <c r="E56" s="2" t="s">
        <v>4596</v>
      </c>
      <c r="F56" s="2" t="s">
        <v>5085</v>
      </c>
      <c r="G56" s="2" t="s">
        <v>20</v>
      </c>
      <c r="H56" s="2" t="s">
        <v>6746</v>
      </c>
      <c r="I56" s="2" t="s">
        <v>6456</v>
      </c>
      <c r="J56" s="2" t="n">
        <v>2</v>
      </c>
    </row>
    <row r="57" customFormat="false" ht="105.95" hidden="false" customHeight="false" outlineLevel="0" collapsed="false">
      <c r="A57" s="2" t="s">
        <v>6747</v>
      </c>
      <c r="B57" s="2" t="s">
        <v>8068</v>
      </c>
      <c r="C57" s="2" t="s">
        <v>6748</v>
      </c>
      <c r="D57" s="2" t="s">
        <v>6283</v>
      </c>
      <c r="E57" s="2" t="s">
        <v>6749</v>
      </c>
      <c r="F57" s="2" t="s">
        <v>6750</v>
      </c>
      <c r="G57" s="2" t="s">
        <v>20</v>
      </c>
      <c r="H57" s="2" t="s">
        <v>6751</v>
      </c>
      <c r="I57" s="2" t="s">
        <v>6456</v>
      </c>
      <c r="J57" s="2" t="n">
        <v>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customHeight="false"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45"/>
    <col collapsed="false" customWidth="true" hidden="false" outlineLevel="0" max="6" min="4" style="0" width="32"/>
    <col collapsed="false" customWidth="true" hidden="false" outlineLevel="0" max="7" min="7" style="0" width="9"/>
    <col collapsed="false" customWidth="true" hidden="false" outlineLevel="0" max="8" min="8" style="0" width="42"/>
    <col collapsed="false" customWidth="true" hidden="false" outlineLevel="0" max="9" min="9" style="0" width="20"/>
    <col collapsed="false" customWidth="true" hidden="false" outlineLevel="0" max="10" min="10" style="0" width="10"/>
  </cols>
  <sheetData>
    <row r="1" customFormat="false" ht="16.4" hidden="false" customHeight="false" outlineLevel="0" collapsed="false">
      <c r="A1" s="1" t="s">
        <v>0</v>
      </c>
      <c r="B1" s="1" t="s">
        <v>8067</v>
      </c>
      <c r="C1" s="1" t="s">
        <v>3</v>
      </c>
      <c r="D1" s="1" t="s">
        <v>4</v>
      </c>
      <c r="E1" s="1" t="s">
        <v>5</v>
      </c>
      <c r="F1" s="1" t="s">
        <v>6</v>
      </c>
      <c r="G1" s="1" t="s">
        <v>7</v>
      </c>
      <c r="H1" s="1" t="s">
        <v>8</v>
      </c>
      <c r="I1" s="1" t="s">
        <v>9</v>
      </c>
      <c r="J1" s="1" t="s">
        <v>11</v>
      </c>
    </row>
    <row r="2" customFormat="false" ht="76.1" hidden="false" customHeight="false" outlineLevel="0" collapsed="false">
      <c r="A2" s="2" t="s">
        <v>6752</v>
      </c>
      <c r="B2" s="2" t="s">
        <v>8068</v>
      </c>
      <c r="C2" s="2" t="s">
        <v>6754</v>
      </c>
      <c r="D2" s="2" t="s">
        <v>6755</v>
      </c>
      <c r="E2" s="2" t="s">
        <v>6756</v>
      </c>
      <c r="F2" s="2" t="s">
        <v>6757</v>
      </c>
      <c r="G2" s="2" t="s">
        <v>20</v>
      </c>
      <c r="H2" s="2" t="s">
        <v>6758</v>
      </c>
      <c r="I2" s="2" t="s">
        <v>6759</v>
      </c>
      <c r="J2" s="2" t="n">
        <v>3</v>
      </c>
    </row>
    <row r="3" customFormat="false" ht="46.25" hidden="false" customHeight="false" outlineLevel="0" collapsed="false">
      <c r="A3" s="2" t="s">
        <v>6760</v>
      </c>
      <c r="B3" s="2" t="s">
        <v>8068</v>
      </c>
      <c r="C3" s="2" t="s">
        <v>6761</v>
      </c>
      <c r="D3" s="2" t="s">
        <v>6762</v>
      </c>
      <c r="E3" s="2" t="s">
        <v>6763</v>
      </c>
      <c r="F3" s="2" t="s">
        <v>6764</v>
      </c>
      <c r="G3" s="2" t="s">
        <v>226</v>
      </c>
      <c r="H3" s="2" t="s">
        <v>6765</v>
      </c>
      <c r="I3" s="2" t="s">
        <v>6753</v>
      </c>
      <c r="J3" s="2" t="n">
        <v>1</v>
      </c>
    </row>
    <row r="4" customFormat="false" ht="76.1" hidden="false" customHeight="false" outlineLevel="0" collapsed="false">
      <c r="A4" s="2" t="s">
        <v>6766</v>
      </c>
      <c r="B4" s="2" t="s">
        <v>8068</v>
      </c>
      <c r="C4" s="2" t="s">
        <v>6767</v>
      </c>
      <c r="D4" s="2" t="s">
        <v>6768</v>
      </c>
      <c r="E4" s="2" t="s">
        <v>6769</v>
      </c>
      <c r="F4" s="2" t="s">
        <v>6770</v>
      </c>
      <c r="G4" s="2" t="s">
        <v>20</v>
      </c>
      <c r="H4" s="2" t="s">
        <v>6771</v>
      </c>
      <c r="I4" s="2" t="s">
        <v>6772</v>
      </c>
      <c r="J4" s="2" t="n">
        <v>3</v>
      </c>
    </row>
    <row r="5" customFormat="false" ht="61.15" hidden="false" customHeight="false" outlineLevel="0" collapsed="false">
      <c r="A5" s="2" t="s">
        <v>6773</v>
      </c>
      <c r="B5" s="2" t="s">
        <v>8069</v>
      </c>
      <c r="C5" s="2" t="s">
        <v>6774</v>
      </c>
      <c r="D5" s="2" t="s">
        <v>6775</v>
      </c>
      <c r="E5" s="2" t="s">
        <v>6776</v>
      </c>
      <c r="F5" s="2" t="s">
        <v>6777</v>
      </c>
      <c r="G5" s="2" t="s">
        <v>226</v>
      </c>
      <c r="H5" s="2" t="s">
        <v>6778</v>
      </c>
      <c r="I5" s="2" t="s">
        <v>6779</v>
      </c>
      <c r="J5" s="2" t="n">
        <v>1</v>
      </c>
    </row>
    <row r="6" customFormat="false" ht="46.25" hidden="false" customHeight="false" outlineLevel="0" collapsed="false">
      <c r="A6" s="2" t="s">
        <v>6780</v>
      </c>
      <c r="B6" s="2" t="s">
        <v>8068</v>
      </c>
      <c r="C6" s="2" t="s">
        <v>6781</v>
      </c>
      <c r="D6" s="2" t="s">
        <v>6782</v>
      </c>
      <c r="E6" s="2" t="s">
        <v>6783</v>
      </c>
      <c r="F6" s="2" t="s">
        <v>6784</v>
      </c>
      <c r="G6" s="2" t="s">
        <v>20</v>
      </c>
      <c r="H6" s="2" t="s">
        <v>6785</v>
      </c>
      <c r="I6" s="2" t="s">
        <v>6779</v>
      </c>
      <c r="J6" s="2" t="n">
        <v>2</v>
      </c>
    </row>
    <row r="7" customFormat="false" ht="91" hidden="false" customHeight="false" outlineLevel="0" collapsed="false">
      <c r="A7" s="2" t="s">
        <v>6786</v>
      </c>
      <c r="B7" s="2" t="s">
        <v>8068</v>
      </c>
      <c r="C7" s="2" t="s">
        <v>6787</v>
      </c>
      <c r="D7" s="2" t="s">
        <v>6788</v>
      </c>
      <c r="E7" s="2" t="s">
        <v>6789</v>
      </c>
      <c r="F7" s="2" t="s">
        <v>6790</v>
      </c>
      <c r="G7" s="2" t="s">
        <v>20</v>
      </c>
      <c r="H7" s="2" t="s">
        <v>6791</v>
      </c>
      <c r="I7" s="2" t="s">
        <v>6779</v>
      </c>
      <c r="J7" s="2" t="n">
        <v>3</v>
      </c>
    </row>
    <row r="8" customFormat="false" ht="91" hidden="false" customHeight="false" outlineLevel="0" collapsed="false">
      <c r="A8" s="2" t="s">
        <v>6792</v>
      </c>
      <c r="B8" s="2" t="s">
        <v>8068</v>
      </c>
      <c r="C8" s="2" t="s">
        <v>6793</v>
      </c>
      <c r="D8" s="2" t="s">
        <v>6794</v>
      </c>
      <c r="E8" s="2" t="s">
        <v>6795</v>
      </c>
      <c r="F8" s="2" t="s">
        <v>6796</v>
      </c>
      <c r="G8" s="2" t="s">
        <v>20</v>
      </c>
      <c r="H8" s="2" t="s">
        <v>6797</v>
      </c>
      <c r="I8" s="2" t="s">
        <v>6779</v>
      </c>
      <c r="J8" s="2" t="n">
        <v>3</v>
      </c>
    </row>
    <row r="9" customFormat="false" ht="46.25" hidden="false" customHeight="false" outlineLevel="0" collapsed="false">
      <c r="A9" s="2" t="s">
        <v>6798</v>
      </c>
      <c r="B9" s="2" t="s">
        <v>8069</v>
      </c>
      <c r="C9" s="2" t="s">
        <v>6799</v>
      </c>
      <c r="D9" s="2" t="s">
        <v>6800</v>
      </c>
      <c r="E9" s="2" t="s">
        <v>6801</v>
      </c>
      <c r="F9" s="2" t="s">
        <v>6802</v>
      </c>
      <c r="G9" s="2" t="s">
        <v>20</v>
      </c>
      <c r="H9" s="2" t="s">
        <v>6803</v>
      </c>
      <c r="I9" s="2" t="s">
        <v>6804</v>
      </c>
      <c r="J9" s="2" t="n">
        <v>1</v>
      </c>
    </row>
    <row r="10" customFormat="false" ht="61.15" hidden="false" customHeight="false" outlineLevel="0" collapsed="false">
      <c r="A10" s="2" t="s">
        <v>6805</v>
      </c>
      <c r="B10" s="2" t="s">
        <v>8068</v>
      </c>
      <c r="C10" s="2" t="s">
        <v>6806</v>
      </c>
      <c r="D10" s="2" t="s">
        <v>6807</v>
      </c>
      <c r="E10" s="2" t="s">
        <v>6808</v>
      </c>
      <c r="F10" s="2" t="s">
        <v>6809</v>
      </c>
      <c r="G10" s="2" t="s">
        <v>20</v>
      </c>
      <c r="H10" s="2" t="s">
        <v>6810</v>
      </c>
      <c r="I10" s="2" t="s">
        <v>6772</v>
      </c>
      <c r="J10" s="2" t="n">
        <v>3</v>
      </c>
    </row>
    <row r="11" customFormat="false" ht="46.25" hidden="false" customHeight="false" outlineLevel="0" collapsed="false">
      <c r="A11" s="2" t="s">
        <v>6811</v>
      </c>
      <c r="B11" s="2" t="s">
        <v>8068</v>
      </c>
      <c r="C11" s="2" t="s">
        <v>6812</v>
      </c>
      <c r="D11" s="2" t="s">
        <v>4170</v>
      </c>
      <c r="E11" s="2" t="s">
        <v>6813</v>
      </c>
      <c r="F11" s="2" t="s">
        <v>6814</v>
      </c>
      <c r="G11" s="2" t="s">
        <v>20</v>
      </c>
      <c r="H11" s="2" t="s">
        <v>6815</v>
      </c>
      <c r="I11" s="2" t="s">
        <v>6804</v>
      </c>
      <c r="J11" s="2" t="n">
        <v>2</v>
      </c>
    </row>
    <row r="12" customFormat="false" ht="61.15" hidden="false" customHeight="false" outlineLevel="0" collapsed="false">
      <c r="A12" s="2" t="s">
        <v>6816</v>
      </c>
      <c r="B12" s="2" t="s">
        <v>8069</v>
      </c>
      <c r="C12" s="2" t="s">
        <v>6817</v>
      </c>
      <c r="D12" s="2" t="s">
        <v>6226</v>
      </c>
      <c r="E12" s="2" t="s">
        <v>6314</v>
      </c>
      <c r="F12" s="2" t="s">
        <v>6315</v>
      </c>
      <c r="G12" s="2" t="s">
        <v>226</v>
      </c>
      <c r="H12" s="2" t="s">
        <v>6818</v>
      </c>
      <c r="I12" s="2" t="s">
        <v>6804</v>
      </c>
      <c r="J12" s="2" t="n">
        <v>1</v>
      </c>
    </row>
    <row r="13" customFormat="false" ht="46.25" hidden="false" customHeight="false" outlineLevel="0" collapsed="false">
      <c r="A13" s="2" t="s">
        <v>6819</v>
      </c>
      <c r="B13" s="2" t="s">
        <v>8068</v>
      </c>
      <c r="C13" s="2" t="s">
        <v>6820</v>
      </c>
      <c r="D13" s="2" t="s">
        <v>6821</v>
      </c>
      <c r="E13" s="2" t="s">
        <v>6822</v>
      </c>
      <c r="F13" s="2" t="s">
        <v>6329</v>
      </c>
      <c r="G13" s="2" t="s">
        <v>20</v>
      </c>
      <c r="H13" s="2" t="s">
        <v>6823</v>
      </c>
      <c r="I13" s="2" t="s">
        <v>6804</v>
      </c>
      <c r="J13" s="2" t="n">
        <v>2</v>
      </c>
    </row>
    <row r="14" customFormat="false" ht="31.3" hidden="false" customHeight="false" outlineLevel="0" collapsed="false">
      <c r="A14" s="2" t="s">
        <v>6824</v>
      </c>
      <c r="B14" s="2" t="s">
        <v>8068</v>
      </c>
      <c r="C14" s="2" t="s">
        <v>6825</v>
      </c>
      <c r="D14" s="2" t="s">
        <v>6826</v>
      </c>
      <c r="E14" s="2" t="s">
        <v>6827</v>
      </c>
      <c r="F14" s="2" t="s">
        <v>6828</v>
      </c>
      <c r="G14" s="2" t="s">
        <v>226</v>
      </c>
      <c r="H14" s="2" t="s">
        <v>6829</v>
      </c>
      <c r="I14" s="2" t="s">
        <v>6804</v>
      </c>
      <c r="J14" s="2" t="n">
        <v>1</v>
      </c>
    </row>
    <row r="15" customFormat="false" ht="76.1" hidden="false" customHeight="false" outlineLevel="0" collapsed="false">
      <c r="A15" s="2" t="s">
        <v>6830</v>
      </c>
      <c r="B15" s="2" t="s">
        <v>8068</v>
      </c>
      <c r="C15" s="2" t="s">
        <v>6831</v>
      </c>
      <c r="D15" s="2" t="s">
        <v>4156</v>
      </c>
      <c r="E15" s="2" t="s">
        <v>6832</v>
      </c>
      <c r="F15" s="2" t="s">
        <v>6833</v>
      </c>
      <c r="G15" s="2" t="s">
        <v>20</v>
      </c>
      <c r="H15" s="2" t="s">
        <v>6834</v>
      </c>
      <c r="I15" s="2" t="s">
        <v>6804</v>
      </c>
      <c r="J15" s="2" t="n">
        <v>3</v>
      </c>
    </row>
    <row r="16" customFormat="false" ht="105.95" hidden="false" customHeight="false" outlineLevel="0" collapsed="false">
      <c r="A16" s="2" t="s">
        <v>6835</v>
      </c>
      <c r="B16" s="2" t="s">
        <v>8068</v>
      </c>
      <c r="C16" s="2" t="s">
        <v>6836</v>
      </c>
      <c r="D16" s="2" t="s">
        <v>6837</v>
      </c>
      <c r="E16" s="2" t="s">
        <v>6838</v>
      </c>
      <c r="F16" s="2" t="s">
        <v>6839</v>
      </c>
      <c r="G16" s="2" t="s">
        <v>20</v>
      </c>
      <c r="H16" s="2" t="s">
        <v>6840</v>
      </c>
      <c r="I16" s="2" t="s">
        <v>6841</v>
      </c>
      <c r="J16" s="2" t="n">
        <v>2</v>
      </c>
    </row>
    <row r="17" customFormat="false" ht="91" hidden="false" customHeight="false" outlineLevel="0" collapsed="false">
      <c r="A17" s="2" t="s">
        <v>6842</v>
      </c>
      <c r="B17" s="2" t="s">
        <v>8068</v>
      </c>
      <c r="C17" s="2" t="s">
        <v>6843</v>
      </c>
      <c r="D17" s="2" t="s">
        <v>6844</v>
      </c>
      <c r="E17" s="2" t="s">
        <v>6845</v>
      </c>
      <c r="F17" s="2" t="s">
        <v>6846</v>
      </c>
      <c r="G17" s="2" t="s">
        <v>20</v>
      </c>
      <c r="H17" s="2" t="s">
        <v>6847</v>
      </c>
      <c r="I17" s="2" t="s">
        <v>6841</v>
      </c>
      <c r="J17" s="2" t="n">
        <v>3</v>
      </c>
    </row>
    <row r="18" customFormat="false" ht="91" hidden="false" customHeight="false" outlineLevel="0" collapsed="false">
      <c r="A18" s="2" t="s">
        <v>6848</v>
      </c>
      <c r="B18" s="2" t="s">
        <v>8068</v>
      </c>
      <c r="C18" s="2" t="s">
        <v>6849</v>
      </c>
      <c r="D18" s="2" t="s">
        <v>6850</v>
      </c>
      <c r="E18" s="2" t="s">
        <v>6832</v>
      </c>
      <c r="F18" s="2" t="s">
        <v>6851</v>
      </c>
      <c r="G18" s="2" t="s">
        <v>20</v>
      </c>
      <c r="H18" s="2" t="s">
        <v>6852</v>
      </c>
      <c r="I18" s="2" t="s">
        <v>6841</v>
      </c>
      <c r="J18" s="2" t="n">
        <v>3</v>
      </c>
    </row>
    <row r="19" customFormat="false" ht="61.15" hidden="false" customHeight="false" outlineLevel="0" collapsed="false">
      <c r="A19" s="2" t="s">
        <v>6853</v>
      </c>
      <c r="B19" s="2" t="s">
        <v>8068</v>
      </c>
      <c r="C19" s="2" t="s">
        <v>6854</v>
      </c>
      <c r="D19" s="2" t="s">
        <v>6855</v>
      </c>
      <c r="E19" s="2" t="s">
        <v>6856</v>
      </c>
      <c r="F19" s="2" t="s">
        <v>6857</v>
      </c>
      <c r="G19" s="2" t="s">
        <v>20</v>
      </c>
      <c r="H19" s="2" t="s">
        <v>6858</v>
      </c>
      <c r="I19" s="2" t="s">
        <v>6841</v>
      </c>
      <c r="J19" s="2" t="n">
        <v>2</v>
      </c>
    </row>
    <row r="20" customFormat="false" ht="61.15" hidden="false" customHeight="false" outlineLevel="0" collapsed="false">
      <c r="A20" s="2" t="s">
        <v>6859</v>
      </c>
      <c r="B20" s="2" t="s">
        <v>8068</v>
      </c>
      <c r="C20" s="2" t="s">
        <v>6860</v>
      </c>
      <c r="D20" s="2" t="s">
        <v>6861</v>
      </c>
      <c r="E20" s="2" t="s">
        <v>6862</v>
      </c>
      <c r="F20" s="2" t="s">
        <v>6863</v>
      </c>
      <c r="G20" s="2" t="s">
        <v>226</v>
      </c>
      <c r="H20" s="2" t="s">
        <v>6864</v>
      </c>
      <c r="I20" s="2" t="s">
        <v>6841</v>
      </c>
      <c r="J20" s="2" t="n">
        <v>3</v>
      </c>
    </row>
    <row r="21" customFormat="false" ht="61.15" hidden="false" customHeight="false" outlineLevel="0" collapsed="false">
      <c r="A21" s="2" t="s">
        <v>6865</v>
      </c>
      <c r="B21" s="2" t="s">
        <v>8068</v>
      </c>
      <c r="C21" s="2" t="s">
        <v>6866</v>
      </c>
      <c r="D21" s="2" t="s">
        <v>6867</v>
      </c>
      <c r="E21" s="2" t="s">
        <v>6868</v>
      </c>
      <c r="F21" s="2" t="s">
        <v>6869</v>
      </c>
      <c r="G21" s="2" t="s">
        <v>28</v>
      </c>
      <c r="H21" s="2" t="s">
        <v>6870</v>
      </c>
      <c r="I21" s="2" t="s">
        <v>6841</v>
      </c>
      <c r="J21" s="2" t="n">
        <v>2</v>
      </c>
    </row>
    <row r="22" customFormat="false" ht="46.25" hidden="false" customHeight="false" outlineLevel="0" collapsed="false">
      <c r="A22" s="2" t="s">
        <v>6871</v>
      </c>
      <c r="B22" s="2" t="s">
        <v>8068</v>
      </c>
      <c r="C22" s="2" t="s">
        <v>6872</v>
      </c>
      <c r="D22" s="2" t="s">
        <v>4170</v>
      </c>
      <c r="E22" s="2" t="s">
        <v>6814</v>
      </c>
      <c r="F22" s="2" t="s">
        <v>4172</v>
      </c>
      <c r="G22" s="2" t="s">
        <v>226</v>
      </c>
      <c r="H22" s="2" t="s">
        <v>6873</v>
      </c>
      <c r="I22" s="2" t="s">
        <v>6841</v>
      </c>
      <c r="J22" s="2" t="n">
        <v>3</v>
      </c>
    </row>
    <row r="23" customFormat="false" ht="76.1" hidden="false" customHeight="false" outlineLevel="0" collapsed="false">
      <c r="A23" s="2" t="s">
        <v>6874</v>
      </c>
      <c r="B23" s="2" t="s">
        <v>8068</v>
      </c>
      <c r="C23" s="2" t="s">
        <v>6875</v>
      </c>
      <c r="D23" s="2" t="s">
        <v>6876</v>
      </c>
      <c r="E23" s="2" t="s">
        <v>6868</v>
      </c>
      <c r="F23" s="2" t="s">
        <v>6193</v>
      </c>
      <c r="G23" s="2" t="s">
        <v>28</v>
      </c>
      <c r="H23" s="2" t="s">
        <v>6877</v>
      </c>
      <c r="I23" s="2" t="s">
        <v>6878</v>
      </c>
      <c r="J23" s="2" t="n">
        <v>3</v>
      </c>
    </row>
    <row r="24" customFormat="false" ht="46.25" hidden="false" customHeight="false" outlineLevel="0" collapsed="false">
      <c r="A24" s="2" t="s">
        <v>6879</v>
      </c>
      <c r="B24" s="2" t="s">
        <v>8068</v>
      </c>
      <c r="C24" s="2" t="s">
        <v>6880</v>
      </c>
      <c r="D24" s="2" t="s">
        <v>6881</v>
      </c>
      <c r="E24" s="2" t="s">
        <v>6882</v>
      </c>
      <c r="F24" s="2" t="s">
        <v>6883</v>
      </c>
      <c r="G24" s="2" t="s">
        <v>20</v>
      </c>
      <c r="H24" s="2" t="s">
        <v>6884</v>
      </c>
      <c r="I24" s="2" t="s">
        <v>6753</v>
      </c>
      <c r="J24" s="2" t="n">
        <v>1</v>
      </c>
    </row>
    <row r="25" customFormat="false" ht="76.1" hidden="false" customHeight="false" outlineLevel="0" collapsed="false">
      <c r="A25" s="2" t="s">
        <v>6885</v>
      </c>
      <c r="B25" s="2" t="s">
        <v>8068</v>
      </c>
      <c r="C25" s="2" t="s">
        <v>6886</v>
      </c>
      <c r="D25" s="2" t="s">
        <v>6822</v>
      </c>
      <c r="E25" s="2" t="s">
        <v>4156</v>
      </c>
      <c r="F25" s="2" t="s">
        <v>6887</v>
      </c>
      <c r="G25" s="2" t="s">
        <v>20</v>
      </c>
      <c r="H25" s="2" t="s">
        <v>6888</v>
      </c>
      <c r="I25" s="2" t="s">
        <v>6889</v>
      </c>
      <c r="J25" s="2" t="n">
        <v>2</v>
      </c>
    </row>
    <row r="26" customFormat="false" ht="61.15" hidden="false" customHeight="false" outlineLevel="0" collapsed="false">
      <c r="A26" s="2" t="s">
        <v>6890</v>
      </c>
      <c r="B26" s="2" t="s">
        <v>8068</v>
      </c>
      <c r="C26" s="2" t="s">
        <v>6891</v>
      </c>
      <c r="D26" s="2" t="s">
        <v>6892</v>
      </c>
      <c r="E26" s="2" t="s">
        <v>6893</v>
      </c>
      <c r="F26" s="2" t="s">
        <v>6894</v>
      </c>
      <c r="G26" s="2" t="s">
        <v>20</v>
      </c>
      <c r="H26" s="2" t="s">
        <v>6895</v>
      </c>
      <c r="I26" s="2" t="s">
        <v>6753</v>
      </c>
      <c r="J26" s="2" t="n">
        <v>2</v>
      </c>
    </row>
    <row r="27" customFormat="false" ht="76.1" hidden="false" customHeight="false" outlineLevel="0" collapsed="false">
      <c r="A27" s="2" t="s">
        <v>6896</v>
      </c>
      <c r="B27" s="2" t="s">
        <v>8068</v>
      </c>
      <c r="C27" s="2" t="s">
        <v>6897</v>
      </c>
      <c r="D27" s="2" t="s">
        <v>6898</v>
      </c>
      <c r="E27" s="2" t="s">
        <v>6899</v>
      </c>
      <c r="F27" s="2" t="s">
        <v>6900</v>
      </c>
      <c r="G27" s="2" t="s">
        <v>20</v>
      </c>
      <c r="H27" s="2" t="s">
        <v>6901</v>
      </c>
      <c r="I27" s="2" t="s">
        <v>6753</v>
      </c>
      <c r="J27" s="2" t="n">
        <v>2</v>
      </c>
    </row>
    <row r="28" customFormat="false" ht="46.25" hidden="false" customHeight="false" outlineLevel="0" collapsed="false">
      <c r="A28" s="2" t="s">
        <v>6902</v>
      </c>
      <c r="B28" s="2" t="s">
        <v>8068</v>
      </c>
      <c r="C28" s="2" t="s">
        <v>6903</v>
      </c>
      <c r="D28" s="2" t="s">
        <v>6904</v>
      </c>
      <c r="E28" s="2" t="s">
        <v>6905</v>
      </c>
      <c r="F28" s="2" t="s">
        <v>6906</v>
      </c>
      <c r="G28" s="2" t="s">
        <v>20</v>
      </c>
      <c r="H28" s="2" t="s">
        <v>6907</v>
      </c>
      <c r="I28" s="2" t="s">
        <v>6753</v>
      </c>
      <c r="J28" s="2" t="n">
        <v>1</v>
      </c>
    </row>
    <row r="29" customFormat="false" ht="61.15" hidden="false" customHeight="false" outlineLevel="0" collapsed="false">
      <c r="A29" s="2" t="s">
        <v>6908</v>
      </c>
      <c r="B29" s="2" t="s">
        <v>8068</v>
      </c>
      <c r="C29" s="2" t="s">
        <v>6909</v>
      </c>
      <c r="D29" s="2" t="s">
        <v>4170</v>
      </c>
      <c r="E29" s="2" t="s">
        <v>3995</v>
      </c>
      <c r="F29" s="2" t="s">
        <v>3993</v>
      </c>
      <c r="G29" s="2" t="s">
        <v>28</v>
      </c>
      <c r="H29" s="2" t="s">
        <v>6910</v>
      </c>
      <c r="I29" s="2" t="s">
        <v>6753</v>
      </c>
      <c r="J29" s="2" t="n">
        <v>2</v>
      </c>
    </row>
    <row r="30" customFormat="false" ht="46.25" hidden="false" customHeight="false" outlineLevel="0" collapsed="false">
      <c r="A30" s="2" t="s">
        <v>6911</v>
      </c>
      <c r="B30" s="2" t="s">
        <v>8069</v>
      </c>
      <c r="C30" s="2" t="s">
        <v>6912</v>
      </c>
      <c r="D30" s="2" t="s">
        <v>6913</v>
      </c>
      <c r="E30" s="2" t="s">
        <v>6914</v>
      </c>
      <c r="F30" s="2" t="s">
        <v>6915</v>
      </c>
      <c r="G30" s="2" t="s">
        <v>20</v>
      </c>
      <c r="H30" s="2" t="s">
        <v>6916</v>
      </c>
      <c r="I30" s="2" t="s">
        <v>6753</v>
      </c>
      <c r="J30" s="2" t="n">
        <v>1</v>
      </c>
    </row>
    <row r="31" customFormat="false" ht="61.15" hidden="false" customHeight="false" outlineLevel="0" collapsed="false">
      <c r="A31" s="2" t="s">
        <v>6917</v>
      </c>
      <c r="B31" s="2" t="s">
        <v>8068</v>
      </c>
      <c r="C31" s="2" t="s">
        <v>6918</v>
      </c>
      <c r="D31" s="2" t="s">
        <v>6919</v>
      </c>
      <c r="E31" s="2" t="s">
        <v>6920</v>
      </c>
      <c r="F31" s="2" t="s">
        <v>6921</v>
      </c>
      <c r="G31" s="2" t="s">
        <v>20</v>
      </c>
      <c r="H31" s="2" t="s">
        <v>6922</v>
      </c>
      <c r="I31" s="2" t="s">
        <v>6753</v>
      </c>
      <c r="J31" s="2" t="n">
        <v>2</v>
      </c>
    </row>
    <row r="32" customFormat="false" ht="105.95" hidden="false" customHeight="false" outlineLevel="0" collapsed="false">
      <c r="A32" s="2" t="s">
        <v>6923</v>
      </c>
      <c r="B32" s="2" t="s">
        <v>8069</v>
      </c>
      <c r="C32" s="2" t="s">
        <v>6924</v>
      </c>
      <c r="D32" s="2" t="s">
        <v>6925</v>
      </c>
      <c r="E32" s="2" t="s">
        <v>6926</v>
      </c>
      <c r="F32" s="2" t="s">
        <v>6927</v>
      </c>
      <c r="G32" s="2" t="s">
        <v>20</v>
      </c>
      <c r="H32" s="2" t="s">
        <v>6928</v>
      </c>
      <c r="I32" s="2" t="s">
        <v>6753</v>
      </c>
      <c r="J32" s="2" t="n">
        <v>2</v>
      </c>
    </row>
    <row r="33" customFormat="false" ht="46.25" hidden="false" customHeight="false" outlineLevel="0" collapsed="false">
      <c r="A33" s="2" t="s">
        <v>6929</v>
      </c>
      <c r="B33" s="2" t="s">
        <v>8068</v>
      </c>
      <c r="C33" s="2" t="s">
        <v>6930</v>
      </c>
      <c r="D33" s="2" t="s">
        <v>6931</v>
      </c>
      <c r="E33" s="2" t="s">
        <v>6932</v>
      </c>
      <c r="F33" s="2" t="s">
        <v>6933</v>
      </c>
      <c r="G33" s="2" t="s">
        <v>20</v>
      </c>
      <c r="H33" s="2" t="s">
        <v>6934</v>
      </c>
      <c r="I33" s="2" t="s">
        <v>6753</v>
      </c>
      <c r="J33" s="2" t="n">
        <v>2</v>
      </c>
    </row>
    <row r="34" customFormat="false" ht="91" hidden="false" customHeight="false" outlineLevel="0" collapsed="false">
      <c r="A34" s="2" t="s">
        <v>6935</v>
      </c>
      <c r="B34" s="2" t="s">
        <v>8068</v>
      </c>
      <c r="C34" s="2" t="s">
        <v>6936</v>
      </c>
      <c r="D34" s="2" t="s">
        <v>6937</v>
      </c>
      <c r="E34" s="2" t="s">
        <v>6938</v>
      </c>
      <c r="F34" s="2" t="s">
        <v>4305</v>
      </c>
      <c r="G34" s="2" t="s">
        <v>20</v>
      </c>
      <c r="H34" s="2" t="s">
        <v>6939</v>
      </c>
      <c r="I34" s="2" t="s">
        <v>3014</v>
      </c>
      <c r="J34" s="2" t="n">
        <v>3</v>
      </c>
    </row>
    <row r="35" customFormat="false" ht="61.15" hidden="false" customHeight="false" outlineLevel="0" collapsed="false">
      <c r="A35" s="2" t="s">
        <v>6940</v>
      </c>
      <c r="B35" s="2" t="s">
        <v>8068</v>
      </c>
      <c r="C35" s="2" t="s">
        <v>6941</v>
      </c>
      <c r="D35" s="2" t="s">
        <v>2940</v>
      </c>
      <c r="E35" s="2" t="s">
        <v>6942</v>
      </c>
      <c r="F35" s="2" t="s">
        <v>6943</v>
      </c>
      <c r="G35" s="2" t="s">
        <v>20</v>
      </c>
      <c r="H35" s="2" t="s">
        <v>6944</v>
      </c>
      <c r="I35" s="2" t="s">
        <v>6753</v>
      </c>
      <c r="J35" s="2" t="n">
        <v>2</v>
      </c>
    </row>
    <row r="36" customFormat="false" ht="61.15" hidden="false" customHeight="false" outlineLevel="0" collapsed="false">
      <c r="A36" s="2" t="s">
        <v>6945</v>
      </c>
      <c r="B36" s="2" t="s">
        <v>8069</v>
      </c>
      <c r="C36" s="2" t="s">
        <v>6946</v>
      </c>
      <c r="D36" s="2" t="s">
        <v>6947</v>
      </c>
      <c r="E36" s="2" t="s">
        <v>6948</v>
      </c>
      <c r="F36" s="2" t="s">
        <v>6949</v>
      </c>
      <c r="G36" s="2" t="s">
        <v>20</v>
      </c>
      <c r="H36" s="2" t="s">
        <v>6950</v>
      </c>
      <c r="I36" s="2" t="s">
        <v>6753</v>
      </c>
      <c r="J36" s="2" t="n">
        <v>2</v>
      </c>
    </row>
    <row r="37" customFormat="false" ht="46.25" hidden="false" customHeight="false" outlineLevel="0" collapsed="false">
      <c r="A37" s="2" t="s">
        <v>6951</v>
      </c>
      <c r="B37" s="2" t="s">
        <v>8068</v>
      </c>
      <c r="C37" s="2" t="s">
        <v>6952</v>
      </c>
      <c r="D37" s="2" t="s">
        <v>6814</v>
      </c>
      <c r="E37" s="2" t="s">
        <v>6953</v>
      </c>
      <c r="F37" s="2" t="s">
        <v>4170</v>
      </c>
      <c r="G37" s="2" t="s">
        <v>20</v>
      </c>
      <c r="H37" s="2" t="s">
        <v>6954</v>
      </c>
      <c r="I37" s="2" t="s">
        <v>6753</v>
      </c>
      <c r="J37" s="2" t="n">
        <v>2</v>
      </c>
    </row>
    <row r="38" customFormat="false" ht="61.15" hidden="false" customHeight="false" outlineLevel="0" collapsed="false">
      <c r="A38" s="2" t="s">
        <v>6955</v>
      </c>
      <c r="B38" s="2" t="s">
        <v>8068</v>
      </c>
      <c r="C38" s="2" t="s">
        <v>6956</v>
      </c>
      <c r="D38" s="2" t="s">
        <v>6957</v>
      </c>
      <c r="E38" s="2" t="s">
        <v>6958</v>
      </c>
      <c r="F38" s="2" t="s">
        <v>6959</v>
      </c>
      <c r="G38" s="2" t="s">
        <v>20</v>
      </c>
      <c r="H38" s="2" t="s">
        <v>6960</v>
      </c>
      <c r="I38" s="2" t="s">
        <v>6753</v>
      </c>
      <c r="J38" s="2" t="n">
        <v>2</v>
      </c>
    </row>
    <row r="39" customFormat="false" ht="120.85" hidden="false" customHeight="false" outlineLevel="0" collapsed="false">
      <c r="A39" s="2" t="s">
        <v>6961</v>
      </c>
      <c r="B39" s="2" t="s">
        <v>8068</v>
      </c>
      <c r="C39" s="2" t="s">
        <v>6962</v>
      </c>
      <c r="D39" s="2" t="s">
        <v>6963</v>
      </c>
      <c r="E39" s="2" t="s">
        <v>6964</v>
      </c>
      <c r="F39" s="2" t="s">
        <v>6965</v>
      </c>
      <c r="G39" s="2" t="s">
        <v>20</v>
      </c>
      <c r="H39" s="2" t="s">
        <v>6966</v>
      </c>
      <c r="I39" s="2" t="s">
        <v>6753</v>
      </c>
      <c r="J39" s="2" t="n">
        <v>3</v>
      </c>
    </row>
    <row r="40" customFormat="false" ht="46.25" hidden="false" customHeight="false" outlineLevel="0" collapsed="false">
      <c r="A40" s="2" t="s">
        <v>6967</v>
      </c>
      <c r="B40" s="2" t="s">
        <v>8068</v>
      </c>
      <c r="C40" s="2" t="s">
        <v>6968</v>
      </c>
      <c r="D40" s="2" t="s">
        <v>4170</v>
      </c>
      <c r="E40" s="2" t="s">
        <v>4868</v>
      </c>
      <c r="F40" s="2" t="s">
        <v>6969</v>
      </c>
      <c r="G40" s="2" t="s">
        <v>20</v>
      </c>
      <c r="H40" s="2" t="s">
        <v>6970</v>
      </c>
      <c r="I40" s="2" t="s">
        <v>6753</v>
      </c>
      <c r="J40" s="2" t="n">
        <v>3</v>
      </c>
    </row>
    <row r="41" customFormat="false" ht="76.1" hidden="false" customHeight="false" outlineLevel="0" collapsed="false">
      <c r="A41" s="2" t="s">
        <v>6971</v>
      </c>
      <c r="B41" s="2" t="s">
        <v>8068</v>
      </c>
      <c r="C41" s="2" t="s">
        <v>6972</v>
      </c>
      <c r="D41" s="2" t="s">
        <v>2940</v>
      </c>
      <c r="E41" s="2" t="s">
        <v>6973</v>
      </c>
      <c r="F41" s="2" t="s">
        <v>6974</v>
      </c>
      <c r="G41" s="2" t="s">
        <v>20</v>
      </c>
      <c r="H41" s="2" t="s">
        <v>6975</v>
      </c>
      <c r="I41" s="2" t="s">
        <v>6753</v>
      </c>
      <c r="J41" s="2" t="n">
        <v>3</v>
      </c>
    </row>
    <row r="42" customFormat="false" ht="76.1" hidden="false" customHeight="false" outlineLevel="0" collapsed="false">
      <c r="A42" s="2" t="s">
        <v>6976</v>
      </c>
      <c r="B42" s="2" t="s">
        <v>8068</v>
      </c>
      <c r="C42" s="2" t="s">
        <v>6977</v>
      </c>
      <c r="D42" s="2" t="s">
        <v>6193</v>
      </c>
      <c r="E42" s="2" t="s">
        <v>6978</v>
      </c>
      <c r="F42" s="2" t="s">
        <v>6979</v>
      </c>
      <c r="G42" s="2" t="s">
        <v>20</v>
      </c>
      <c r="H42" s="2" t="s">
        <v>6980</v>
      </c>
      <c r="I42" s="2" t="s">
        <v>6753</v>
      </c>
      <c r="J42" s="2" t="n">
        <v>3</v>
      </c>
    </row>
    <row r="43" customFormat="false" ht="105.95" hidden="false" customHeight="false" outlineLevel="0" collapsed="false">
      <c r="A43" s="2" t="s">
        <v>6981</v>
      </c>
      <c r="B43" s="2" t="s">
        <v>8068</v>
      </c>
      <c r="C43" s="2" t="s">
        <v>6982</v>
      </c>
      <c r="D43" s="2" t="s">
        <v>6983</v>
      </c>
      <c r="E43" s="2" t="s">
        <v>6984</v>
      </c>
      <c r="F43" s="2" t="s">
        <v>6985</v>
      </c>
      <c r="G43" s="2" t="s">
        <v>20</v>
      </c>
      <c r="H43" s="2" t="s">
        <v>6986</v>
      </c>
      <c r="I43" s="2" t="s">
        <v>6753</v>
      </c>
      <c r="J43" s="2" t="n">
        <v>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customHeight="false"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45"/>
    <col collapsed="false" customWidth="true" hidden="false" outlineLevel="0" max="6" min="4" style="0" width="32"/>
    <col collapsed="false" customWidth="true" hidden="false" outlineLevel="0" max="7" min="7" style="0" width="9"/>
    <col collapsed="false" customWidth="true" hidden="false" outlineLevel="0" max="8" min="8" style="0" width="42"/>
    <col collapsed="false" customWidth="true" hidden="false" outlineLevel="0" max="9" min="9" style="0" width="20"/>
    <col collapsed="false" customWidth="true" hidden="false" outlineLevel="0" max="10" min="10" style="0" width="10"/>
  </cols>
  <sheetData>
    <row r="1" customFormat="false" ht="16.4" hidden="false" customHeight="false" outlineLevel="0" collapsed="false">
      <c r="A1" s="1" t="s">
        <v>0</v>
      </c>
      <c r="B1" s="1" t="s">
        <v>8067</v>
      </c>
      <c r="C1" s="1" t="s">
        <v>3</v>
      </c>
      <c r="D1" s="1" t="s">
        <v>4</v>
      </c>
      <c r="E1" s="1" t="s">
        <v>5</v>
      </c>
      <c r="F1" s="1" t="s">
        <v>6</v>
      </c>
      <c r="G1" s="1" t="s">
        <v>7</v>
      </c>
      <c r="H1" s="1" t="s">
        <v>8</v>
      </c>
      <c r="I1" s="1" t="s">
        <v>9</v>
      </c>
      <c r="J1" s="1" t="s">
        <v>11</v>
      </c>
    </row>
    <row r="2" customFormat="false" ht="76.1" hidden="false" customHeight="false" outlineLevel="0" collapsed="false">
      <c r="A2" s="2" t="s">
        <v>6987</v>
      </c>
      <c r="B2" s="2" t="s">
        <v>8068</v>
      </c>
      <c r="C2" s="2" t="s">
        <v>6989</v>
      </c>
      <c r="D2" s="2" t="s">
        <v>6990</v>
      </c>
      <c r="E2" s="2" t="s">
        <v>4170</v>
      </c>
      <c r="F2" s="2" t="s">
        <v>6991</v>
      </c>
      <c r="G2" s="2" t="s">
        <v>20</v>
      </c>
      <c r="H2" s="2" t="s">
        <v>6992</v>
      </c>
      <c r="I2" s="2" t="s">
        <v>6993</v>
      </c>
      <c r="J2" s="2" t="n">
        <v>3</v>
      </c>
    </row>
    <row r="3" customFormat="false" ht="91" hidden="false" customHeight="false" outlineLevel="0" collapsed="false">
      <c r="A3" s="2" t="s">
        <v>6994</v>
      </c>
      <c r="B3" s="2" t="s">
        <v>8068</v>
      </c>
      <c r="C3" s="2" t="s">
        <v>6995</v>
      </c>
      <c r="D3" s="2" t="s">
        <v>6996</v>
      </c>
      <c r="E3" s="2" t="s">
        <v>6997</v>
      </c>
      <c r="F3" s="2" t="s">
        <v>6998</v>
      </c>
      <c r="G3" s="2" t="s">
        <v>20</v>
      </c>
      <c r="H3" s="2" t="s">
        <v>6999</v>
      </c>
      <c r="I3" s="2" t="s">
        <v>6993</v>
      </c>
      <c r="J3" s="2" t="n">
        <v>4</v>
      </c>
    </row>
    <row r="4" customFormat="false" ht="76.1" hidden="false" customHeight="false" outlineLevel="0" collapsed="false">
      <c r="A4" s="2" t="s">
        <v>7000</v>
      </c>
      <c r="B4" s="2" t="s">
        <v>8068</v>
      </c>
      <c r="C4" s="2" t="s">
        <v>7001</v>
      </c>
      <c r="D4" s="2" t="s">
        <v>7002</v>
      </c>
      <c r="E4" s="2" t="s">
        <v>7003</v>
      </c>
      <c r="F4" s="2" t="s">
        <v>7004</v>
      </c>
      <c r="G4" s="2" t="s">
        <v>20</v>
      </c>
      <c r="H4" s="2" t="s">
        <v>7005</v>
      </c>
      <c r="I4" s="2" t="s">
        <v>7006</v>
      </c>
      <c r="J4" s="2" t="n">
        <v>3</v>
      </c>
    </row>
    <row r="5" customFormat="false" ht="61.15" hidden="false" customHeight="false" outlineLevel="0" collapsed="false">
      <c r="A5" s="2" t="s">
        <v>7007</v>
      </c>
      <c r="B5" s="2" t="s">
        <v>8068</v>
      </c>
      <c r="C5" s="2" t="s">
        <v>7008</v>
      </c>
      <c r="D5" s="2" t="s">
        <v>7009</v>
      </c>
      <c r="E5" s="2" t="s">
        <v>7010</v>
      </c>
      <c r="F5" s="2" t="s">
        <v>7011</v>
      </c>
      <c r="G5" s="2" t="s">
        <v>20</v>
      </c>
      <c r="H5" s="2" t="s">
        <v>7012</v>
      </c>
      <c r="I5" s="2" t="s">
        <v>6988</v>
      </c>
      <c r="J5" s="2" t="n">
        <v>2</v>
      </c>
    </row>
    <row r="6" customFormat="false" ht="46.25" hidden="false" customHeight="false" outlineLevel="0" collapsed="false">
      <c r="A6" s="2" t="s">
        <v>7013</v>
      </c>
      <c r="B6" s="2" t="s">
        <v>8068</v>
      </c>
      <c r="C6" s="2" t="s">
        <v>7014</v>
      </c>
      <c r="D6" s="2" t="s">
        <v>4170</v>
      </c>
      <c r="E6" s="2" t="s">
        <v>4370</v>
      </c>
      <c r="F6" s="2" t="s">
        <v>7015</v>
      </c>
      <c r="G6" s="2" t="s">
        <v>20</v>
      </c>
      <c r="H6" s="2" t="s">
        <v>7016</v>
      </c>
      <c r="I6" s="2" t="s">
        <v>7017</v>
      </c>
      <c r="J6" s="2" t="n">
        <v>3</v>
      </c>
    </row>
    <row r="7" customFormat="false" ht="61.15" hidden="false" customHeight="false" outlineLevel="0" collapsed="false">
      <c r="A7" s="2" t="s">
        <v>7018</v>
      </c>
      <c r="B7" s="2" t="s">
        <v>8068</v>
      </c>
      <c r="C7" s="2" t="s">
        <v>7019</v>
      </c>
      <c r="D7" s="2" t="s">
        <v>7020</v>
      </c>
      <c r="E7" s="2" t="s">
        <v>7021</v>
      </c>
      <c r="F7" s="2" t="s">
        <v>7022</v>
      </c>
      <c r="G7" s="2" t="s">
        <v>20</v>
      </c>
      <c r="H7" s="2" t="s">
        <v>7023</v>
      </c>
      <c r="I7" s="2" t="s">
        <v>7024</v>
      </c>
      <c r="J7" s="2" t="n">
        <v>2</v>
      </c>
    </row>
    <row r="8" customFormat="false" ht="61.15" hidden="false" customHeight="false" outlineLevel="0" collapsed="false">
      <c r="A8" s="2" t="s">
        <v>7025</v>
      </c>
      <c r="B8" s="2" t="s">
        <v>8068</v>
      </c>
      <c r="C8" s="2" t="s">
        <v>7026</v>
      </c>
      <c r="D8" s="2" t="s">
        <v>7027</v>
      </c>
      <c r="E8" s="2" t="s">
        <v>7028</v>
      </c>
      <c r="F8" s="2" t="s">
        <v>7029</v>
      </c>
      <c r="G8" s="2" t="s">
        <v>20</v>
      </c>
      <c r="H8" s="2" t="s">
        <v>7030</v>
      </c>
      <c r="I8" s="2" t="s">
        <v>7017</v>
      </c>
      <c r="J8" s="2" t="n">
        <v>3</v>
      </c>
    </row>
    <row r="9" customFormat="false" ht="61.15" hidden="false" customHeight="false" outlineLevel="0" collapsed="false">
      <c r="A9" s="2" t="s">
        <v>7031</v>
      </c>
      <c r="B9" s="2" t="s">
        <v>8068</v>
      </c>
      <c r="C9" s="2" t="s">
        <v>7032</v>
      </c>
      <c r="D9" s="2" t="s">
        <v>7033</v>
      </c>
      <c r="E9" s="2" t="s">
        <v>7034</v>
      </c>
      <c r="F9" s="2" t="s">
        <v>7035</v>
      </c>
      <c r="G9" s="2" t="s">
        <v>20</v>
      </c>
      <c r="H9" s="2" t="s">
        <v>7036</v>
      </c>
      <c r="I9" s="2" t="s">
        <v>7037</v>
      </c>
      <c r="J9" s="2" t="n">
        <v>2</v>
      </c>
    </row>
    <row r="10" customFormat="false" ht="31.3" hidden="false" customHeight="false" outlineLevel="0" collapsed="false">
      <c r="A10" s="2" t="s">
        <v>7038</v>
      </c>
      <c r="B10" s="2" t="s">
        <v>8069</v>
      </c>
      <c r="C10" s="2" t="s">
        <v>7039</v>
      </c>
      <c r="D10" s="2" t="s">
        <v>7040</v>
      </c>
      <c r="E10" s="2" t="s">
        <v>7041</v>
      </c>
      <c r="F10" s="2" t="s">
        <v>7042</v>
      </c>
      <c r="G10" s="2" t="s">
        <v>20</v>
      </c>
      <c r="H10" s="2" t="s">
        <v>7043</v>
      </c>
      <c r="I10" s="2" t="s">
        <v>7037</v>
      </c>
      <c r="J10" s="2" t="n">
        <v>1</v>
      </c>
    </row>
    <row r="11" customFormat="false" ht="61.15" hidden="false" customHeight="false" outlineLevel="0" collapsed="false">
      <c r="A11" s="2" t="s">
        <v>7044</v>
      </c>
      <c r="B11" s="2" t="s">
        <v>8068</v>
      </c>
      <c r="C11" s="2" t="s">
        <v>7045</v>
      </c>
      <c r="D11" s="2" t="s">
        <v>7046</v>
      </c>
      <c r="E11" s="2" t="s">
        <v>7015</v>
      </c>
      <c r="F11" s="2" t="s">
        <v>6283</v>
      </c>
      <c r="G11" s="2" t="s">
        <v>20</v>
      </c>
      <c r="H11" s="2" t="s">
        <v>7047</v>
      </c>
      <c r="I11" s="2" t="s">
        <v>7048</v>
      </c>
      <c r="J11" s="2" t="n">
        <v>2</v>
      </c>
    </row>
    <row r="12" customFormat="false" ht="46.25" hidden="false" customHeight="false" outlineLevel="0" collapsed="false">
      <c r="A12" s="2" t="s">
        <v>7049</v>
      </c>
      <c r="B12" s="2" t="s">
        <v>8068</v>
      </c>
      <c r="C12" s="2" t="s">
        <v>7050</v>
      </c>
      <c r="D12" s="2" t="s">
        <v>6283</v>
      </c>
      <c r="E12" s="2" t="s">
        <v>7015</v>
      </c>
      <c r="F12" s="2" t="s">
        <v>7051</v>
      </c>
      <c r="G12" s="2" t="s">
        <v>28</v>
      </c>
      <c r="H12" s="2" t="s">
        <v>7052</v>
      </c>
      <c r="I12" s="2" t="s">
        <v>7048</v>
      </c>
      <c r="J12" s="2" t="n">
        <v>2</v>
      </c>
    </row>
    <row r="13" customFormat="false" ht="61.15" hidden="false" customHeight="false" outlineLevel="0" collapsed="false">
      <c r="A13" s="2" t="s">
        <v>7053</v>
      </c>
      <c r="B13" s="2" t="s">
        <v>8068</v>
      </c>
      <c r="C13" s="2" t="s">
        <v>7054</v>
      </c>
      <c r="D13" s="2" t="s">
        <v>7055</v>
      </c>
      <c r="E13" s="2" t="s">
        <v>7056</v>
      </c>
      <c r="F13" s="2" t="s">
        <v>7057</v>
      </c>
      <c r="G13" s="2" t="s">
        <v>226</v>
      </c>
      <c r="H13" s="2" t="s">
        <v>7058</v>
      </c>
      <c r="I13" s="2" t="s">
        <v>7048</v>
      </c>
      <c r="J13" s="2" t="n">
        <v>3</v>
      </c>
    </row>
    <row r="14" customFormat="false" ht="46.25" hidden="false" customHeight="false" outlineLevel="0" collapsed="false">
      <c r="A14" s="2" t="s">
        <v>7059</v>
      </c>
      <c r="B14" s="2" t="s">
        <v>8068</v>
      </c>
      <c r="C14" s="2" t="s">
        <v>7060</v>
      </c>
      <c r="D14" s="2" t="s">
        <v>6329</v>
      </c>
      <c r="E14" s="2" t="s">
        <v>7061</v>
      </c>
      <c r="F14" s="2" t="s">
        <v>7062</v>
      </c>
      <c r="G14" s="2" t="s">
        <v>226</v>
      </c>
      <c r="H14" s="2" t="s">
        <v>7063</v>
      </c>
      <c r="I14" s="2" t="s">
        <v>7048</v>
      </c>
      <c r="J14" s="2" t="n">
        <v>2</v>
      </c>
    </row>
    <row r="15" customFormat="false" ht="61.15" hidden="false" customHeight="false" outlineLevel="0" collapsed="false">
      <c r="A15" s="2" t="s">
        <v>7064</v>
      </c>
      <c r="B15" s="2" t="s">
        <v>8068</v>
      </c>
      <c r="C15" s="2" t="s">
        <v>7065</v>
      </c>
      <c r="D15" s="2" t="s">
        <v>7066</v>
      </c>
      <c r="E15" s="2" t="s">
        <v>7067</v>
      </c>
      <c r="F15" s="2" t="s">
        <v>7068</v>
      </c>
      <c r="G15" s="2" t="s">
        <v>20</v>
      </c>
      <c r="H15" s="2" t="s">
        <v>7069</v>
      </c>
      <c r="I15" s="2" t="s">
        <v>7048</v>
      </c>
      <c r="J15" s="2" t="n">
        <v>3</v>
      </c>
    </row>
    <row r="16" customFormat="false" ht="46.25" hidden="false" customHeight="false" outlineLevel="0" collapsed="false">
      <c r="A16" s="2" t="s">
        <v>7070</v>
      </c>
      <c r="B16" s="2" t="s">
        <v>8068</v>
      </c>
      <c r="C16" s="2" t="s">
        <v>7071</v>
      </c>
      <c r="D16" s="2" t="s">
        <v>7072</v>
      </c>
      <c r="E16" s="2" t="s">
        <v>6329</v>
      </c>
      <c r="F16" s="2" t="s">
        <v>7062</v>
      </c>
      <c r="G16" s="2" t="s">
        <v>20</v>
      </c>
      <c r="H16" s="2" t="s">
        <v>7073</v>
      </c>
      <c r="I16" s="2" t="s">
        <v>7048</v>
      </c>
      <c r="J16" s="2" t="n">
        <v>2</v>
      </c>
    </row>
    <row r="17" customFormat="false" ht="46.25" hidden="false" customHeight="false" outlineLevel="0" collapsed="false">
      <c r="A17" s="2" t="s">
        <v>7074</v>
      </c>
      <c r="B17" s="2" t="s">
        <v>8068</v>
      </c>
      <c r="C17" s="2" t="s">
        <v>7075</v>
      </c>
      <c r="D17" s="2" t="s">
        <v>7076</v>
      </c>
      <c r="E17" s="2" t="s">
        <v>7015</v>
      </c>
      <c r="F17" s="2" t="s">
        <v>4170</v>
      </c>
      <c r="G17" s="2" t="s">
        <v>226</v>
      </c>
      <c r="H17" s="2" t="s">
        <v>7077</v>
      </c>
      <c r="I17" s="2" t="s">
        <v>7078</v>
      </c>
      <c r="J17" s="2" t="n">
        <v>2</v>
      </c>
    </row>
    <row r="18" customFormat="false" ht="91" hidden="false" customHeight="false" outlineLevel="0" collapsed="false">
      <c r="A18" s="2" t="s">
        <v>7079</v>
      </c>
      <c r="B18" s="2" t="s">
        <v>8068</v>
      </c>
      <c r="C18" s="2" t="s">
        <v>7080</v>
      </c>
      <c r="D18" s="2" t="s">
        <v>7081</v>
      </c>
      <c r="E18" s="2" t="s">
        <v>7082</v>
      </c>
      <c r="F18" s="2" t="s">
        <v>7083</v>
      </c>
      <c r="G18" s="2" t="s">
        <v>20</v>
      </c>
      <c r="H18" s="2" t="s">
        <v>7084</v>
      </c>
      <c r="I18" s="2" t="s">
        <v>7085</v>
      </c>
      <c r="J18" s="2" t="n">
        <v>4</v>
      </c>
    </row>
    <row r="19" customFormat="false" ht="91" hidden="false" customHeight="false" outlineLevel="0" collapsed="false">
      <c r="A19" s="2" t="s">
        <v>7086</v>
      </c>
      <c r="B19" s="2" t="s">
        <v>8068</v>
      </c>
      <c r="C19" s="2" t="s">
        <v>7087</v>
      </c>
      <c r="D19" s="2" t="s">
        <v>7015</v>
      </c>
      <c r="E19" s="2" t="s">
        <v>4170</v>
      </c>
      <c r="F19" s="2" t="s">
        <v>4172</v>
      </c>
      <c r="G19" s="2" t="s">
        <v>20</v>
      </c>
      <c r="H19" s="2" t="s">
        <v>7088</v>
      </c>
      <c r="I19" s="2" t="s">
        <v>6988</v>
      </c>
      <c r="J19" s="2" t="n">
        <v>2</v>
      </c>
    </row>
    <row r="20" customFormat="false" ht="61.15" hidden="false" customHeight="false" outlineLevel="0" collapsed="false">
      <c r="A20" s="2" t="s">
        <v>7089</v>
      </c>
      <c r="B20" s="2" t="s">
        <v>8068</v>
      </c>
      <c r="C20" s="2" t="s">
        <v>7090</v>
      </c>
      <c r="D20" s="2" t="s">
        <v>7091</v>
      </c>
      <c r="E20" s="2" t="s">
        <v>7092</v>
      </c>
      <c r="F20" s="2" t="s">
        <v>7093</v>
      </c>
      <c r="G20" s="2" t="s">
        <v>20</v>
      </c>
      <c r="H20" s="2" t="s">
        <v>7094</v>
      </c>
      <c r="I20" s="2" t="s">
        <v>6988</v>
      </c>
      <c r="J20" s="2" t="n">
        <v>2</v>
      </c>
    </row>
    <row r="21" customFormat="false" ht="61.15" hidden="false" customHeight="false" outlineLevel="0" collapsed="false">
      <c r="A21" s="2" t="s">
        <v>7095</v>
      </c>
      <c r="B21" s="2" t="s">
        <v>8068</v>
      </c>
      <c r="C21" s="2" t="s">
        <v>7096</v>
      </c>
      <c r="D21" s="2" t="s">
        <v>4889</v>
      </c>
      <c r="E21" s="2" t="s">
        <v>7097</v>
      </c>
      <c r="F21" s="2" t="s">
        <v>7098</v>
      </c>
      <c r="G21" s="2" t="s">
        <v>20</v>
      </c>
      <c r="H21" s="2" t="s">
        <v>7099</v>
      </c>
      <c r="I21" s="2" t="s">
        <v>6988</v>
      </c>
      <c r="J21" s="2" t="n">
        <v>2</v>
      </c>
    </row>
    <row r="22" customFormat="false" ht="61.15" hidden="false" customHeight="false" outlineLevel="0" collapsed="false">
      <c r="A22" s="2" t="s">
        <v>7100</v>
      </c>
      <c r="B22" s="2" t="s">
        <v>8068</v>
      </c>
      <c r="C22" s="2" t="s">
        <v>7101</v>
      </c>
      <c r="D22" s="2" t="s">
        <v>7102</v>
      </c>
      <c r="E22" s="2" t="s">
        <v>7103</v>
      </c>
      <c r="F22" s="2" t="s">
        <v>7104</v>
      </c>
      <c r="G22" s="2" t="s">
        <v>20</v>
      </c>
      <c r="H22" s="2" t="s">
        <v>7105</v>
      </c>
      <c r="I22" s="2" t="s">
        <v>6988</v>
      </c>
      <c r="J22" s="2" t="n">
        <v>2</v>
      </c>
    </row>
    <row r="23" customFormat="false" ht="61.15" hidden="false" customHeight="false" outlineLevel="0" collapsed="false">
      <c r="A23" s="2" t="s">
        <v>7106</v>
      </c>
      <c r="B23" s="2" t="s">
        <v>8068</v>
      </c>
      <c r="C23" s="2" t="s">
        <v>7107</v>
      </c>
      <c r="D23" s="2" t="s">
        <v>7108</v>
      </c>
      <c r="E23" s="2" t="s">
        <v>7109</v>
      </c>
      <c r="F23" s="2" t="s">
        <v>7110</v>
      </c>
      <c r="G23" s="2" t="s">
        <v>20</v>
      </c>
      <c r="H23" s="2" t="s">
        <v>7111</v>
      </c>
      <c r="I23" s="2" t="s">
        <v>6988</v>
      </c>
      <c r="J23" s="2" t="n">
        <v>2</v>
      </c>
    </row>
    <row r="24" customFormat="false" ht="76.1" hidden="false" customHeight="false" outlineLevel="0" collapsed="false">
      <c r="A24" s="2" t="s">
        <v>7112</v>
      </c>
      <c r="B24" s="2" t="s">
        <v>8068</v>
      </c>
      <c r="C24" s="2" t="s">
        <v>7113</v>
      </c>
      <c r="D24" s="2" t="s">
        <v>7114</v>
      </c>
      <c r="E24" s="2" t="s">
        <v>7115</v>
      </c>
      <c r="F24" s="2" t="s">
        <v>7116</v>
      </c>
      <c r="G24" s="2" t="s">
        <v>20</v>
      </c>
      <c r="H24" s="2" t="s">
        <v>7117</v>
      </c>
      <c r="I24" s="2" t="s">
        <v>6988</v>
      </c>
      <c r="J24" s="2" t="n">
        <v>2</v>
      </c>
    </row>
    <row r="25" customFormat="false" ht="91" hidden="false" customHeight="false" outlineLevel="0" collapsed="false">
      <c r="A25" s="2" t="s">
        <v>7118</v>
      </c>
      <c r="B25" s="2" t="s">
        <v>8068</v>
      </c>
      <c r="C25" s="2" t="s">
        <v>7119</v>
      </c>
      <c r="D25" s="2" t="s">
        <v>7015</v>
      </c>
      <c r="E25" s="2" t="s">
        <v>4156</v>
      </c>
      <c r="F25" s="2" t="s">
        <v>7120</v>
      </c>
      <c r="G25" s="2" t="s">
        <v>20</v>
      </c>
      <c r="H25" s="2" t="s">
        <v>7121</v>
      </c>
      <c r="I25" s="2" t="s">
        <v>7122</v>
      </c>
      <c r="J25" s="2" t="n">
        <v>2</v>
      </c>
    </row>
    <row r="26" customFormat="false" ht="61.15" hidden="false" customHeight="false" outlineLevel="0" collapsed="false">
      <c r="A26" s="2" t="s">
        <v>7123</v>
      </c>
      <c r="B26" s="2" t="s">
        <v>8069</v>
      </c>
      <c r="C26" s="2" t="s">
        <v>7124</v>
      </c>
      <c r="D26" s="2" t="s">
        <v>7125</v>
      </c>
      <c r="E26" s="2" t="s">
        <v>7126</v>
      </c>
      <c r="F26" s="2" t="s">
        <v>7127</v>
      </c>
      <c r="G26" s="2" t="s">
        <v>20</v>
      </c>
      <c r="H26" s="2" t="s">
        <v>7128</v>
      </c>
      <c r="I26" s="2" t="s">
        <v>6988</v>
      </c>
      <c r="J26" s="2" t="n">
        <v>1</v>
      </c>
    </row>
    <row r="27" customFormat="false" ht="76.1" hidden="false" customHeight="false" outlineLevel="0" collapsed="false">
      <c r="A27" s="2" t="s">
        <v>7129</v>
      </c>
      <c r="B27" s="2" t="s">
        <v>8068</v>
      </c>
      <c r="C27" s="2" t="s">
        <v>7130</v>
      </c>
      <c r="D27" s="2" t="s">
        <v>7131</v>
      </c>
      <c r="E27" s="2" t="s">
        <v>7132</v>
      </c>
      <c r="F27" s="2" t="s">
        <v>7133</v>
      </c>
      <c r="G27" s="2" t="s">
        <v>20</v>
      </c>
      <c r="H27" s="2" t="s">
        <v>7134</v>
      </c>
      <c r="I27" s="2" t="s">
        <v>6988</v>
      </c>
      <c r="J27" s="2" t="n">
        <v>2</v>
      </c>
    </row>
    <row r="28" customFormat="false" ht="76.1" hidden="false" customHeight="false" outlineLevel="0" collapsed="false">
      <c r="A28" s="2" t="s">
        <v>7135</v>
      </c>
      <c r="B28" s="2" t="s">
        <v>8068</v>
      </c>
      <c r="C28" s="2" t="s">
        <v>7136</v>
      </c>
      <c r="D28" s="2" t="s">
        <v>7137</v>
      </c>
      <c r="E28" s="2" t="s">
        <v>7138</v>
      </c>
      <c r="F28" s="2" t="s">
        <v>7139</v>
      </c>
      <c r="G28" s="2" t="s">
        <v>20</v>
      </c>
      <c r="H28" s="2" t="s">
        <v>7140</v>
      </c>
      <c r="I28" s="2" t="s">
        <v>6988</v>
      </c>
      <c r="J28" s="2" t="n">
        <v>3</v>
      </c>
    </row>
    <row r="29" customFormat="false" ht="76.1" hidden="false" customHeight="false" outlineLevel="0" collapsed="false">
      <c r="A29" s="2" t="s">
        <v>7141</v>
      </c>
      <c r="B29" s="2" t="s">
        <v>8068</v>
      </c>
      <c r="C29" s="2" t="s">
        <v>7142</v>
      </c>
      <c r="D29" s="2" t="s">
        <v>7143</v>
      </c>
      <c r="E29" s="2" t="s">
        <v>7144</v>
      </c>
      <c r="F29" s="2" t="s">
        <v>7145</v>
      </c>
      <c r="G29" s="2" t="s">
        <v>20</v>
      </c>
      <c r="H29" s="2" t="s">
        <v>7146</v>
      </c>
      <c r="I29" s="2" t="s">
        <v>6988</v>
      </c>
      <c r="J29" s="2" t="n">
        <v>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customHeight="false"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45"/>
    <col collapsed="false" customWidth="true" hidden="false" outlineLevel="0" max="6" min="4" style="0" width="32"/>
    <col collapsed="false" customWidth="true" hidden="false" outlineLevel="0" max="7" min="7" style="0" width="9"/>
    <col collapsed="false" customWidth="true" hidden="false" outlineLevel="0" max="8" min="8" style="0" width="42"/>
    <col collapsed="false" customWidth="true" hidden="false" outlineLevel="0" max="9" min="9" style="0" width="20"/>
    <col collapsed="false" customWidth="true" hidden="false" outlineLevel="0" max="10" min="10" style="0" width="10"/>
  </cols>
  <sheetData>
    <row r="1" customFormat="false" ht="16.4" hidden="false" customHeight="false" outlineLevel="0" collapsed="false">
      <c r="A1" s="1" t="s">
        <v>0</v>
      </c>
      <c r="B1" s="1" t="s">
        <v>8067</v>
      </c>
      <c r="C1" s="1" t="s">
        <v>3</v>
      </c>
      <c r="D1" s="1" t="s">
        <v>4</v>
      </c>
      <c r="E1" s="1" t="s">
        <v>5</v>
      </c>
      <c r="F1" s="1" t="s">
        <v>6</v>
      </c>
      <c r="G1" s="1" t="s">
        <v>7</v>
      </c>
      <c r="H1" s="1" t="s">
        <v>8</v>
      </c>
      <c r="I1" s="1" t="s">
        <v>9</v>
      </c>
      <c r="J1" s="1" t="s">
        <v>11</v>
      </c>
    </row>
    <row r="2" customFormat="false" ht="76.1" hidden="false" customHeight="false" outlineLevel="0" collapsed="false">
      <c r="A2" s="2" t="s">
        <v>7147</v>
      </c>
      <c r="B2" s="2" t="s">
        <v>8068</v>
      </c>
      <c r="C2" s="2" t="s">
        <v>7149</v>
      </c>
      <c r="D2" s="2" t="s">
        <v>2356</v>
      </c>
      <c r="E2" s="2" t="s">
        <v>7150</v>
      </c>
      <c r="F2" s="2" t="s">
        <v>7151</v>
      </c>
      <c r="G2" s="2" t="s">
        <v>20</v>
      </c>
      <c r="H2" s="2" t="s">
        <v>7152</v>
      </c>
      <c r="I2" s="2" t="s">
        <v>7153</v>
      </c>
      <c r="J2" s="2" t="n">
        <v>3</v>
      </c>
    </row>
    <row r="3" customFormat="false" ht="61.15" hidden="false" customHeight="false" outlineLevel="0" collapsed="false">
      <c r="A3" s="2" t="s">
        <v>7154</v>
      </c>
      <c r="B3" s="2" t="s">
        <v>8068</v>
      </c>
      <c r="C3" s="2" t="s">
        <v>7155</v>
      </c>
      <c r="D3" s="2" t="s">
        <v>6226</v>
      </c>
      <c r="E3" s="2" t="s">
        <v>6227</v>
      </c>
      <c r="F3" s="2" t="s">
        <v>6228</v>
      </c>
      <c r="G3" s="2" t="s">
        <v>226</v>
      </c>
      <c r="H3" s="2" t="s">
        <v>7156</v>
      </c>
      <c r="I3" s="2" t="s">
        <v>7148</v>
      </c>
      <c r="J3" s="2" t="n">
        <v>2</v>
      </c>
    </row>
    <row r="4" customFormat="false" ht="61.15" hidden="false" customHeight="false" outlineLevel="0" collapsed="false">
      <c r="A4" s="2" t="s">
        <v>7157</v>
      </c>
      <c r="B4" s="2" t="s">
        <v>8068</v>
      </c>
      <c r="C4" s="2" t="s">
        <v>7158</v>
      </c>
      <c r="D4" s="2" t="s">
        <v>7159</v>
      </c>
      <c r="E4" s="2" t="s">
        <v>7160</v>
      </c>
      <c r="F4" s="2" t="s">
        <v>7161</v>
      </c>
      <c r="G4" s="2" t="s">
        <v>20</v>
      </c>
      <c r="H4" s="2" t="s">
        <v>7162</v>
      </c>
      <c r="I4" s="2" t="s">
        <v>7163</v>
      </c>
      <c r="J4" s="2" t="n">
        <v>3</v>
      </c>
    </row>
    <row r="5" customFormat="false" ht="61.15" hidden="false" customHeight="false" outlineLevel="0" collapsed="false">
      <c r="A5" s="2" t="s">
        <v>7164</v>
      </c>
      <c r="B5" s="2" t="s">
        <v>8068</v>
      </c>
      <c r="C5" s="2" t="s">
        <v>7165</v>
      </c>
      <c r="D5" s="2" t="s">
        <v>7166</v>
      </c>
      <c r="E5" s="2" t="s">
        <v>7167</v>
      </c>
      <c r="F5" s="2" t="s">
        <v>7168</v>
      </c>
      <c r="G5" s="2" t="s">
        <v>226</v>
      </c>
      <c r="H5" s="2" t="s">
        <v>7169</v>
      </c>
      <c r="I5" s="2" t="s">
        <v>7170</v>
      </c>
      <c r="J5" s="2" t="n">
        <v>3</v>
      </c>
    </row>
    <row r="6" customFormat="false" ht="46.25" hidden="false" customHeight="false" outlineLevel="0" collapsed="false">
      <c r="A6" s="2" t="s">
        <v>7171</v>
      </c>
      <c r="B6" s="2" t="s">
        <v>8069</v>
      </c>
      <c r="C6" s="2" t="s">
        <v>7172</v>
      </c>
      <c r="D6" s="2" t="s">
        <v>7173</v>
      </c>
      <c r="E6" s="2" t="s">
        <v>7174</v>
      </c>
      <c r="F6" s="2" t="s">
        <v>7175</v>
      </c>
      <c r="G6" s="2" t="s">
        <v>28</v>
      </c>
      <c r="H6" s="2" t="s">
        <v>7176</v>
      </c>
      <c r="I6" s="2" t="s">
        <v>7170</v>
      </c>
      <c r="J6" s="2" t="n">
        <v>1</v>
      </c>
    </row>
    <row r="7" customFormat="false" ht="46.25" hidden="false" customHeight="false" outlineLevel="0" collapsed="false">
      <c r="A7" s="2" t="s">
        <v>7177</v>
      </c>
      <c r="B7" s="2" t="s">
        <v>8069</v>
      </c>
      <c r="C7" s="2" t="s">
        <v>7178</v>
      </c>
      <c r="D7" s="2" t="s">
        <v>7179</v>
      </c>
      <c r="E7" s="2" t="s">
        <v>7180</v>
      </c>
      <c r="F7" s="2" t="s">
        <v>7181</v>
      </c>
      <c r="G7" s="2" t="s">
        <v>20</v>
      </c>
      <c r="H7" s="2" t="s">
        <v>7182</v>
      </c>
      <c r="I7" s="2" t="s">
        <v>7170</v>
      </c>
      <c r="J7" s="2" t="n">
        <v>2</v>
      </c>
    </row>
    <row r="8" customFormat="false" ht="76.1" hidden="false" customHeight="false" outlineLevel="0" collapsed="false">
      <c r="A8" s="2" t="s">
        <v>7183</v>
      </c>
      <c r="B8" s="2" t="s">
        <v>8068</v>
      </c>
      <c r="C8" s="2" t="s">
        <v>7184</v>
      </c>
      <c r="D8" s="2" t="s">
        <v>7185</v>
      </c>
      <c r="E8" s="2" t="s">
        <v>7186</v>
      </c>
      <c r="F8" s="2" t="s">
        <v>7187</v>
      </c>
      <c r="G8" s="2" t="s">
        <v>20</v>
      </c>
      <c r="H8" s="2" t="s">
        <v>7188</v>
      </c>
      <c r="I8" s="2" t="s">
        <v>7148</v>
      </c>
      <c r="J8" s="2" t="n">
        <v>4</v>
      </c>
    </row>
    <row r="9" customFormat="false" ht="61.15" hidden="false" customHeight="false" outlineLevel="0" collapsed="false">
      <c r="A9" s="2" t="s">
        <v>7189</v>
      </c>
      <c r="B9" s="2" t="s">
        <v>8068</v>
      </c>
      <c r="C9" s="2" t="s">
        <v>7190</v>
      </c>
      <c r="D9" s="2" t="s">
        <v>7191</v>
      </c>
      <c r="E9" s="2" t="s">
        <v>7192</v>
      </c>
      <c r="F9" s="2" t="s">
        <v>7193</v>
      </c>
      <c r="G9" s="2" t="s">
        <v>20</v>
      </c>
      <c r="H9" s="2" t="s">
        <v>7194</v>
      </c>
      <c r="I9" s="2" t="s">
        <v>7148</v>
      </c>
      <c r="J9" s="2" t="n">
        <v>2</v>
      </c>
    </row>
    <row r="10" customFormat="false" ht="61.15" hidden="false" customHeight="false" outlineLevel="0" collapsed="false">
      <c r="A10" s="2" t="s">
        <v>7195</v>
      </c>
      <c r="B10" s="2" t="s">
        <v>8068</v>
      </c>
      <c r="C10" s="2" t="s">
        <v>7196</v>
      </c>
      <c r="D10" s="2" t="s">
        <v>7197</v>
      </c>
      <c r="E10" s="2" t="s">
        <v>7198</v>
      </c>
      <c r="F10" s="2" t="s">
        <v>7199</v>
      </c>
      <c r="G10" s="2" t="s">
        <v>20</v>
      </c>
      <c r="H10" s="2" t="s">
        <v>7200</v>
      </c>
      <c r="I10" s="2" t="s">
        <v>7148</v>
      </c>
      <c r="J10" s="2" t="n">
        <v>2</v>
      </c>
    </row>
    <row r="11" customFormat="false" ht="76.1" hidden="false" customHeight="false" outlineLevel="0" collapsed="false">
      <c r="A11" s="2" t="s">
        <v>7201</v>
      </c>
      <c r="B11" s="2" t="s">
        <v>8068</v>
      </c>
      <c r="C11" s="2" t="s">
        <v>7202</v>
      </c>
      <c r="D11" s="2" t="s">
        <v>7203</v>
      </c>
      <c r="E11" s="2" t="s">
        <v>7204</v>
      </c>
      <c r="F11" s="2" t="s">
        <v>7205</v>
      </c>
      <c r="G11" s="2" t="s">
        <v>20</v>
      </c>
      <c r="H11" s="2" t="s">
        <v>7206</v>
      </c>
      <c r="I11" s="2" t="s">
        <v>7148</v>
      </c>
      <c r="J11" s="2" t="n">
        <v>2</v>
      </c>
    </row>
    <row r="12" customFormat="false" ht="61.15" hidden="false" customHeight="false" outlineLevel="0" collapsed="false">
      <c r="A12" s="2" t="s">
        <v>7207</v>
      </c>
      <c r="B12" s="2" t="s">
        <v>8069</v>
      </c>
      <c r="C12" s="2" t="s">
        <v>7208</v>
      </c>
      <c r="D12" s="2" t="s">
        <v>7209</v>
      </c>
      <c r="E12" s="2" t="s">
        <v>7210</v>
      </c>
      <c r="F12" s="2" t="s">
        <v>7211</v>
      </c>
      <c r="G12" s="2" t="s">
        <v>20</v>
      </c>
      <c r="H12" s="2" t="s">
        <v>7212</v>
      </c>
      <c r="I12" s="2" t="s">
        <v>7148</v>
      </c>
      <c r="J12" s="2" t="n">
        <v>2</v>
      </c>
    </row>
    <row r="13" customFormat="false" ht="76.1" hidden="false" customHeight="false" outlineLevel="0" collapsed="false">
      <c r="A13" s="2" t="s">
        <v>7213</v>
      </c>
      <c r="B13" s="2" t="s">
        <v>8068</v>
      </c>
      <c r="C13" s="2" t="s">
        <v>7214</v>
      </c>
      <c r="D13" s="2" t="s">
        <v>7215</v>
      </c>
      <c r="E13" s="2" t="s">
        <v>7216</v>
      </c>
      <c r="F13" s="2" t="s">
        <v>7217</v>
      </c>
      <c r="G13" s="2" t="s">
        <v>20</v>
      </c>
      <c r="H13" s="2" t="s">
        <v>7218</v>
      </c>
      <c r="I13" s="2" t="s">
        <v>7219</v>
      </c>
      <c r="J13" s="2" t="n">
        <v>3</v>
      </c>
    </row>
    <row r="14" customFormat="false" ht="76.1" hidden="false" customHeight="false" outlineLevel="0" collapsed="false">
      <c r="A14" s="2" t="s">
        <v>7220</v>
      </c>
      <c r="B14" s="2" t="s">
        <v>8068</v>
      </c>
      <c r="C14" s="2" t="s">
        <v>7221</v>
      </c>
      <c r="D14" s="2" t="s">
        <v>7222</v>
      </c>
      <c r="E14" s="2" t="s">
        <v>7223</v>
      </c>
      <c r="F14" s="2" t="s">
        <v>7224</v>
      </c>
      <c r="G14" s="2" t="s">
        <v>20</v>
      </c>
      <c r="H14" s="2" t="s">
        <v>7225</v>
      </c>
      <c r="I14" s="2" t="s">
        <v>7148</v>
      </c>
      <c r="J14" s="2" t="n">
        <v>2</v>
      </c>
    </row>
    <row r="15" customFormat="false" ht="91" hidden="false" customHeight="false" outlineLevel="0" collapsed="false">
      <c r="A15" s="2" t="s">
        <v>7226</v>
      </c>
      <c r="B15" s="2" t="s">
        <v>8068</v>
      </c>
      <c r="C15" s="2" t="s">
        <v>7227</v>
      </c>
      <c r="D15" s="2" t="s">
        <v>7228</v>
      </c>
      <c r="E15" s="2" t="s">
        <v>7229</v>
      </c>
      <c r="F15" s="2" t="s">
        <v>4375</v>
      </c>
      <c r="G15" s="2" t="s">
        <v>28</v>
      </c>
      <c r="H15" s="2" t="s">
        <v>7230</v>
      </c>
      <c r="I15" s="2" t="s">
        <v>7148</v>
      </c>
      <c r="J15" s="2" t="n">
        <v>2</v>
      </c>
    </row>
    <row r="16" customFormat="false" ht="61.15" hidden="false" customHeight="false" outlineLevel="0" collapsed="false">
      <c r="A16" s="2" t="s">
        <v>7231</v>
      </c>
      <c r="B16" s="2" t="s">
        <v>8068</v>
      </c>
      <c r="C16" s="2" t="s">
        <v>7232</v>
      </c>
      <c r="D16" s="2" t="s">
        <v>7233</v>
      </c>
      <c r="E16" s="2" t="s">
        <v>7234</v>
      </c>
      <c r="F16" s="2" t="s">
        <v>7235</v>
      </c>
      <c r="G16" s="2" t="s">
        <v>20</v>
      </c>
      <c r="H16" s="2" t="s">
        <v>7236</v>
      </c>
      <c r="I16" s="2" t="s">
        <v>7148</v>
      </c>
      <c r="J16" s="2" t="n">
        <v>1</v>
      </c>
    </row>
    <row r="17" customFormat="false" ht="61.15" hidden="false" customHeight="false" outlineLevel="0" collapsed="false">
      <c r="A17" s="2" t="s">
        <v>7237</v>
      </c>
      <c r="B17" s="2" t="s">
        <v>8068</v>
      </c>
      <c r="C17" s="2" t="s">
        <v>7238</v>
      </c>
      <c r="D17" s="2" t="s">
        <v>4171</v>
      </c>
      <c r="E17" s="2" t="s">
        <v>4172</v>
      </c>
      <c r="F17" s="2" t="s">
        <v>1833</v>
      </c>
      <c r="G17" s="2" t="s">
        <v>20</v>
      </c>
      <c r="H17" s="2" t="s">
        <v>7239</v>
      </c>
      <c r="I17" s="2" t="s">
        <v>7148</v>
      </c>
      <c r="J17" s="2" t="n">
        <v>2</v>
      </c>
    </row>
    <row r="18" customFormat="false" ht="61.15" hidden="false" customHeight="false" outlineLevel="0" collapsed="false">
      <c r="A18" s="2" t="s">
        <v>7240</v>
      </c>
      <c r="B18" s="2" t="s">
        <v>8068</v>
      </c>
      <c r="C18" s="2" t="s">
        <v>7241</v>
      </c>
      <c r="D18" s="2" t="s">
        <v>7242</v>
      </c>
      <c r="E18" s="2" t="s">
        <v>7243</v>
      </c>
      <c r="F18" s="2" t="s">
        <v>7244</v>
      </c>
      <c r="G18" s="2" t="s">
        <v>20</v>
      </c>
      <c r="H18" s="2" t="s">
        <v>7245</v>
      </c>
      <c r="I18" s="2" t="s">
        <v>7148</v>
      </c>
      <c r="J18" s="2" t="n">
        <v>2</v>
      </c>
    </row>
    <row r="19" customFormat="false" ht="61.15" hidden="false" customHeight="false" outlineLevel="0" collapsed="false">
      <c r="A19" s="2" t="s">
        <v>7246</v>
      </c>
      <c r="B19" s="2" t="s">
        <v>8068</v>
      </c>
      <c r="C19" s="2" t="s">
        <v>7247</v>
      </c>
      <c r="D19" s="2" t="s">
        <v>7248</v>
      </c>
      <c r="E19" s="2" t="s">
        <v>7249</v>
      </c>
      <c r="F19" s="2" t="s">
        <v>7250</v>
      </c>
      <c r="G19" s="2" t="s">
        <v>20</v>
      </c>
      <c r="H19" s="2" t="s">
        <v>7251</v>
      </c>
      <c r="I19" s="2" t="s">
        <v>7148</v>
      </c>
      <c r="J19" s="2" t="n">
        <v>2</v>
      </c>
    </row>
    <row r="20" customFormat="false" ht="46.25" hidden="false" customHeight="false" outlineLevel="0" collapsed="false">
      <c r="A20" s="2" t="s">
        <v>7252</v>
      </c>
      <c r="B20" s="2" t="s">
        <v>8068</v>
      </c>
      <c r="C20" s="2" t="s">
        <v>7253</v>
      </c>
      <c r="D20" s="2" t="s">
        <v>7254</v>
      </c>
      <c r="E20" s="2" t="s">
        <v>7255</v>
      </c>
      <c r="F20" s="2" t="s">
        <v>7256</v>
      </c>
      <c r="G20" s="2" t="s">
        <v>20</v>
      </c>
      <c r="H20" s="2" t="s">
        <v>7257</v>
      </c>
      <c r="I20" s="2" t="s">
        <v>7148</v>
      </c>
      <c r="J20" s="2" t="n">
        <v>2</v>
      </c>
    </row>
    <row r="21" customFormat="false" ht="76.1" hidden="false" customHeight="false" outlineLevel="0" collapsed="false">
      <c r="A21" s="2" t="s">
        <v>7258</v>
      </c>
      <c r="B21" s="2" t="s">
        <v>8068</v>
      </c>
      <c r="C21" s="2" t="s">
        <v>7259</v>
      </c>
      <c r="D21" s="2" t="s">
        <v>7260</v>
      </c>
      <c r="E21" s="2" t="s">
        <v>7261</v>
      </c>
      <c r="F21" s="2" t="s">
        <v>7262</v>
      </c>
      <c r="G21" s="2" t="s">
        <v>20</v>
      </c>
      <c r="H21" s="2" t="s">
        <v>7263</v>
      </c>
      <c r="I21" s="2" t="s">
        <v>7148</v>
      </c>
      <c r="J21" s="2" t="n">
        <v>3</v>
      </c>
    </row>
    <row r="22" customFormat="false" ht="61.15" hidden="false" customHeight="false" outlineLevel="0" collapsed="false">
      <c r="A22" s="2" t="s">
        <v>7264</v>
      </c>
      <c r="B22" s="2" t="s">
        <v>8068</v>
      </c>
      <c r="C22" s="2" t="s">
        <v>7265</v>
      </c>
      <c r="D22" s="2" t="s">
        <v>7266</v>
      </c>
      <c r="E22" s="2" t="s">
        <v>2356</v>
      </c>
      <c r="F22" s="2" t="s">
        <v>7267</v>
      </c>
      <c r="G22" s="2" t="s">
        <v>20</v>
      </c>
      <c r="H22" s="2" t="s">
        <v>7268</v>
      </c>
      <c r="I22" s="2" t="s">
        <v>7148</v>
      </c>
      <c r="J22" s="2" t="n">
        <v>2</v>
      </c>
    </row>
    <row r="23" customFormat="false" ht="91" hidden="false" customHeight="false" outlineLevel="0" collapsed="false">
      <c r="A23" s="2" t="s">
        <v>7269</v>
      </c>
      <c r="B23" s="2" t="s">
        <v>8068</v>
      </c>
      <c r="C23" s="2" t="s">
        <v>7270</v>
      </c>
      <c r="D23" s="2" t="s">
        <v>7271</v>
      </c>
      <c r="E23" s="2" t="s">
        <v>7272</v>
      </c>
      <c r="F23" s="2" t="s">
        <v>7273</v>
      </c>
      <c r="G23" s="2" t="s">
        <v>20</v>
      </c>
      <c r="H23" s="2" t="s">
        <v>7274</v>
      </c>
      <c r="I23" s="2" t="s">
        <v>7148</v>
      </c>
      <c r="J23" s="2" t="n">
        <v>3</v>
      </c>
    </row>
    <row r="24" customFormat="false" ht="91" hidden="false" customHeight="false" outlineLevel="0" collapsed="false">
      <c r="A24" s="2" t="s">
        <v>7275</v>
      </c>
      <c r="B24" s="2" t="s">
        <v>8068</v>
      </c>
      <c r="C24" s="2" t="s">
        <v>7276</v>
      </c>
      <c r="D24" s="2" t="s">
        <v>7277</v>
      </c>
      <c r="E24" s="2" t="s">
        <v>7278</v>
      </c>
      <c r="F24" s="2" t="s">
        <v>7279</v>
      </c>
      <c r="G24" s="2" t="s">
        <v>20</v>
      </c>
      <c r="H24" s="2" t="s">
        <v>7280</v>
      </c>
      <c r="I24" s="2" t="s">
        <v>7148</v>
      </c>
      <c r="J24" s="2" t="n">
        <v>3</v>
      </c>
    </row>
    <row r="25" customFormat="false" ht="76.1" hidden="false" customHeight="false" outlineLevel="0" collapsed="false">
      <c r="A25" s="2" t="s">
        <v>7281</v>
      </c>
      <c r="B25" s="2" t="s">
        <v>8068</v>
      </c>
      <c r="C25" s="2" t="s">
        <v>7282</v>
      </c>
      <c r="D25" s="2" t="s">
        <v>7283</v>
      </c>
      <c r="E25" s="2" t="s">
        <v>7284</v>
      </c>
      <c r="F25" s="2" t="s">
        <v>7285</v>
      </c>
      <c r="G25" s="2" t="s">
        <v>20</v>
      </c>
      <c r="H25" s="2" t="s">
        <v>7286</v>
      </c>
      <c r="I25" s="2" t="s">
        <v>7148</v>
      </c>
      <c r="J25" s="2" t="n">
        <v>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customHeight="false"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45"/>
    <col collapsed="false" customWidth="true" hidden="false" outlineLevel="0" max="6" min="4" style="0" width="32"/>
    <col collapsed="false" customWidth="true" hidden="false" outlineLevel="0" max="7" min="7" style="0" width="9"/>
    <col collapsed="false" customWidth="true" hidden="false" outlineLevel="0" max="8" min="8" style="0" width="42"/>
    <col collapsed="false" customWidth="true" hidden="false" outlineLevel="0" max="9" min="9" style="0" width="20"/>
    <col collapsed="false" customWidth="true" hidden="false" outlineLevel="0" max="10" min="10" style="0" width="10"/>
  </cols>
  <sheetData>
    <row r="1" customFormat="false" ht="16.4" hidden="false" customHeight="false" outlineLevel="0" collapsed="false">
      <c r="A1" s="1" t="s">
        <v>0</v>
      </c>
      <c r="B1" s="1" t="s">
        <v>8067</v>
      </c>
      <c r="C1" s="1" t="s">
        <v>3</v>
      </c>
      <c r="D1" s="1" t="s">
        <v>4</v>
      </c>
      <c r="E1" s="1" t="s">
        <v>5</v>
      </c>
      <c r="F1" s="1" t="s">
        <v>6</v>
      </c>
      <c r="G1" s="1" t="s">
        <v>7</v>
      </c>
      <c r="H1" s="1" t="s">
        <v>8</v>
      </c>
      <c r="I1" s="1" t="s">
        <v>9</v>
      </c>
      <c r="J1" s="1" t="s">
        <v>11</v>
      </c>
    </row>
    <row r="2" customFormat="false" ht="76.1" hidden="false" customHeight="false" outlineLevel="0" collapsed="false">
      <c r="A2" s="2" t="s">
        <v>7287</v>
      </c>
      <c r="B2" s="2" t="s">
        <v>8069</v>
      </c>
      <c r="C2" s="2" t="s">
        <v>7289</v>
      </c>
      <c r="D2" s="2" t="s">
        <v>7290</v>
      </c>
      <c r="E2" s="2" t="s">
        <v>7291</v>
      </c>
      <c r="F2" s="2" t="s">
        <v>7292</v>
      </c>
      <c r="G2" s="2" t="s">
        <v>20</v>
      </c>
      <c r="H2" s="2" t="s">
        <v>7293</v>
      </c>
      <c r="I2" s="2" t="s">
        <v>7294</v>
      </c>
      <c r="J2" s="2" t="n">
        <v>2</v>
      </c>
    </row>
    <row r="3" customFormat="false" ht="61.15" hidden="false" customHeight="false" outlineLevel="0" collapsed="false">
      <c r="A3" s="2" t="s">
        <v>7295</v>
      </c>
      <c r="B3" s="2" t="s">
        <v>8069</v>
      </c>
      <c r="C3" s="2" t="s">
        <v>7296</v>
      </c>
      <c r="D3" s="2" t="s">
        <v>7297</v>
      </c>
      <c r="E3" s="2" t="s">
        <v>7298</v>
      </c>
      <c r="F3" s="2" t="s">
        <v>7299</v>
      </c>
      <c r="G3" s="2" t="s">
        <v>20</v>
      </c>
      <c r="H3" s="2" t="s">
        <v>7300</v>
      </c>
      <c r="I3" s="2" t="s">
        <v>7288</v>
      </c>
      <c r="J3" s="2" t="n">
        <v>2</v>
      </c>
    </row>
    <row r="4" customFormat="false" ht="61.15" hidden="false" customHeight="false" outlineLevel="0" collapsed="false">
      <c r="A4" s="2" t="s">
        <v>7301</v>
      </c>
      <c r="B4" s="2" t="s">
        <v>8069</v>
      </c>
      <c r="C4" s="2" t="s">
        <v>7302</v>
      </c>
      <c r="D4" s="2" t="s">
        <v>7303</v>
      </c>
      <c r="E4" s="2" t="s">
        <v>7304</v>
      </c>
      <c r="F4" s="2" t="s">
        <v>7305</v>
      </c>
      <c r="G4" s="2" t="s">
        <v>20</v>
      </c>
      <c r="H4" s="2" t="s">
        <v>7306</v>
      </c>
      <c r="I4" s="2" t="s">
        <v>7288</v>
      </c>
      <c r="J4" s="2" t="n">
        <v>1</v>
      </c>
    </row>
    <row r="5" customFormat="false" ht="46.25" hidden="false" customHeight="false" outlineLevel="0" collapsed="false">
      <c r="A5" s="2" t="s">
        <v>7307</v>
      </c>
      <c r="B5" s="2" t="s">
        <v>8069</v>
      </c>
      <c r="C5" s="2" t="s">
        <v>7308</v>
      </c>
      <c r="D5" s="2" t="s">
        <v>7309</v>
      </c>
      <c r="E5" s="2" t="s">
        <v>7310</v>
      </c>
      <c r="F5" s="2" t="s">
        <v>7311</v>
      </c>
      <c r="G5" s="2" t="s">
        <v>20</v>
      </c>
      <c r="H5" s="2" t="s">
        <v>7312</v>
      </c>
      <c r="I5" s="2" t="s">
        <v>7313</v>
      </c>
      <c r="J5" s="2" t="n">
        <v>1</v>
      </c>
    </row>
    <row r="6" customFormat="false" ht="76.1" hidden="false" customHeight="false" outlineLevel="0" collapsed="false">
      <c r="A6" s="2" t="s">
        <v>7314</v>
      </c>
      <c r="B6" s="2" t="s">
        <v>8069</v>
      </c>
      <c r="C6" s="2" t="s">
        <v>7315</v>
      </c>
      <c r="D6" s="2" t="s">
        <v>7316</v>
      </c>
      <c r="E6" s="2" t="s">
        <v>7317</v>
      </c>
      <c r="F6" s="2" t="s">
        <v>7318</v>
      </c>
      <c r="G6" s="2" t="s">
        <v>20</v>
      </c>
      <c r="H6" s="2" t="s">
        <v>7319</v>
      </c>
      <c r="I6" s="2" t="s">
        <v>7320</v>
      </c>
      <c r="J6" s="2" t="n">
        <v>2</v>
      </c>
    </row>
    <row r="7" customFormat="false" ht="61.15" hidden="false" customHeight="false" outlineLevel="0" collapsed="false">
      <c r="A7" s="2" t="s">
        <v>7321</v>
      </c>
      <c r="B7" s="2" t="s">
        <v>8069</v>
      </c>
      <c r="C7" s="2" t="s">
        <v>7322</v>
      </c>
      <c r="D7" s="2" t="s">
        <v>7323</v>
      </c>
      <c r="E7" s="2" t="s">
        <v>7324</v>
      </c>
      <c r="F7" s="2" t="s">
        <v>7325</v>
      </c>
      <c r="G7" s="2" t="s">
        <v>20</v>
      </c>
      <c r="H7" s="2" t="s">
        <v>7326</v>
      </c>
      <c r="I7" s="2" t="s">
        <v>7327</v>
      </c>
      <c r="J7" s="2" t="n">
        <v>2</v>
      </c>
    </row>
    <row r="8" customFormat="false" ht="61.15" hidden="false" customHeight="false" outlineLevel="0" collapsed="false">
      <c r="A8" s="2" t="s">
        <v>7328</v>
      </c>
      <c r="B8" s="2" t="s">
        <v>8069</v>
      </c>
      <c r="C8" s="2" t="s">
        <v>7329</v>
      </c>
      <c r="D8" s="2" t="s">
        <v>7330</v>
      </c>
      <c r="E8" s="2" t="s">
        <v>7331</v>
      </c>
      <c r="F8" s="2" t="s">
        <v>7332</v>
      </c>
      <c r="G8" s="2" t="s">
        <v>20</v>
      </c>
      <c r="H8" s="2" t="s">
        <v>7333</v>
      </c>
      <c r="I8" s="2" t="s">
        <v>7334</v>
      </c>
      <c r="J8" s="2" t="n">
        <v>2</v>
      </c>
    </row>
    <row r="9" customFormat="false" ht="61.15" hidden="false" customHeight="false" outlineLevel="0" collapsed="false">
      <c r="A9" s="2" t="s">
        <v>7335</v>
      </c>
      <c r="B9" s="2" t="s">
        <v>8069</v>
      </c>
      <c r="C9" s="2" t="s">
        <v>7336</v>
      </c>
      <c r="D9" s="2" t="s">
        <v>7337</v>
      </c>
      <c r="E9" s="2" t="s">
        <v>7338</v>
      </c>
      <c r="F9" s="2" t="s">
        <v>7339</v>
      </c>
      <c r="G9" s="2" t="s">
        <v>20</v>
      </c>
      <c r="H9" s="2" t="s">
        <v>7340</v>
      </c>
      <c r="I9" s="2" t="s">
        <v>7341</v>
      </c>
      <c r="J9" s="2" t="n">
        <v>2</v>
      </c>
    </row>
    <row r="10" customFormat="false" ht="76.1" hidden="false" customHeight="false" outlineLevel="0" collapsed="false">
      <c r="A10" s="2" t="s">
        <v>7342</v>
      </c>
      <c r="B10" s="2" t="s">
        <v>8069</v>
      </c>
      <c r="C10" s="2" t="s">
        <v>7343</v>
      </c>
      <c r="D10" s="2" t="s">
        <v>7344</v>
      </c>
      <c r="E10" s="2" t="s">
        <v>7345</v>
      </c>
      <c r="F10" s="2" t="s">
        <v>7346</v>
      </c>
      <c r="G10" s="2" t="s">
        <v>20</v>
      </c>
      <c r="H10" s="2" t="s">
        <v>7347</v>
      </c>
      <c r="I10" s="2" t="s">
        <v>7348</v>
      </c>
      <c r="J10" s="2" t="n">
        <v>1</v>
      </c>
    </row>
    <row r="11" customFormat="false" ht="46.25" hidden="false" customHeight="false" outlineLevel="0" collapsed="false">
      <c r="A11" s="2" t="s">
        <v>7349</v>
      </c>
      <c r="B11" s="2" t="s">
        <v>8069</v>
      </c>
      <c r="C11" s="2" t="s">
        <v>7350</v>
      </c>
      <c r="D11" s="2" t="s">
        <v>7351</v>
      </c>
      <c r="E11" s="2" t="s">
        <v>7352</v>
      </c>
      <c r="F11" s="2" t="s">
        <v>7353</v>
      </c>
      <c r="G11" s="2" t="s">
        <v>20</v>
      </c>
      <c r="H11" s="2" t="s">
        <v>7354</v>
      </c>
      <c r="I11" s="2" t="s">
        <v>7355</v>
      </c>
      <c r="J11" s="2" t="n">
        <v>1</v>
      </c>
    </row>
    <row r="12" customFormat="false" ht="61.15" hidden="false" customHeight="false" outlineLevel="0" collapsed="false">
      <c r="A12" s="2" t="s">
        <v>7356</v>
      </c>
      <c r="B12" s="2" t="s">
        <v>8069</v>
      </c>
      <c r="C12" s="2" t="s">
        <v>7357</v>
      </c>
      <c r="D12" s="2" t="s">
        <v>7358</v>
      </c>
      <c r="E12" s="2" t="s">
        <v>7359</v>
      </c>
      <c r="F12" s="2" t="s">
        <v>7360</v>
      </c>
      <c r="G12" s="2" t="s">
        <v>20</v>
      </c>
      <c r="H12" s="2" t="s">
        <v>7361</v>
      </c>
      <c r="I12" s="2" t="s">
        <v>7362</v>
      </c>
      <c r="J12" s="2" t="n">
        <v>2</v>
      </c>
    </row>
    <row r="13" customFormat="false" ht="61.15" hidden="false" customHeight="false" outlineLevel="0" collapsed="false">
      <c r="A13" s="2" t="s">
        <v>7363</v>
      </c>
      <c r="B13" s="2" t="s">
        <v>8069</v>
      </c>
      <c r="C13" s="2" t="s">
        <v>7364</v>
      </c>
      <c r="D13" s="2" t="s">
        <v>7365</v>
      </c>
      <c r="E13" s="2" t="s">
        <v>7366</v>
      </c>
      <c r="F13" s="2" t="s">
        <v>7367</v>
      </c>
      <c r="G13" s="2" t="s">
        <v>226</v>
      </c>
      <c r="H13" s="2" t="s">
        <v>7368</v>
      </c>
      <c r="I13" s="2" t="s">
        <v>7369</v>
      </c>
      <c r="J13" s="2" t="n">
        <v>2</v>
      </c>
    </row>
    <row r="14" customFormat="false" ht="61.15" hidden="false" customHeight="false" outlineLevel="0" collapsed="false">
      <c r="A14" s="2" t="s">
        <v>7370</v>
      </c>
      <c r="B14" s="2" t="s">
        <v>8069</v>
      </c>
      <c r="C14" s="2" t="s">
        <v>7371</v>
      </c>
      <c r="D14" s="2" t="s">
        <v>7372</v>
      </c>
      <c r="E14" s="2" t="s">
        <v>7373</v>
      </c>
      <c r="F14" s="2" t="s">
        <v>7374</v>
      </c>
      <c r="G14" s="2" t="s">
        <v>20</v>
      </c>
      <c r="H14" s="2" t="s">
        <v>7375</v>
      </c>
      <c r="I14" s="2" t="s">
        <v>7376</v>
      </c>
      <c r="J14" s="2" t="n">
        <v>2</v>
      </c>
    </row>
    <row r="15" customFormat="false" ht="46.25" hidden="false" customHeight="false" outlineLevel="0" collapsed="false">
      <c r="A15" s="2" t="s">
        <v>7377</v>
      </c>
      <c r="B15" s="2" t="s">
        <v>8069</v>
      </c>
      <c r="C15" s="2" t="s">
        <v>7378</v>
      </c>
      <c r="D15" s="2" t="s">
        <v>7379</v>
      </c>
      <c r="E15" s="2" t="s">
        <v>7380</v>
      </c>
      <c r="F15" s="2" t="s">
        <v>7381</v>
      </c>
      <c r="G15" s="2" t="s">
        <v>20</v>
      </c>
      <c r="H15" s="2" t="s">
        <v>7382</v>
      </c>
      <c r="I15" s="2" t="s">
        <v>7383</v>
      </c>
      <c r="J15" s="2" t="n">
        <v>2</v>
      </c>
    </row>
    <row r="16" customFormat="false" ht="76.1" hidden="false" customHeight="false" outlineLevel="0" collapsed="false">
      <c r="A16" s="2" t="s">
        <v>7384</v>
      </c>
      <c r="B16" s="2" t="s">
        <v>8069</v>
      </c>
      <c r="C16" s="2" t="s">
        <v>7385</v>
      </c>
      <c r="D16" s="2" t="s">
        <v>7386</v>
      </c>
      <c r="E16" s="2" t="s">
        <v>7387</v>
      </c>
      <c r="F16" s="2" t="s">
        <v>7388</v>
      </c>
      <c r="G16" s="2" t="s">
        <v>20</v>
      </c>
      <c r="H16" s="2" t="s">
        <v>7389</v>
      </c>
      <c r="I16" s="2" t="s">
        <v>7390</v>
      </c>
      <c r="J16" s="2" t="n">
        <v>2</v>
      </c>
    </row>
    <row r="17" customFormat="false" ht="46.25" hidden="false" customHeight="false" outlineLevel="0" collapsed="false">
      <c r="A17" s="2" t="s">
        <v>7391</v>
      </c>
      <c r="B17" s="2" t="s">
        <v>8069</v>
      </c>
      <c r="C17" s="2" t="s">
        <v>7392</v>
      </c>
      <c r="D17" s="2" t="s">
        <v>7393</v>
      </c>
      <c r="E17" s="2" t="s">
        <v>7394</v>
      </c>
      <c r="F17" s="2" t="s">
        <v>7395</v>
      </c>
      <c r="G17" s="2" t="s">
        <v>226</v>
      </c>
      <c r="H17" s="2" t="s">
        <v>7396</v>
      </c>
      <c r="I17" s="2" t="s">
        <v>7397</v>
      </c>
      <c r="J17" s="2" t="n">
        <v>2</v>
      </c>
    </row>
    <row r="18" customFormat="false" ht="61.15" hidden="false" customHeight="false" outlineLevel="0" collapsed="false">
      <c r="A18" s="2" t="s">
        <v>7398</v>
      </c>
      <c r="B18" s="2" t="s">
        <v>8069</v>
      </c>
      <c r="C18" s="2" t="s">
        <v>7399</v>
      </c>
      <c r="D18" s="2" t="s">
        <v>7400</v>
      </c>
      <c r="E18" s="2" t="s">
        <v>7401</v>
      </c>
      <c r="F18" s="2" t="s">
        <v>7402</v>
      </c>
      <c r="G18" s="2" t="s">
        <v>20</v>
      </c>
      <c r="H18" s="2" t="s">
        <v>7403</v>
      </c>
      <c r="I18" s="2" t="s">
        <v>7404</v>
      </c>
      <c r="J18" s="2" t="n">
        <v>3</v>
      </c>
    </row>
    <row r="19" customFormat="false" ht="76.1" hidden="false" customHeight="false" outlineLevel="0" collapsed="false">
      <c r="A19" s="2" t="s">
        <v>7405</v>
      </c>
      <c r="B19" s="2" t="s">
        <v>8069</v>
      </c>
      <c r="C19" s="2" t="s">
        <v>7406</v>
      </c>
      <c r="D19" s="2" t="s">
        <v>7407</v>
      </c>
      <c r="E19" s="2" t="s">
        <v>7408</v>
      </c>
      <c r="F19" s="2" t="s">
        <v>7409</v>
      </c>
      <c r="G19" s="2" t="s">
        <v>20</v>
      </c>
      <c r="H19" s="2" t="s">
        <v>7410</v>
      </c>
      <c r="I19" s="2" t="s">
        <v>7411</v>
      </c>
      <c r="J19" s="2" t="n">
        <v>2</v>
      </c>
    </row>
    <row r="20" customFormat="false" ht="46.25" hidden="false" customHeight="false" outlineLevel="0" collapsed="false">
      <c r="A20" s="2" t="s">
        <v>7412</v>
      </c>
      <c r="B20" s="2" t="s">
        <v>8069</v>
      </c>
      <c r="C20" s="2" t="s">
        <v>7413</v>
      </c>
      <c r="D20" s="2" t="s">
        <v>7414</v>
      </c>
      <c r="E20" s="2" t="s">
        <v>7415</v>
      </c>
      <c r="F20" s="2" t="s">
        <v>7416</v>
      </c>
      <c r="G20" s="2" t="s">
        <v>20</v>
      </c>
      <c r="H20" s="2" t="s">
        <v>7417</v>
      </c>
      <c r="I20" s="2" t="s">
        <v>7418</v>
      </c>
      <c r="J20" s="2" t="n">
        <v>2</v>
      </c>
    </row>
    <row r="21" customFormat="false" ht="46.25" hidden="false" customHeight="false" outlineLevel="0" collapsed="false">
      <c r="A21" s="2" t="s">
        <v>7419</v>
      </c>
      <c r="B21" s="2" t="s">
        <v>8069</v>
      </c>
      <c r="C21" s="2" t="s">
        <v>7420</v>
      </c>
      <c r="D21" s="2" t="s">
        <v>7421</v>
      </c>
      <c r="E21" s="2" t="s">
        <v>7422</v>
      </c>
      <c r="F21" s="2" t="s">
        <v>7423</v>
      </c>
      <c r="G21" s="2" t="s">
        <v>226</v>
      </c>
      <c r="H21" s="2" t="s">
        <v>7424</v>
      </c>
      <c r="I21" s="2" t="s">
        <v>7425</v>
      </c>
      <c r="J21" s="2" t="n">
        <v>2</v>
      </c>
    </row>
    <row r="22" customFormat="false" ht="76.1" hidden="false" customHeight="false" outlineLevel="0" collapsed="false">
      <c r="A22" s="2" t="s">
        <v>7426</v>
      </c>
      <c r="B22" s="2" t="s">
        <v>8069</v>
      </c>
      <c r="C22" s="2" t="s">
        <v>7427</v>
      </c>
      <c r="D22" s="2" t="s">
        <v>7428</v>
      </c>
      <c r="E22" s="2" t="s">
        <v>7429</v>
      </c>
      <c r="F22" s="2" t="s">
        <v>7430</v>
      </c>
      <c r="G22" s="2" t="s">
        <v>20</v>
      </c>
      <c r="H22" s="2" t="s">
        <v>7431</v>
      </c>
      <c r="I22" s="2" t="s">
        <v>7432</v>
      </c>
      <c r="J22" s="2" t="n">
        <v>3</v>
      </c>
    </row>
    <row r="23" customFormat="false" ht="61.15" hidden="false" customHeight="false" outlineLevel="0" collapsed="false">
      <c r="A23" s="2" t="s">
        <v>7433</v>
      </c>
      <c r="B23" s="2" t="s">
        <v>8069</v>
      </c>
      <c r="C23" s="2" t="s">
        <v>7434</v>
      </c>
      <c r="D23" s="2" t="s">
        <v>7435</v>
      </c>
      <c r="E23" s="2" t="s">
        <v>7436</v>
      </c>
      <c r="F23" s="2" t="s">
        <v>7437</v>
      </c>
      <c r="G23" s="2" t="s">
        <v>226</v>
      </c>
      <c r="H23" s="2" t="s">
        <v>7438</v>
      </c>
      <c r="I23" s="2" t="s">
        <v>7439</v>
      </c>
      <c r="J23" s="2" t="n">
        <v>3</v>
      </c>
    </row>
    <row r="24" customFormat="false" ht="46.25" hidden="false" customHeight="false" outlineLevel="0" collapsed="false">
      <c r="A24" s="2" t="s">
        <v>7440</v>
      </c>
      <c r="B24" s="2" t="s">
        <v>8069</v>
      </c>
      <c r="C24" s="2" t="s">
        <v>7441</v>
      </c>
      <c r="D24" s="2" t="s">
        <v>7442</v>
      </c>
      <c r="E24" s="2" t="s">
        <v>7443</v>
      </c>
      <c r="F24" s="2" t="s">
        <v>7444</v>
      </c>
      <c r="G24" s="2" t="s">
        <v>20</v>
      </c>
      <c r="H24" s="2" t="s">
        <v>7445</v>
      </c>
      <c r="I24" s="2" t="s">
        <v>7446</v>
      </c>
      <c r="J24" s="2" t="n">
        <v>2</v>
      </c>
    </row>
    <row r="25" customFormat="false" ht="76.1" hidden="false" customHeight="false" outlineLevel="0" collapsed="false">
      <c r="A25" s="2" t="s">
        <v>7447</v>
      </c>
      <c r="B25" s="2" t="s">
        <v>8069</v>
      </c>
      <c r="C25" s="2" t="s">
        <v>7448</v>
      </c>
      <c r="D25" s="2" t="s">
        <v>7449</v>
      </c>
      <c r="E25" s="2" t="s">
        <v>7450</v>
      </c>
      <c r="F25" s="2" t="s">
        <v>7451</v>
      </c>
      <c r="G25" s="2" t="s">
        <v>20</v>
      </c>
      <c r="H25" s="2" t="s">
        <v>7452</v>
      </c>
      <c r="I25" s="2" t="s">
        <v>7453</v>
      </c>
      <c r="J25" s="2" t="n">
        <v>3</v>
      </c>
    </row>
    <row r="26" customFormat="false" ht="61.15" hidden="false" customHeight="false" outlineLevel="0" collapsed="false">
      <c r="A26" s="2" t="s">
        <v>7454</v>
      </c>
      <c r="B26" s="2" t="s">
        <v>8069</v>
      </c>
      <c r="C26" s="2" t="s">
        <v>7455</v>
      </c>
      <c r="D26" s="2" t="s">
        <v>7456</v>
      </c>
      <c r="E26" s="2" t="s">
        <v>7457</v>
      </c>
      <c r="F26" s="2" t="s">
        <v>7458</v>
      </c>
      <c r="G26" s="2" t="s">
        <v>20</v>
      </c>
      <c r="H26" s="2" t="s">
        <v>7459</v>
      </c>
      <c r="I26" s="2" t="s">
        <v>7460</v>
      </c>
      <c r="J26" s="2" t="n">
        <v>3</v>
      </c>
    </row>
    <row r="27" customFormat="false" ht="61.15" hidden="false" customHeight="false" outlineLevel="0" collapsed="false">
      <c r="A27" s="2" t="s">
        <v>7461</v>
      </c>
      <c r="B27" s="2" t="s">
        <v>8069</v>
      </c>
      <c r="C27" s="2" t="s">
        <v>7462</v>
      </c>
      <c r="D27" s="2" t="s">
        <v>7463</v>
      </c>
      <c r="E27" s="2" t="s">
        <v>7464</v>
      </c>
      <c r="F27" s="2" t="s">
        <v>7465</v>
      </c>
      <c r="G27" s="2" t="s">
        <v>20</v>
      </c>
      <c r="H27" s="2" t="s">
        <v>7466</v>
      </c>
      <c r="I27" s="2" t="s">
        <v>7467</v>
      </c>
      <c r="J27" s="2" t="n">
        <v>2</v>
      </c>
    </row>
    <row r="28" customFormat="false" ht="61.15" hidden="false" customHeight="false" outlineLevel="0" collapsed="false">
      <c r="A28" s="2" t="s">
        <v>7468</v>
      </c>
      <c r="B28" s="2" t="s">
        <v>8069</v>
      </c>
      <c r="C28" s="2" t="s">
        <v>7469</v>
      </c>
      <c r="D28" s="2" t="s">
        <v>7470</v>
      </c>
      <c r="E28" s="2" t="s">
        <v>7471</v>
      </c>
      <c r="F28" s="2" t="s">
        <v>7472</v>
      </c>
      <c r="G28" s="2" t="s">
        <v>20</v>
      </c>
      <c r="H28" s="2" t="s">
        <v>7473</v>
      </c>
      <c r="I28" s="2" t="s">
        <v>7474</v>
      </c>
      <c r="J28" s="2" t="n">
        <v>2</v>
      </c>
    </row>
    <row r="29" customFormat="false" ht="46.25" hidden="false" customHeight="false" outlineLevel="0" collapsed="false">
      <c r="A29" s="2" t="s">
        <v>7475</v>
      </c>
      <c r="B29" s="2" t="s">
        <v>8069</v>
      </c>
      <c r="C29" s="2" t="s">
        <v>7476</v>
      </c>
      <c r="D29" s="2" t="s">
        <v>7477</v>
      </c>
      <c r="E29" s="2" t="s">
        <v>7478</v>
      </c>
      <c r="F29" s="2" t="s">
        <v>7479</v>
      </c>
      <c r="G29" s="2" t="s">
        <v>20</v>
      </c>
      <c r="H29" s="2" t="s">
        <v>7480</v>
      </c>
      <c r="I29" s="2" t="s">
        <v>7481</v>
      </c>
      <c r="J29" s="2" t="n">
        <v>3</v>
      </c>
    </row>
    <row r="30" customFormat="false" ht="46.25" hidden="false" customHeight="false" outlineLevel="0" collapsed="false">
      <c r="A30" s="2" t="s">
        <v>7482</v>
      </c>
      <c r="B30" s="2" t="s">
        <v>8069</v>
      </c>
      <c r="C30" s="2" t="s">
        <v>7483</v>
      </c>
      <c r="D30" s="2" t="s">
        <v>7484</v>
      </c>
      <c r="E30" s="2" t="s">
        <v>7485</v>
      </c>
      <c r="F30" s="2" t="s">
        <v>7486</v>
      </c>
      <c r="G30" s="2" t="s">
        <v>20</v>
      </c>
      <c r="H30" s="2" t="s">
        <v>7487</v>
      </c>
      <c r="I30" s="2" t="s">
        <v>7488</v>
      </c>
      <c r="J30" s="2" t="n">
        <v>2</v>
      </c>
    </row>
    <row r="31" customFormat="false" ht="76.1" hidden="false" customHeight="false" outlineLevel="0" collapsed="false">
      <c r="A31" s="2" t="s">
        <v>7489</v>
      </c>
      <c r="B31" s="2" t="s">
        <v>8069</v>
      </c>
      <c r="C31" s="2" t="s">
        <v>7490</v>
      </c>
      <c r="D31" s="2" t="s">
        <v>7491</v>
      </c>
      <c r="E31" s="2" t="s">
        <v>7492</v>
      </c>
      <c r="F31" s="2" t="s">
        <v>7493</v>
      </c>
      <c r="G31" s="2" t="s">
        <v>20</v>
      </c>
      <c r="H31" s="2" t="s">
        <v>7494</v>
      </c>
      <c r="I31" s="2" t="s">
        <v>7495</v>
      </c>
      <c r="J31" s="2" t="n">
        <v>3</v>
      </c>
    </row>
    <row r="32" customFormat="false" ht="46.25" hidden="false" customHeight="false" outlineLevel="0" collapsed="false">
      <c r="A32" s="2" t="s">
        <v>7496</v>
      </c>
      <c r="B32" s="2" t="s">
        <v>8069</v>
      </c>
      <c r="C32" s="2" t="s">
        <v>7497</v>
      </c>
      <c r="D32" s="2" t="s">
        <v>7498</v>
      </c>
      <c r="E32" s="2" t="s">
        <v>7499</v>
      </c>
      <c r="F32" s="2" t="s">
        <v>7500</v>
      </c>
      <c r="G32" s="2" t="s">
        <v>20</v>
      </c>
      <c r="H32" s="2" t="s">
        <v>7501</v>
      </c>
      <c r="I32" s="2" t="s">
        <v>7502</v>
      </c>
      <c r="J32" s="2" t="n">
        <v>3</v>
      </c>
    </row>
    <row r="33" customFormat="false" ht="76.1" hidden="false" customHeight="false" outlineLevel="0" collapsed="false">
      <c r="A33" s="2" t="s">
        <v>7503</v>
      </c>
      <c r="B33" s="2" t="s">
        <v>8069</v>
      </c>
      <c r="C33" s="2" t="s">
        <v>7504</v>
      </c>
      <c r="D33" s="2" t="s">
        <v>7505</v>
      </c>
      <c r="E33" s="2" t="s">
        <v>7506</v>
      </c>
      <c r="F33" s="2" t="s">
        <v>7507</v>
      </c>
      <c r="G33" s="2" t="s">
        <v>20</v>
      </c>
      <c r="H33" s="2" t="s">
        <v>7508</v>
      </c>
      <c r="I33" s="2" t="s">
        <v>7509</v>
      </c>
      <c r="J33" s="2" t="n">
        <v>2</v>
      </c>
    </row>
    <row r="34" customFormat="false" ht="46.25" hidden="false" customHeight="false" outlineLevel="0" collapsed="false">
      <c r="A34" s="2" t="s">
        <v>7510</v>
      </c>
      <c r="B34" s="2" t="s">
        <v>8069</v>
      </c>
      <c r="C34" s="2" t="s">
        <v>7511</v>
      </c>
      <c r="D34" s="2" t="s">
        <v>7512</v>
      </c>
      <c r="E34" s="2" t="s">
        <v>7513</v>
      </c>
      <c r="F34" s="2" t="s">
        <v>7514</v>
      </c>
      <c r="G34" s="2" t="s">
        <v>20</v>
      </c>
      <c r="H34" s="2" t="s">
        <v>7515</v>
      </c>
      <c r="I34" s="2" t="s">
        <v>7516</v>
      </c>
      <c r="J34" s="2" t="n">
        <v>2</v>
      </c>
    </row>
    <row r="35" customFormat="false" ht="46.25" hidden="false" customHeight="false" outlineLevel="0" collapsed="false">
      <c r="A35" s="2" t="s">
        <v>7517</v>
      </c>
      <c r="B35" s="2" t="s">
        <v>8069</v>
      </c>
      <c r="C35" s="2" t="s">
        <v>7518</v>
      </c>
      <c r="D35" s="2" t="s">
        <v>7519</v>
      </c>
      <c r="E35" s="2" t="s">
        <v>7520</v>
      </c>
      <c r="F35" s="2" t="s">
        <v>7521</v>
      </c>
      <c r="G35" s="2" t="s">
        <v>20</v>
      </c>
      <c r="H35" s="2" t="s">
        <v>7522</v>
      </c>
      <c r="I35" s="2" t="s">
        <v>7523</v>
      </c>
      <c r="J35" s="2" t="n">
        <v>2</v>
      </c>
    </row>
    <row r="36" customFormat="false" ht="31.3" hidden="false" customHeight="false" outlineLevel="0" collapsed="false">
      <c r="A36" s="2" t="s">
        <v>7524</v>
      </c>
      <c r="B36" s="2" t="s">
        <v>8069</v>
      </c>
      <c r="C36" s="2" t="s">
        <v>7525</v>
      </c>
      <c r="D36" s="2" t="s">
        <v>7526</v>
      </c>
      <c r="E36" s="2" t="s">
        <v>7527</v>
      </c>
      <c r="F36" s="2" t="s">
        <v>7528</v>
      </c>
      <c r="G36" s="2" t="s">
        <v>20</v>
      </c>
      <c r="H36" s="2" t="s">
        <v>7529</v>
      </c>
      <c r="I36" s="2" t="s">
        <v>7530</v>
      </c>
      <c r="J36" s="2" t="n">
        <v>2</v>
      </c>
    </row>
    <row r="37" customFormat="false" ht="61.15" hidden="false" customHeight="false" outlineLevel="0" collapsed="false">
      <c r="A37" s="2" t="s">
        <v>7531</v>
      </c>
      <c r="B37" s="2" t="s">
        <v>8069</v>
      </c>
      <c r="C37" s="2" t="s">
        <v>7532</v>
      </c>
      <c r="D37" s="2" t="s">
        <v>7533</v>
      </c>
      <c r="E37" s="2" t="s">
        <v>7534</v>
      </c>
      <c r="F37" s="2" t="s">
        <v>7535</v>
      </c>
      <c r="G37" s="2" t="s">
        <v>226</v>
      </c>
      <c r="H37" s="2" t="s">
        <v>7536</v>
      </c>
      <c r="I37" s="2" t="s">
        <v>7537</v>
      </c>
      <c r="J37" s="2" t="n">
        <v>2</v>
      </c>
    </row>
    <row r="38" customFormat="false" ht="46.25" hidden="false" customHeight="false" outlineLevel="0" collapsed="false">
      <c r="A38" s="2" t="s">
        <v>7538</v>
      </c>
      <c r="B38" s="2" t="s">
        <v>8069</v>
      </c>
      <c r="C38" s="2" t="s">
        <v>7539</v>
      </c>
      <c r="D38" s="2" t="s">
        <v>7540</v>
      </c>
      <c r="E38" s="2" t="s">
        <v>7541</v>
      </c>
      <c r="F38" s="2" t="s">
        <v>7542</v>
      </c>
      <c r="G38" s="2" t="s">
        <v>20</v>
      </c>
      <c r="H38" s="2" t="s">
        <v>7543</v>
      </c>
      <c r="I38" s="2" t="s">
        <v>7544</v>
      </c>
      <c r="J38" s="2" t="n">
        <v>2</v>
      </c>
    </row>
    <row r="39" customFormat="false" ht="76.1" hidden="false" customHeight="false" outlineLevel="0" collapsed="false">
      <c r="A39" s="2" t="s">
        <v>7545</v>
      </c>
      <c r="B39" s="2" t="s">
        <v>8069</v>
      </c>
      <c r="C39" s="2" t="s">
        <v>7546</v>
      </c>
      <c r="D39" s="2" t="s">
        <v>7547</v>
      </c>
      <c r="E39" s="2" t="s">
        <v>7548</v>
      </c>
      <c r="F39" s="2" t="s">
        <v>7549</v>
      </c>
      <c r="G39" s="2" t="s">
        <v>20</v>
      </c>
      <c r="H39" s="2" t="s">
        <v>7550</v>
      </c>
      <c r="I39" s="2" t="s">
        <v>7551</v>
      </c>
      <c r="J39" s="2" t="n">
        <v>2</v>
      </c>
    </row>
    <row r="40" customFormat="false" ht="46.25" hidden="false" customHeight="false" outlineLevel="0" collapsed="false">
      <c r="A40" s="2" t="s">
        <v>7552</v>
      </c>
      <c r="B40" s="2" t="s">
        <v>8069</v>
      </c>
      <c r="C40" s="2" t="s">
        <v>7553</v>
      </c>
      <c r="D40" s="2" t="s">
        <v>7554</v>
      </c>
      <c r="E40" s="2" t="s">
        <v>7555</v>
      </c>
      <c r="F40" s="2" t="s">
        <v>7556</v>
      </c>
      <c r="G40" s="2" t="s">
        <v>20</v>
      </c>
      <c r="H40" s="2" t="s">
        <v>7557</v>
      </c>
      <c r="I40" s="2" t="s">
        <v>7558</v>
      </c>
      <c r="J40" s="2" t="n">
        <v>2</v>
      </c>
    </row>
    <row r="41" customFormat="false" ht="61.15" hidden="false" customHeight="false" outlineLevel="0" collapsed="false">
      <c r="A41" s="2" t="s">
        <v>7559</v>
      </c>
      <c r="B41" s="2" t="s">
        <v>8069</v>
      </c>
      <c r="C41" s="2" t="s">
        <v>7560</v>
      </c>
      <c r="D41" s="2" t="s">
        <v>7561</v>
      </c>
      <c r="E41" s="2" t="s">
        <v>7562</v>
      </c>
      <c r="F41" s="2" t="s">
        <v>7563</v>
      </c>
      <c r="G41" s="2" t="s">
        <v>20</v>
      </c>
      <c r="H41" s="2" t="s">
        <v>7564</v>
      </c>
      <c r="I41" s="2" t="s">
        <v>7565</v>
      </c>
      <c r="J41" s="2" t="n">
        <v>2</v>
      </c>
    </row>
    <row r="42" customFormat="false" ht="61.15" hidden="false" customHeight="false" outlineLevel="0" collapsed="false">
      <c r="A42" s="2" t="s">
        <v>7566</v>
      </c>
      <c r="B42" s="2" t="s">
        <v>8069</v>
      </c>
      <c r="C42" s="2" t="s">
        <v>7567</v>
      </c>
      <c r="D42" s="2" t="s">
        <v>7568</v>
      </c>
      <c r="E42" s="2" t="s">
        <v>7569</v>
      </c>
      <c r="F42" s="2" t="s">
        <v>7570</v>
      </c>
      <c r="G42" s="2" t="s">
        <v>20</v>
      </c>
      <c r="H42" s="2" t="s">
        <v>7571</v>
      </c>
      <c r="I42" s="2" t="s">
        <v>7572</v>
      </c>
      <c r="J42" s="2" t="n">
        <v>3</v>
      </c>
    </row>
    <row r="43" customFormat="false" ht="61.15" hidden="false" customHeight="false" outlineLevel="0" collapsed="false">
      <c r="A43" s="2" t="s">
        <v>7573</v>
      </c>
      <c r="B43" s="2" t="s">
        <v>8069</v>
      </c>
      <c r="C43" s="2" t="s">
        <v>7574</v>
      </c>
      <c r="D43" s="2" t="s">
        <v>7575</v>
      </c>
      <c r="E43" s="2" t="s">
        <v>7576</v>
      </c>
      <c r="F43" s="2" t="s">
        <v>7577</v>
      </c>
      <c r="G43" s="2" t="s">
        <v>20</v>
      </c>
      <c r="H43" s="2" t="s">
        <v>7578</v>
      </c>
      <c r="I43" s="2" t="s">
        <v>7579</v>
      </c>
      <c r="J43" s="2" t="n">
        <v>2</v>
      </c>
    </row>
    <row r="44" customFormat="false" ht="46.25" hidden="false" customHeight="false" outlineLevel="0" collapsed="false">
      <c r="A44" s="2" t="s">
        <v>7580</v>
      </c>
      <c r="B44" s="2" t="s">
        <v>8069</v>
      </c>
      <c r="C44" s="2" t="s">
        <v>7581</v>
      </c>
      <c r="D44" s="2" t="s">
        <v>7582</v>
      </c>
      <c r="E44" s="2" t="s">
        <v>7583</v>
      </c>
      <c r="F44" s="2" t="s">
        <v>7584</v>
      </c>
      <c r="G44" s="2" t="s">
        <v>20</v>
      </c>
      <c r="H44" s="2" t="s">
        <v>7585</v>
      </c>
      <c r="I44" s="2" t="s">
        <v>7586</v>
      </c>
      <c r="J44" s="2" t="n">
        <v>3</v>
      </c>
    </row>
    <row r="45" customFormat="false" ht="76.1" hidden="false" customHeight="false" outlineLevel="0" collapsed="false">
      <c r="A45" s="2" t="s">
        <v>7587</v>
      </c>
      <c r="B45" s="2" t="s">
        <v>8069</v>
      </c>
      <c r="C45" s="2" t="s">
        <v>7588</v>
      </c>
      <c r="D45" s="2" t="s">
        <v>7589</v>
      </c>
      <c r="E45" s="2" t="s">
        <v>7590</v>
      </c>
      <c r="F45" s="2" t="s">
        <v>7591</v>
      </c>
      <c r="G45" s="2" t="s">
        <v>28</v>
      </c>
      <c r="H45" s="2" t="s">
        <v>7592</v>
      </c>
      <c r="I45" s="2" t="s">
        <v>7593</v>
      </c>
      <c r="J45" s="2" t="n">
        <v>3</v>
      </c>
    </row>
    <row r="46" customFormat="false" ht="61.15" hidden="false" customHeight="false" outlineLevel="0" collapsed="false">
      <c r="A46" s="2" t="s">
        <v>7594</v>
      </c>
      <c r="B46" s="2" t="s">
        <v>8069</v>
      </c>
      <c r="C46" s="2" t="s">
        <v>7595</v>
      </c>
      <c r="D46" s="2" t="s">
        <v>7596</v>
      </c>
      <c r="E46" s="2" t="s">
        <v>7597</v>
      </c>
      <c r="F46" s="2" t="s">
        <v>7598</v>
      </c>
      <c r="G46" s="2" t="s">
        <v>20</v>
      </c>
      <c r="H46" s="2" t="s">
        <v>7599</v>
      </c>
      <c r="I46" s="2" t="s">
        <v>7600</v>
      </c>
      <c r="J46" s="2" t="n">
        <v>3</v>
      </c>
    </row>
    <row r="47" customFormat="false" ht="76.1" hidden="false" customHeight="false" outlineLevel="0" collapsed="false">
      <c r="A47" s="2" t="s">
        <v>7601</v>
      </c>
      <c r="B47" s="2" t="s">
        <v>8069</v>
      </c>
      <c r="C47" s="2" t="s">
        <v>7602</v>
      </c>
      <c r="D47" s="2" t="s">
        <v>7603</v>
      </c>
      <c r="E47" s="2" t="s">
        <v>7604</v>
      </c>
      <c r="F47" s="2" t="s">
        <v>7605</v>
      </c>
      <c r="G47" s="2" t="s">
        <v>20</v>
      </c>
      <c r="H47" s="2" t="s">
        <v>7606</v>
      </c>
      <c r="I47" s="2" t="s">
        <v>7607</v>
      </c>
      <c r="J47" s="2" t="n">
        <v>2</v>
      </c>
    </row>
    <row r="48" customFormat="false" ht="76.1" hidden="false" customHeight="false" outlineLevel="0" collapsed="false">
      <c r="A48" s="2" t="s">
        <v>7608</v>
      </c>
      <c r="B48" s="2" t="s">
        <v>8069</v>
      </c>
      <c r="C48" s="2" t="s">
        <v>7609</v>
      </c>
      <c r="D48" s="2" t="s">
        <v>7610</v>
      </c>
      <c r="E48" s="2" t="s">
        <v>7611</v>
      </c>
      <c r="F48" s="2" t="s">
        <v>7612</v>
      </c>
      <c r="G48" s="2" t="s">
        <v>20</v>
      </c>
      <c r="H48" s="2" t="s">
        <v>7613</v>
      </c>
      <c r="I48" s="2" t="s">
        <v>7614</v>
      </c>
      <c r="J48" s="2" t="n">
        <v>2</v>
      </c>
    </row>
    <row r="49" customFormat="false" ht="46.25" hidden="false" customHeight="false" outlineLevel="0" collapsed="false">
      <c r="A49" s="2" t="s">
        <v>7615</v>
      </c>
      <c r="B49" s="2" t="s">
        <v>8069</v>
      </c>
      <c r="C49" s="2" t="s">
        <v>7616</v>
      </c>
      <c r="D49" s="2" t="s">
        <v>7617</v>
      </c>
      <c r="E49" s="2" t="s">
        <v>7618</v>
      </c>
      <c r="F49" s="2" t="s">
        <v>7619</v>
      </c>
      <c r="G49" s="2" t="s">
        <v>20</v>
      </c>
      <c r="H49" s="2" t="s">
        <v>7620</v>
      </c>
      <c r="I49" s="2" t="s">
        <v>7621</v>
      </c>
      <c r="J49" s="2" t="n">
        <v>2</v>
      </c>
    </row>
    <row r="50" customFormat="false" ht="61.15" hidden="false" customHeight="false" outlineLevel="0" collapsed="false">
      <c r="A50" s="2" t="s">
        <v>7622</v>
      </c>
      <c r="B50" s="2" t="s">
        <v>8069</v>
      </c>
      <c r="C50" s="2" t="s">
        <v>7623</v>
      </c>
      <c r="D50" s="2" t="s">
        <v>7624</v>
      </c>
      <c r="E50" s="2" t="s">
        <v>7625</v>
      </c>
      <c r="F50" s="2" t="s">
        <v>7626</v>
      </c>
      <c r="G50" s="2" t="s">
        <v>20</v>
      </c>
      <c r="H50" s="2" t="s">
        <v>7627</v>
      </c>
      <c r="I50" s="2" t="s">
        <v>7628</v>
      </c>
      <c r="J50" s="2" t="n">
        <v>3</v>
      </c>
    </row>
    <row r="51" customFormat="false" ht="46.25" hidden="false" customHeight="false" outlineLevel="0" collapsed="false">
      <c r="A51" s="2" t="s">
        <v>7629</v>
      </c>
      <c r="B51" s="2" t="s">
        <v>8069</v>
      </c>
      <c r="C51" s="2" t="s">
        <v>7630</v>
      </c>
      <c r="D51" s="2" t="s">
        <v>7631</v>
      </c>
      <c r="E51" s="2" t="s">
        <v>7632</v>
      </c>
      <c r="F51" s="2" t="s">
        <v>7633</v>
      </c>
      <c r="G51" s="2" t="s">
        <v>20</v>
      </c>
      <c r="H51" s="2" t="s">
        <v>7634</v>
      </c>
      <c r="I51" s="2" t="s">
        <v>7635</v>
      </c>
      <c r="J51" s="2" t="n">
        <v>2</v>
      </c>
    </row>
    <row r="52" customFormat="false" ht="61.15" hidden="false" customHeight="false" outlineLevel="0" collapsed="false">
      <c r="A52" s="2" t="s">
        <v>7636</v>
      </c>
      <c r="B52" s="2" t="s">
        <v>8069</v>
      </c>
      <c r="C52" s="2" t="s">
        <v>7637</v>
      </c>
      <c r="D52" s="2" t="s">
        <v>7638</v>
      </c>
      <c r="E52" s="2" t="s">
        <v>7639</v>
      </c>
      <c r="F52" s="2" t="s">
        <v>7640</v>
      </c>
      <c r="G52" s="2" t="s">
        <v>20</v>
      </c>
      <c r="H52" s="2" t="s">
        <v>7641</v>
      </c>
      <c r="I52" s="2" t="s">
        <v>7642</v>
      </c>
      <c r="J52" s="2" t="n">
        <v>3</v>
      </c>
    </row>
    <row r="53" customFormat="false" ht="46.25" hidden="false" customHeight="false" outlineLevel="0" collapsed="false">
      <c r="A53" s="2" t="s">
        <v>7643</v>
      </c>
      <c r="B53" s="2" t="s">
        <v>8069</v>
      </c>
      <c r="C53" s="2" t="s">
        <v>7644</v>
      </c>
      <c r="D53" s="2" t="s">
        <v>7645</v>
      </c>
      <c r="E53" s="2" t="s">
        <v>7646</v>
      </c>
      <c r="F53" s="2" t="s">
        <v>7647</v>
      </c>
      <c r="G53" s="2" t="s">
        <v>20</v>
      </c>
      <c r="H53" s="2" t="s">
        <v>7648</v>
      </c>
      <c r="I53" s="2" t="s">
        <v>7649</v>
      </c>
      <c r="J53" s="2" t="n">
        <v>3</v>
      </c>
    </row>
    <row r="54" customFormat="false" ht="76.1" hidden="false" customHeight="false" outlineLevel="0" collapsed="false">
      <c r="A54" s="2" t="s">
        <v>7650</v>
      </c>
      <c r="B54" s="2" t="s">
        <v>8069</v>
      </c>
      <c r="C54" s="2" t="s">
        <v>7651</v>
      </c>
      <c r="D54" s="2" t="s">
        <v>7652</v>
      </c>
      <c r="E54" s="2" t="s">
        <v>7653</v>
      </c>
      <c r="F54" s="2" t="s">
        <v>7654</v>
      </c>
      <c r="G54" s="2" t="s">
        <v>20</v>
      </c>
      <c r="H54" s="2" t="s">
        <v>7655</v>
      </c>
      <c r="I54" s="2" t="s">
        <v>7656</v>
      </c>
      <c r="J54" s="2" t="n">
        <v>4</v>
      </c>
    </row>
    <row r="55" customFormat="false" ht="46.25" hidden="false" customHeight="false" outlineLevel="0" collapsed="false">
      <c r="A55" s="2" t="s">
        <v>7657</v>
      </c>
      <c r="B55" s="2" t="s">
        <v>8069</v>
      </c>
      <c r="C55" s="2" t="s">
        <v>7658</v>
      </c>
      <c r="D55" s="2" t="s">
        <v>7659</v>
      </c>
      <c r="E55" s="2" t="s">
        <v>7660</v>
      </c>
      <c r="F55" s="2" t="s">
        <v>7661</v>
      </c>
      <c r="G55" s="2" t="s">
        <v>28</v>
      </c>
      <c r="H55" s="2" t="s">
        <v>7662</v>
      </c>
      <c r="I55" s="2" t="s">
        <v>7663</v>
      </c>
      <c r="J55" s="2" t="n">
        <v>2</v>
      </c>
    </row>
    <row r="56" customFormat="false" ht="120.85" hidden="false" customHeight="false" outlineLevel="0" collapsed="false">
      <c r="A56" s="2" t="s">
        <v>7664</v>
      </c>
      <c r="B56" s="2" t="s">
        <v>8068</v>
      </c>
      <c r="C56" s="2" t="s">
        <v>7665</v>
      </c>
      <c r="D56" s="2" t="s">
        <v>7666</v>
      </c>
      <c r="E56" s="2" t="s">
        <v>7667</v>
      </c>
      <c r="F56" s="2" t="s">
        <v>7668</v>
      </c>
      <c r="G56" s="2" t="s">
        <v>20</v>
      </c>
      <c r="H56" s="2" t="s">
        <v>7669</v>
      </c>
      <c r="I56" s="2" t="s">
        <v>7663</v>
      </c>
      <c r="J56" s="2" t="n">
        <v>2</v>
      </c>
    </row>
    <row r="57" customFormat="false" ht="61.15" hidden="false" customHeight="false" outlineLevel="0" collapsed="false">
      <c r="A57" s="2" t="s">
        <v>7670</v>
      </c>
      <c r="B57" s="2" t="s">
        <v>8069</v>
      </c>
      <c r="C57" s="2" t="s">
        <v>7671</v>
      </c>
      <c r="D57" s="2" t="s">
        <v>7672</v>
      </c>
      <c r="E57" s="2" t="s">
        <v>7673</v>
      </c>
      <c r="F57" s="2" t="s">
        <v>7674</v>
      </c>
      <c r="G57" s="2" t="s">
        <v>20</v>
      </c>
      <c r="H57" s="2" t="s">
        <v>7675</v>
      </c>
      <c r="I57" s="2" t="s">
        <v>7288</v>
      </c>
      <c r="J57" s="2" t="n">
        <v>2</v>
      </c>
    </row>
    <row r="58" customFormat="false" ht="61.15" hidden="false" customHeight="false" outlineLevel="0" collapsed="false">
      <c r="A58" s="2" t="s">
        <v>7676</v>
      </c>
      <c r="B58" s="2" t="s">
        <v>8069</v>
      </c>
      <c r="C58" s="2" t="s">
        <v>7677</v>
      </c>
      <c r="D58" s="2" t="s">
        <v>7678</v>
      </c>
      <c r="E58" s="2" t="s">
        <v>7679</v>
      </c>
      <c r="F58" s="2" t="s">
        <v>7680</v>
      </c>
      <c r="G58" s="2" t="s">
        <v>20</v>
      </c>
      <c r="H58" s="2" t="s">
        <v>7681</v>
      </c>
      <c r="I58" s="2" t="s">
        <v>7288</v>
      </c>
      <c r="J58" s="2" t="n">
        <v>1</v>
      </c>
    </row>
    <row r="59" customFormat="false" ht="46.25" hidden="false" customHeight="false" outlineLevel="0" collapsed="false">
      <c r="A59" s="2" t="s">
        <v>7682</v>
      </c>
      <c r="B59" s="2" t="s">
        <v>8069</v>
      </c>
      <c r="C59" s="2" t="s">
        <v>7683</v>
      </c>
      <c r="D59" s="2" t="s">
        <v>7684</v>
      </c>
      <c r="E59" s="2" t="s">
        <v>7685</v>
      </c>
      <c r="F59" s="2" t="s">
        <v>7686</v>
      </c>
      <c r="G59" s="2" t="s">
        <v>20</v>
      </c>
      <c r="H59" s="2" t="s">
        <v>7687</v>
      </c>
      <c r="I59" s="2" t="s">
        <v>7288</v>
      </c>
      <c r="J59" s="2" t="n">
        <v>2</v>
      </c>
    </row>
    <row r="60" customFormat="false" ht="46.25" hidden="false" customHeight="false" outlineLevel="0" collapsed="false">
      <c r="A60" s="2" t="s">
        <v>7688</v>
      </c>
      <c r="B60" s="2" t="s">
        <v>8069</v>
      </c>
      <c r="C60" s="2" t="s">
        <v>7689</v>
      </c>
      <c r="D60" s="2" t="s">
        <v>7690</v>
      </c>
      <c r="E60" s="2" t="s">
        <v>7691</v>
      </c>
      <c r="F60" s="2" t="s">
        <v>7692</v>
      </c>
      <c r="G60" s="2" t="s">
        <v>20</v>
      </c>
      <c r="H60" s="2" t="s">
        <v>7693</v>
      </c>
      <c r="I60" s="2" t="s">
        <v>7288</v>
      </c>
      <c r="J60" s="2" t="n">
        <v>2</v>
      </c>
    </row>
    <row r="61" customFormat="false" ht="76.1" hidden="false" customHeight="false" outlineLevel="0" collapsed="false">
      <c r="A61" s="2" t="s">
        <v>7694</v>
      </c>
      <c r="B61" s="2" t="s">
        <v>8069</v>
      </c>
      <c r="C61" s="2" t="s">
        <v>7695</v>
      </c>
      <c r="D61" s="2" t="s">
        <v>7696</v>
      </c>
      <c r="E61" s="2" t="s">
        <v>7697</v>
      </c>
      <c r="F61" s="2" t="s">
        <v>7698</v>
      </c>
      <c r="G61" s="2" t="s">
        <v>20</v>
      </c>
      <c r="H61" s="2" t="s">
        <v>7699</v>
      </c>
      <c r="I61" s="2" t="s">
        <v>7288</v>
      </c>
      <c r="J61" s="2" t="n">
        <v>3</v>
      </c>
    </row>
    <row r="62" customFormat="false" ht="76.1" hidden="false" customHeight="false" outlineLevel="0" collapsed="false">
      <c r="A62" s="2" t="s">
        <v>7700</v>
      </c>
      <c r="B62" s="2" t="s">
        <v>8069</v>
      </c>
      <c r="C62" s="2" t="s">
        <v>7701</v>
      </c>
      <c r="D62" s="2" t="s">
        <v>7702</v>
      </c>
      <c r="E62" s="2" t="s">
        <v>7703</v>
      </c>
      <c r="F62" s="2" t="s">
        <v>7704</v>
      </c>
      <c r="G62" s="2" t="s">
        <v>20</v>
      </c>
      <c r="H62" s="2" t="s">
        <v>7705</v>
      </c>
      <c r="I62" s="2" t="s">
        <v>7288</v>
      </c>
      <c r="J62" s="2" t="n">
        <v>3</v>
      </c>
    </row>
    <row r="63" customFormat="false" ht="76.1" hidden="false" customHeight="false" outlineLevel="0" collapsed="false">
      <c r="A63" s="2" t="s">
        <v>7706</v>
      </c>
      <c r="B63" s="2" t="s">
        <v>8069</v>
      </c>
      <c r="C63" s="2" t="s">
        <v>7707</v>
      </c>
      <c r="D63" s="2" t="s">
        <v>7708</v>
      </c>
      <c r="E63" s="2" t="s">
        <v>7709</v>
      </c>
      <c r="F63" s="2" t="s">
        <v>7710</v>
      </c>
      <c r="G63" s="2" t="s">
        <v>20</v>
      </c>
      <c r="H63" s="2" t="s">
        <v>7711</v>
      </c>
      <c r="I63" s="2" t="s">
        <v>7288</v>
      </c>
      <c r="J63" s="2" t="n">
        <v>3</v>
      </c>
    </row>
    <row r="64" customFormat="false" ht="105.95" hidden="false" customHeight="false" outlineLevel="0" collapsed="false">
      <c r="A64" s="2" t="s">
        <v>7712</v>
      </c>
      <c r="B64" s="2" t="s">
        <v>8068</v>
      </c>
      <c r="C64" s="2" t="s">
        <v>7713</v>
      </c>
      <c r="D64" s="2" t="s">
        <v>1607</v>
      </c>
      <c r="E64" s="2" t="s">
        <v>1608</v>
      </c>
      <c r="F64" s="2" t="s">
        <v>4596</v>
      </c>
      <c r="G64" s="2" t="s">
        <v>20</v>
      </c>
      <c r="H64" s="2" t="s">
        <v>7714</v>
      </c>
      <c r="I64" s="2" t="s">
        <v>7288</v>
      </c>
      <c r="J64" s="2" t="n">
        <v>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customHeight="false"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45"/>
    <col collapsed="false" customWidth="true" hidden="false" outlineLevel="0" max="6" min="4" style="0" width="32"/>
    <col collapsed="false" customWidth="true" hidden="false" outlineLevel="0" max="7" min="7" style="0" width="9"/>
    <col collapsed="false" customWidth="true" hidden="false" outlineLevel="0" max="8" min="8" style="0" width="42"/>
    <col collapsed="false" customWidth="true" hidden="false" outlineLevel="0" max="9" min="9" style="0" width="20"/>
    <col collapsed="false" customWidth="true" hidden="false" outlineLevel="0" max="10" min="10" style="0" width="10"/>
  </cols>
  <sheetData>
    <row r="1" customFormat="false" ht="16.4" hidden="false" customHeight="false" outlineLevel="0" collapsed="false">
      <c r="A1" s="1" t="s">
        <v>0</v>
      </c>
      <c r="B1" s="1" t="s">
        <v>8067</v>
      </c>
      <c r="C1" s="1" t="s">
        <v>3</v>
      </c>
      <c r="D1" s="1" t="s">
        <v>4</v>
      </c>
      <c r="E1" s="1" t="s">
        <v>5</v>
      </c>
      <c r="F1" s="1" t="s">
        <v>6</v>
      </c>
      <c r="G1" s="1" t="s">
        <v>7</v>
      </c>
      <c r="H1" s="1" t="s">
        <v>8</v>
      </c>
      <c r="I1" s="1" t="s">
        <v>9</v>
      </c>
      <c r="J1" s="1" t="s">
        <v>11</v>
      </c>
    </row>
    <row r="2" customFormat="false" ht="91" hidden="false" customHeight="false" outlineLevel="0" collapsed="false">
      <c r="A2" s="2" t="s">
        <v>7715</v>
      </c>
      <c r="B2" s="2" t="s">
        <v>8068</v>
      </c>
      <c r="C2" s="2" t="s">
        <v>7717</v>
      </c>
      <c r="D2" s="2" t="s">
        <v>7718</v>
      </c>
      <c r="E2" s="2" t="s">
        <v>7719</v>
      </c>
      <c r="F2" s="2" t="s">
        <v>7720</v>
      </c>
      <c r="G2" s="2" t="s">
        <v>20</v>
      </c>
      <c r="H2" s="2" t="s">
        <v>7721</v>
      </c>
      <c r="I2" s="2" t="s">
        <v>7722</v>
      </c>
      <c r="J2" s="2" t="n">
        <v>4</v>
      </c>
    </row>
    <row r="3" customFormat="false" ht="91" hidden="false" customHeight="false" outlineLevel="0" collapsed="false">
      <c r="A3" s="2" t="s">
        <v>7723</v>
      </c>
      <c r="B3" s="2" t="s">
        <v>8069</v>
      </c>
      <c r="C3" s="2" t="s">
        <v>7724</v>
      </c>
      <c r="D3" s="2" t="s">
        <v>7725</v>
      </c>
      <c r="E3" s="2" t="s">
        <v>7726</v>
      </c>
      <c r="F3" s="2" t="s">
        <v>7727</v>
      </c>
      <c r="G3" s="2" t="s">
        <v>20</v>
      </c>
      <c r="H3" s="2" t="s">
        <v>7728</v>
      </c>
      <c r="I3" s="2" t="s">
        <v>7729</v>
      </c>
      <c r="J3" s="2" t="n">
        <v>2</v>
      </c>
    </row>
    <row r="4" customFormat="false" ht="46.25" hidden="false" customHeight="false" outlineLevel="0" collapsed="false">
      <c r="A4" s="2" t="s">
        <v>7730</v>
      </c>
      <c r="B4" s="2" t="s">
        <v>8069</v>
      </c>
      <c r="C4" s="2" t="s">
        <v>7731</v>
      </c>
      <c r="D4" s="2" t="s">
        <v>7732</v>
      </c>
      <c r="E4" s="2" t="s">
        <v>7733</v>
      </c>
      <c r="F4" s="2" t="s">
        <v>7734</v>
      </c>
      <c r="G4" s="2" t="s">
        <v>20</v>
      </c>
      <c r="H4" s="2" t="s">
        <v>7735</v>
      </c>
      <c r="I4" s="2" t="s">
        <v>7736</v>
      </c>
      <c r="J4" s="2" t="n">
        <v>2</v>
      </c>
    </row>
    <row r="5" customFormat="false" ht="46.25" hidden="false" customHeight="false" outlineLevel="0" collapsed="false">
      <c r="A5" s="2" t="s">
        <v>7737</v>
      </c>
      <c r="B5" s="2" t="s">
        <v>8069</v>
      </c>
      <c r="C5" s="2" t="s">
        <v>7738</v>
      </c>
      <c r="D5" s="2" t="s">
        <v>7739</v>
      </c>
      <c r="E5" s="2" t="s">
        <v>7740</v>
      </c>
      <c r="F5" s="2" t="s">
        <v>7741</v>
      </c>
      <c r="G5" s="2" t="s">
        <v>20</v>
      </c>
      <c r="H5" s="2" t="s">
        <v>7742</v>
      </c>
      <c r="I5" s="2" t="s">
        <v>7736</v>
      </c>
      <c r="J5" s="2" t="n">
        <v>2</v>
      </c>
    </row>
    <row r="6" customFormat="false" ht="46.25" hidden="false" customHeight="false" outlineLevel="0" collapsed="false">
      <c r="A6" s="2" t="s">
        <v>7743</v>
      </c>
      <c r="B6" s="2" t="s">
        <v>8069</v>
      </c>
      <c r="C6" s="2" t="s">
        <v>7744</v>
      </c>
      <c r="D6" s="2" t="s">
        <v>7745</v>
      </c>
      <c r="E6" s="2" t="s">
        <v>7746</v>
      </c>
      <c r="F6" s="2" t="s">
        <v>7747</v>
      </c>
      <c r="G6" s="2" t="s">
        <v>20</v>
      </c>
      <c r="H6" s="2" t="s">
        <v>7748</v>
      </c>
      <c r="I6" s="2" t="s">
        <v>7736</v>
      </c>
      <c r="J6" s="2" t="n">
        <v>1</v>
      </c>
    </row>
    <row r="7" customFormat="false" ht="31.3" hidden="false" customHeight="false" outlineLevel="0" collapsed="false">
      <c r="A7" s="2" t="s">
        <v>7749</v>
      </c>
      <c r="B7" s="2" t="s">
        <v>8069</v>
      </c>
      <c r="C7" s="2" t="s">
        <v>7750</v>
      </c>
      <c r="D7" s="2" t="s">
        <v>7751</v>
      </c>
      <c r="E7" s="2" t="s">
        <v>7752</v>
      </c>
      <c r="F7" s="2" t="s">
        <v>7753</v>
      </c>
      <c r="G7" s="2" t="s">
        <v>20</v>
      </c>
      <c r="H7" s="2" t="s">
        <v>7754</v>
      </c>
      <c r="I7" s="2" t="s">
        <v>7736</v>
      </c>
      <c r="J7" s="2" t="n">
        <v>2</v>
      </c>
    </row>
    <row r="8" customFormat="false" ht="46.25" hidden="false" customHeight="false" outlineLevel="0" collapsed="false">
      <c r="A8" s="2" t="s">
        <v>7755</v>
      </c>
      <c r="B8" s="2" t="s">
        <v>8068</v>
      </c>
      <c r="C8" s="2" t="s">
        <v>7756</v>
      </c>
      <c r="D8" s="2" t="s">
        <v>7757</v>
      </c>
      <c r="E8" s="2" t="s">
        <v>7758</v>
      </c>
      <c r="F8" s="2" t="s">
        <v>7759</v>
      </c>
      <c r="G8" s="2" t="s">
        <v>20</v>
      </c>
      <c r="H8" s="2" t="s">
        <v>7760</v>
      </c>
      <c r="I8" s="2" t="s">
        <v>7736</v>
      </c>
      <c r="J8" s="2" t="n">
        <v>2</v>
      </c>
    </row>
    <row r="9" customFormat="false" ht="46.25" hidden="false" customHeight="false" outlineLevel="0" collapsed="false">
      <c r="A9" s="2" t="s">
        <v>7761</v>
      </c>
      <c r="B9" s="2" t="s">
        <v>8068</v>
      </c>
      <c r="C9" s="2" t="s">
        <v>7762</v>
      </c>
      <c r="D9" s="2" t="s">
        <v>7763</v>
      </c>
      <c r="E9" s="2" t="s">
        <v>7764</v>
      </c>
      <c r="F9" s="2" t="s">
        <v>7765</v>
      </c>
      <c r="G9" s="2" t="s">
        <v>28</v>
      </c>
      <c r="H9" s="2" t="s">
        <v>7766</v>
      </c>
      <c r="I9" s="2" t="s">
        <v>7767</v>
      </c>
      <c r="J9" s="2" t="n">
        <v>2</v>
      </c>
    </row>
    <row r="10" customFormat="false" ht="46.25" hidden="false" customHeight="false" outlineLevel="0" collapsed="false">
      <c r="A10" s="2" t="s">
        <v>7768</v>
      </c>
      <c r="B10" s="2" t="s">
        <v>8069</v>
      </c>
      <c r="C10" s="2" t="s">
        <v>7769</v>
      </c>
      <c r="D10" s="2" t="s">
        <v>7770</v>
      </c>
      <c r="E10" s="2" t="s">
        <v>7771</v>
      </c>
      <c r="F10" s="2" t="s">
        <v>7772</v>
      </c>
      <c r="G10" s="2" t="s">
        <v>20</v>
      </c>
      <c r="H10" s="2" t="s">
        <v>7773</v>
      </c>
      <c r="I10" s="2" t="s">
        <v>7736</v>
      </c>
      <c r="J10" s="2" t="n">
        <v>2</v>
      </c>
    </row>
    <row r="11" customFormat="false" ht="76.1" hidden="false" customHeight="false" outlineLevel="0" collapsed="false">
      <c r="A11" s="2" t="s">
        <v>7774</v>
      </c>
      <c r="B11" s="2" t="s">
        <v>8068</v>
      </c>
      <c r="C11" s="2" t="s">
        <v>7775</v>
      </c>
      <c r="D11" s="2" t="s">
        <v>7776</v>
      </c>
      <c r="E11" s="2" t="s">
        <v>7777</v>
      </c>
      <c r="F11" s="2" t="s">
        <v>7778</v>
      </c>
      <c r="G11" s="2" t="s">
        <v>20</v>
      </c>
      <c r="H11" s="2" t="s">
        <v>7779</v>
      </c>
      <c r="I11" s="2" t="s">
        <v>7736</v>
      </c>
      <c r="J11" s="2" t="n">
        <v>4</v>
      </c>
    </row>
    <row r="12" customFormat="false" ht="76.1" hidden="false" customHeight="false" outlineLevel="0" collapsed="false">
      <c r="A12" s="2" t="s">
        <v>7780</v>
      </c>
      <c r="B12" s="2" t="s">
        <v>8068</v>
      </c>
      <c r="C12" s="2" t="s">
        <v>7781</v>
      </c>
      <c r="D12" s="2" t="s">
        <v>7782</v>
      </c>
      <c r="E12" s="2" t="s">
        <v>7783</v>
      </c>
      <c r="F12" s="2" t="s">
        <v>7784</v>
      </c>
      <c r="G12" s="2" t="s">
        <v>20</v>
      </c>
      <c r="H12" s="2" t="s">
        <v>7785</v>
      </c>
      <c r="I12" s="2" t="s">
        <v>7736</v>
      </c>
      <c r="J12" s="2" t="n">
        <v>4</v>
      </c>
    </row>
    <row r="13" customFormat="false" ht="46.25" hidden="false" customHeight="false" outlineLevel="0" collapsed="false">
      <c r="A13" s="2" t="s">
        <v>7786</v>
      </c>
      <c r="B13" s="2" t="s">
        <v>8069</v>
      </c>
      <c r="C13" s="2" t="s">
        <v>7787</v>
      </c>
      <c r="D13" s="2" t="s">
        <v>7788</v>
      </c>
      <c r="E13" s="2" t="s">
        <v>7789</v>
      </c>
      <c r="F13" s="2" t="s">
        <v>7790</v>
      </c>
      <c r="G13" s="2" t="s">
        <v>20</v>
      </c>
      <c r="H13" s="2" t="s">
        <v>7791</v>
      </c>
      <c r="I13" s="2" t="s">
        <v>7736</v>
      </c>
      <c r="J13" s="2" t="n">
        <v>1</v>
      </c>
    </row>
    <row r="14" customFormat="false" ht="120.85" hidden="false" customHeight="false" outlineLevel="0" collapsed="false">
      <c r="A14" s="2" t="s">
        <v>7792</v>
      </c>
      <c r="B14" s="2" t="s">
        <v>8069</v>
      </c>
      <c r="C14" s="2" t="s">
        <v>7793</v>
      </c>
      <c r="D14" s="2" t="s">
        <v>7794</v>
      </c>
      <c r="E14" s="2" t="s">
        <v>7795</v>
      </c>
      <c r="F14" s="2" t="s">
        <v>7796</v>
      </c>
      <c r="G14" s="2" t="s">
        <v>20</v>
      </c>
      <c r="H14" s="2" t="s">
        <v>7797</v>
      </c>
      <c r="I14" s="2" t="s">
        <v>7798</v>
      </c>
      <c r="J14" s="2" t="n">
        <v>3</v>
      </c>
    </row>
    <row r="15" customFormat="false" ht="46.25" hidden="false" customHeight="false" outlineLevel="0" collapsed="false">
      <c r="A15" s="2" t="s">
        <v>7799</v>
      </c>
      <c r="B15" s="2" t="s">
        <v>8068</v>
      </c>
      <c r="C15" s="2" t="s">
        <v>7800</v>
      </c>
      <c r="D15" s="2" t="s">
        <v>7801</v>
      </c>
      <c r="E15" s="2" t="s">
        <v>7802</v>
      </c>
      <c r="F15" s="2" t="s">
        <v>7803</v>
      </c>
      <c r="G15" s="2" t="s">
        <v>20</v>
      </c>
      <c r="H15" s="2" t="s">
        <v>7804</v>
      </c>
      <c r="I15" s="2" t="s">
        <v>7798</v>
      </c>
      <c r="J15" s="2" t="n">
        <v>3</v>
      </c>
    </row>
    <row r="16" customFormat="false" ht="76.1" hidden="false" customHeight="false" outlineLevel="0" collapsed="false">
      <c r="A16" s="2" t="s">
        <v>7805</v>
      </c>
      <c r="B16" s="2" t="s">
        <v>8068</v>
      </c>
      <c r="C16" s="2" t="s">
        <v>7806</v>
      </c>
      <c r="D16" s="2" t="s">
        <v>7807</v>
      </c>
      <c r="E16" s="2" t="s">
        <v>7808</v>
      </c>
      <c r="F16" s="2" t="s">
        <v>7809</v>
      </c>
      <c r="G16" s="2" t="s">
        <v>20</v>
      </c>
      <c r="H16" s="2" t="s">
        <v>7810</v>
      </c>
      <c r="I16" s="2" t="s">
        <v>7798</v>
      </c>
      <c r="J16" s="2" t="n">
        <v>4</v>
      </c>
    </row>
    <row r="17" customFormat="false" ht="61.15" hidden="false" customHeight="false" outlineLevel="0" collapsed="false">
      <c r="A17" s="2" t="s">
        <v>7811</v>
      </c>
      <c r="B17" s="2" t="s">
        <v>8068</v>
      </c>
      <c r="C17" s="2" t="s">
        <v>7812</v>
      </c>
      <c r="D17" s="2" t="s">
        <v>7813</v>
      </c>
      <c r="E17" s="2" t="s">
        <v>7814</v>
      </c>
      <c r="F17" s="2" t="s">
        <v>7815</v>
      </c>
      <c r="G17" s="2" t="s">
        <v>20</v>
      </c>
      <c r="H17" s="2" t="s">
        <v>7816</v>
      </c>
      <c r="I17" s="2" t="s">
        <v>7798</v>
      </c>
      <c r="J17" s="2" t="n">
        <v>3</v>
      </c>
    </row>
    <row r="18" customFormat="false" ht="46.25" hidden="false" customHeight="false" outlineLevel="0" collapsed="false">
      <c r="A18" s="2" t="s">
        <v>7817</v>
      </c>
      <c r="B18" s="2" t="s">
        <v>8068</v>
      </c>
      <c r="C18" s="2" t="s">
        <v>7818</v>
      </c>
      <c r="D18" s="2" t="s">
        <v>7819</v>
      </c>
      <c r="E18" s="2" t="s">
        <v>7820</v>
      </c>
      <c r="F18" s="2" t="s">
        <v>7821</v>
      </c>
      <c r="G18" s="2" t="s">
        <v>20</v>
      </c>
      <c r="H18" s="2" t="s">
        <v>7822</v>
      </c>
      <c r="I18" s="2" t="s">
        <v>7798</v>
      </c>
      <c r="J18" s="2" t="n">
        <v>4</v>
      </c>
    </row>
    <row r="19" customFormat="false" ht="61.15" hidden="false" customHeight="false" outlineLevel="0" collapsed="false">
      <c r="A19" s="2" t="s">
        <v>7823</v>
      </c>
      <c r="B19" s="2" t="s">
        <v>8069</v>
      </c>
      <c r="C19" s="2" t="s">
        <v>7824</v>
      </c>
      <c r="D19" s="2" t="s">
        <v>7825</v>
      </c>
      <c r="E19" s="2" t="s">
        <v>7826</v>
      </c>
      <c r="F19" s="2" t="s">
        <v>7827</v>
      </c>
      <c r="G19" s="2" t="s">
        <v>20</v>
      </c>
      <c r="H19" s="2" t="s">
        <v>7828</v>
      </c>
      <c r="I19" s="2" t="s">
        <v>7829</v>
      </c>
      <c r="J19" s="2" t="n">
        <v>3</v>
      </c>
    </row>
    <row r="20" customFormat="false" ht="61.15" hidden="false" customHeight="false" outlineLevel="0" collapsed="false">
      <c r="A20" s="2" t="s">
        <v>7830</v>
      </c>
      <c r="B20" s="2" t="s">
        <v>8069</v>
      </c>
      <c r="C20" s="2" t="s">
        <v>7831</v>
      </c>
      <c r="D20" s="2" t="s">
        <v>7832</v>
      </c>
      <c r="E20" s="2" t="s">
        <v>7833</v>
      </c>
      <c r="F20" s="2" t="s">
        <v>7834</v>
      </c>
      <c r="G20" s="2" t="s">
        <v>20</v>
      </c>
      <c r="H20" s="2" t="s">
        <v>7835</v>
      </c>
      <c r="I20" s="2" t="s">
        <v>7829</v>
      </c>
      <c r="J20" s="2" t="n">
        <v>3</v>
      </c>
    </row>
    <row r="21" customFormat="false" ht="46.25" hidden="false" customHeight="false" outlineLevel="0" collapsed="false">
      <c r="A21" s="2" t="s">
        <v>7836</v>
      </c>
      <c r="B21" s="2" t="s">
        <v>8069</v>
      </c>
      <c r="C21" s="2" t="s">
        <v>7837</v>
      </c>
      <c r="D21" s="2" t="s">
        <v>7838</v>
      </c>
      <c r="E21" s="2" t="s">
        <v>7839</v>
      </c>
      <c r="F21" s="2" t="s">
        <v>7840</v>
      </c>
      <c r="G21" s="2" t="s">
        <v>20</v>
      </c>
      <c r="H21" s="2" t="s">
        <v>7841</v>
      </c>
      <c r="I21" s="2" t="s">
        <v>7829</v>
      </c>
      <c r="J21" s="2" t="n">
        <v>3</v>
      </c>
    </row>
    <row r="22" customFormat="false" ht="46.25" hidden="false" customHeight="false" outlineLevel="0" collapsed="false">
      <c r="A22" s="2" t="s">
        <v>7842</v>
      </c>
      <c r="B22" s="2" t="s">
        <v>8069</v>
      </c>
      <c r="C22" s="2" t="s">
        <v>7843</v>
      </c>
      <c r="D22" s="2" t="s">
        <v>7844</v>
      </c>
      <c r="E22" s="2" t="s">
        <v>7845</v>
      </c>
      <c r="F22" s="2" t="s">
        <v>7846</v>
      </c>
      <c r="G22" s="2" t="s">
        <v>20</v>
      </c>
      <c r="H22" s="2" t="s">
        <v>7847</v>
      </c>
      <c r="I22" s="2" t="s">
        <v>7829</v>
      </c>
      <c r="J22" s="2" t="n">
        <v>3</v>
      </c>
    </row>
    <row r="23" customFormat="false" ht="61.15" hidden="false" customHeight="false" outlineLevel="0" collapsed="false">
      <c r="A23" s="2" t="s">
        <v>7848</v>
      </c>
      <c r="B23" s="2" t="s">
        <v>8069</v>
      </c>
      <c r="C23" s="2" t="s">
        <v>7849</v>
      </c>
      <c r="D23" s="2" t="s">
        <v>7850</v>
      </c>
      <c r="E23" s="2" t="s">
        <v>7851</v>
      </c>
      <c r="F23" s="2" t="s">
        <v>7852</v>
      </c>
      <c r="G23" s="2" t="s">
        <v>20</v>
      </c>
      <c r="H23" s="2" t="s">
        <v>7853</v>
      </c>
      <c r="I23" s="2" t="s">
        <v>7829</v>
      </c>
      <c r="J23" s="2" t="n">
        <v>3</v>
      </c>
    </row>
    <row r="24" customFormat="false" ht="46.25" hidden="false" customHeight="false" outlineLevel="0" collapsed="false">
      <c r="A24" s="2" t="s">
        <v>7854</v>
      </c>
      <c r="B24" s="2" t="s">
        <v>8069</v>
      </c>
      <c r="C24" s="2" t="s">
        <v>7855</v>
      </c>
      <c r="D24" s="2" t="s">
        <v>7856</v>
      </c>
      <c r="E24" s="2" t="s">
        <v>7857</v>
      </c>
      <c r="F24" s="2" t="s">
        <v>7858</v>
      </c>
      <c r="G24" s="2" t="s">
        <v>28</v>
      </c>
      <c r="H24" s="2" t="s">
        <v>7859</v>
      </c>
      <c r="I24" s="2" t="s">
        <v>7829</v>
      </c>
      <c r="J24" s="2" t="n">
        <v>3</v>
      </c>
    </row>
    <row r="25" customFormat="false" ht="46.25" hidden="false" customHeight="false" outlineLevel="0" collapsed="false">
      <c r="A25" s="2" t="s">
        <v>7860</v>
      </c>
      <c r="B25" s="2" t="s">
        <v>8068</v>
      </c>
      <c r="C25" s="2" t="s">
        <v>7861</v>
      </c>
      <c r="D25" s="2" t="s">
        <v>7862</v>
      </c>
      <c r="E25" s="2" t="s">
        <v>7863</v>
      </c>
      <c r="F25" s="2" t="s">
        <v>7864</v>
      </c>
      <c r="G25" s="2" t="s">
        <v>20</v>
      </c>
      <c r="H25" s="2" t="s">
        <v>7865</v>
      </c>
      <c r="I25" s="2" t="s">
        <v>7767</v>
      </c>
      <c r="J25" s="2" t="n">
        <v>2</v>
      </c>
    </row>
    <row r="26" customFormat="false" ht="46.25" hidden="false" customHeight="false" outlineLevel="0" collapsed="false">
      <c r="A26" s="2" t="s">
        <v>7866</v>
      </c>
      <c r="B26" s="2" t="s">
        <v>8068</v>
      </c>
      <c r="C26" s="2" t="s">
        <v>7867</v>
      </c>
      <c r="D26" s="2" t="s">
        <v>1608</v>
      </c>
      <c r="E26" s="2" t="s">
        <v>1607</v>
      </c>
      <c r="F26" s="2" t="s">
        <v>3290</v>
      </c>
      <c r="G26" s="2" t="s">
        <v>20</v>
      </c>
      <c r="H26" s="2" t="s">
        <v>7868</v>
      </c>
      <c r="I26" s="2" t="s">
        <v>7767</v>
      </c>
      <c r="J26" s="2" t="n">
        <v>2</v>
      </c>
    </row>
    <row r="27" customFormat="false" ht="46.25" hidden="false" customHeight="false" outlineLevel="0" collapsed="false">
      <c r="A27" s="2" t="s">
        <v>7869</v>
      </c>
      <c r="B27" s="2" t="s">
        <v>8068</v>
      </c>
      <c r="C27" s="2" t="s">
        <v>7870</v>
      </c>
      <c r="D27" s="2" t="s">
        <v>2727</v>
      </c>
      <c r="E27" s="2" t="s">
        <v>7871</v>
      </c>
      <c r="F27" s="2" t="s">
        <v>7872</v>
      </c>
      <c r="G27" s="2" t="s">
        <v>20</v>
      </c>
      <c r="H27" s="2" t="s">
        <v>7873</v>
      </c>
      <c r="I27" s="2" t="s">
        <v>7874</v>
      </c>
      <c r="J27" s="2" t="n">
        <v>3</v>
      </c>
    </row>
    <row r="28" customFormat="false" ht="46.25" hidden="false" customHeight="false" outlineLevel="0" collapsed="false">
      <c r="A28" s="2" t="s">
        <v>7875</v>
      </c>
      <c r="B28" s="2" t="s">
        <v>8069</v>
      </c>
      <c r="C28" s="2" t="s">
        <v>7876</v>
      </c>
      <c r="D28" s="2" t="s">
        <v>7877</v>
      </c>
      <c r="E28" s="2" t="s">
        <v>7878</v>
      </c>
      <c r="F28" s="2" t="s">
        <v>7879</v>
      </c>
      <c r="G28" s="2" t="s">
        <v>20</v>
      </c>
      <c r="H28" s="2" t="s">
        <v>7880</v>
      </c>
      <c r="I28" s="2" t="s">
        <v>7881</v>
      </c>
      <c r="J28" s="2" t="n">
        <v>3</v>
      </c>
    </row>
    <row r="29" customFormat="false" ht="61.15" hidden="false" customHeight="false" outlineLevel="0" collapsed="false">
      <c r="A29" s="2" t="s">
        <v>7882</v>
      </c>
      <c r="B29" s="2" t="s">
        <v>8069</v>
      </c>
      <c r="C29" s="2" t="s">
        <v>7883</v>
      </c>
      <c r="D29" s="2" t="s">
        <v>7884</v>
      </c>
      <c r="E29" s="2" t="s">
        <v>7885</v>
      </c>
      <c r="F29" s="2" t="s">
        <v>7886</v>
      </c>
      <c r="G29" s="2" t="s">
        <v>20</v>
      </c>
      <c r="H29" s="2" t="s">
        <v>7887</v>
      </c>
      <c r="I29" s="2" t="s">
        <v>7881</v>
      </c>
      <c r="J29" s="2" t="n">
        <v>3</v>
      </c>
    </row>
    <row r="30" customFormat="false" ht="46.25" hidden="false" customHeight="false" outlineLevel="0" collapsed="false">
      <c r="A30" s="2" t="s">
        <v>7888</v>
      </c>
      <c r="B30" s="2" t="s">
        <v>8069</v>
      </c>
      <c r="C30" s="2" t="s">
        <v>7889</v>
      </c>
      <c r="D30" s="2" t="s">
        <v>7890</v>
      </c>
      <c r="E30" s="2" t="s">
        <v>7891</v>
      </c>
      <c r="F30" s="2" t="s">
        <v>7892</v>
      </c>
      <c r="G30" s="2" t="s">
        <v>20</v>
      </c>
      <c r="H30" s="2" t="s">
        <v>7893</v>
      </c>
      <c r="I30" s="2" t="s">
        <v>7894</v>
      </c>
      <c r="J30" s="2" t="n">
        <v>3</v>
      </c>
    </row>
    <row r="31" customFormat="false" ht="61.15" hidden="false" customHeight="false" outlineLevel="0" collapsed="false">
      <c r="A31" s="2" t="s">
        <v>7895</v>
      </c>
      <c r="B31" s="2" t="s">
        <v>8068</v>
      </c>
      <c r="C31" s="2" t="s">
        <v>7896</v>
      </c>
      <c r="D31" s="2" t="s">
        <v>7897</v>
      </c>
      <c r="E31" s="2" t="s">
        <v>7898</v>
      </c>
      <c r="F31" s="2" t="s">
        <v>7899</v>
      </c>
      <c r="G31" s="2" t="s">
        <v>20</v>
      </c>
      <c r="H31" s="2" t="s">
        <v>7900</v>
      </c>
      <c r="I31" s="2" t="s">
        <v>7829</v>
      </c>
      <c r="J31" s="2" t="n">
        <v>4</v>
      </c>
    </row>
    <row r="32" customFormat="false" ht="61.15" hidden="false" customHeight="false" outlineLevel="0" collapsed="false">
      <c r="A32" s="2" t="s">
        <v>7901</v>
      </c>
      <c r="B32" s="2" t="s">
        <v>8069</v>
      </c>
      <c r="C32" s="2" t="s">
        <v>7903</v>
      </c>
      <c r="D32" s="2" t="s">
        <v>7904</v>
      </c>
      <c r="E32" s="2" t="s">
        <v>7905</v>
      </c>
      <c r="F32" s="2" t="s">
        <v>7906</v>
      </c>
      <c r="G32" s="2" t="s">
        <v>20</v>
      </c>
      <c r="H32" s="2" t="s">
        <v>7907</v>
      </c>
      <c r="I32" s="2" t="s">
        <v>7881</v>
      </c>
      <c r="J32" s="2" t="n">
        <v>3</v>
      </c>
    </row>
    <row r="33" customFormat="false" ht="61.15" hidden="false" customHeight="false" outlineLevel="0" collapsed="false">
      <c r="A33" s="2" t="s">
        <v>7908</v>
      </c>
      <c r="B33" s="2" t="s">
        <v>8068</v>
      </c>
      <c r="C33" s="2" t="s">
        <v>7909</v>
      </c>
      <c r="D33" s="2" t="s">
        <v>7910</v>
      </c>
      <c r="E33" s="2" t="s">
        <v>7911</v>
      </c>
      <c r="F33" s="2" t="s">
        <v>7912</v>
      </c>
      <c r="G33" s="2" t="s">
        <v>20</v>
      </c>
      <c r="H33" s="2" t="s">
        <v>7913</v>
      </c>
      <c r="I33" s="2" t="s">
        <v>7881</v>
      </c>
      <c r="J33" s="2" t="n">
        <v>3</v>
      </c>
    </row>
    <row r="34" customFormat="false" ht="76.1" hidden="false" customHeight="false" outlineLevel="0" collapsed="false">
      <c r="A34" s="2" t="s">
        <v>7914</v>
      </c>
      <c r="B34" s="2" t="s">
        <v>8068</v>
      </c>
      <c r="C34" s="2" t="s">
        <v>7915</v>
      </c>
      <c r="D34" s="2" t="s">
        <v>7916</v>
      </c>
      <c r="E34" s="2" t="s">
        <v>7917</v>
      </c>
      <c r="F34" s="2" t="s">
        <v>7918</v>
      </c>
      <c r="G34" s="2" t="s">
        <v>20</v>
      </c>
      <c r="H34" s="2" t="s">
        <v>7919</v>
      </c>
      <c r="I34" s="2" t="s">
        <v>7881</v>
      </c>
      <c r="J34" s="2" t="n">
        <v>4</v>
      </c>
    </row>
    <row r="35" customFormat="false" ht="61.15" hidden="false" customHeight="false" outlineLevel="0" collapsed="false">
      <c r="A35" s="2" t="s">
        <v>7920</v>
      </c>
      <c r="B35" s="2" t="s">
        <v>8068</v>
      </c>
      <c r="C35" s="2" t="s">
        <v>7921</v>
      </c>
      <c r="D35" s="2" t="s">
        <v>7922</v>
      </c>
      <c r="E35" s="2" t="s">
        <v>7923</v>
      </c>
      <c r="F35" s="2" t="s">
        <v>7924</v>
      </c>
      <c r="G35" s="2" t="s">
        <v>20</v>
      </c>
      <c r="H35" s="2" t="s">
        <v>7925</v>
      </c>
      <c r="I35" s="2" t="s">
        <v>7874</v>
      </c>
      <c r="J35" s="2" t="n">
        <v>3</v>
      </c>
    </row>
    <row r="36" customFormat="false" ht="46.25" hidden="false" customHeight="false" outlineLevel="0" collapsed="false">
      <c r="A36" s="2" t="s">
        <v>7926</v>
      </c>
      <c r="B36" s="2" t="s">
        <v>8069</v>
      </c>
      <c r="C36" s="2" t="s">
        <v>7927</v>
      </c>
      <c r="D36" s="2" t="s">
        <v>7928</v>
      </c>
      <c r="E36" s="2" t="s">
        <v>7929</v>
      </c>
      <c r="F36" s="2" t="s">
        <v>7930</v>
      </c>
      <c r="G36" s="2" t="s">
        <v>20</v>
      </c>
      <c r="H36" s="2" t="s">
        <v>7931</v>
      </c>
      <c r="I36" s="2" t="s">
        <v>7874</v>
      </c>
      <c r="J36" s="2" t="n">
        <v>3</v>
      </c>
    </row>
    <row r="37" customFormat="false" ht="46.25" hidden="false" customHeight="false" outlineLevel="0" collapsed="false">
      <c r="A37" s="2" t="s">
        <v>7932</v>
      </c>
      <c r="B37" s="2" t="s">
        <v>8068</v>
      </c>
      <c r="C37" s="2" t="s">
        <v>7933</v>
      </c>
      <c r="D37" s="2" t="s">
        <v>7934</v>
      </c>
      <c r="E37" s="2" t="s">
        <v>7935</v>
      </c>
      <c r="F37" s="2" t="s">
        <v>7936</v>
      </c>
      <c r="G37" s="2" t="s">
        <v>20</v>
      </c>
      <c r="H37" s="2" t="s">
        <v>7937</v>
      </c>
      <c r="I37" s="2" t="s">
        <v>7829</v>
      </c>
      <c r="J37" s="2" t="n">
        <v>2</v>
      </c>
    </row>
    <row r="38" customFormat="false" ht="76.1" hidden="false" customHeight="false" outlineLevel="0" collapsed="false">
      <c r="A38" s="2" t="s">
        <v>7938</v>
      </c>
      <c r="B38" s="2" t="s">
        <v>8069</v>
      </c>
      <c r="C38" s="2" t="s">
        <v>7939</v>
      </c>
      <c r="D38" s="2" t="s">
        <v>7940</v>
      </c>
      <c r="E38" s="2" t="s">
        <v>7941</v>
      </c>
      <c r="F38" s="2" t="s">
        <v>7942</v>
      </c>
      <c r="G38" s="2" t="s">
        <v>20</v>
      </c>
      <c r="H38" s="2" t="s">
        <v>7943</v>
      </c>
      <c r="I38" s="2" t="s">
        <v>7829</v>
      </c>
      <c r="J38" s="2" t="n">
        <v>3</v>
      </c>
    </row>
    <row r="39" customFormat="false" ht="61.15" hidden="false" customHeight="false" outlineLevel="0" collapsed="false">
      <c r="A39" s="2" t="s">
        <v>7944</v>
      </c>
      <c r="B39" s="2" t="s">
        <v>8068</v>
      </c>
      <c r="C39" s="2" t="s">
        <v>7945</v>
      </c>
      <c r="D39" s="2" t="s">
        <v>7946</v>
      </c>
      <c r="E39" s="2" t="s">
        <v>7947</v>
      </c>
      <c r="F39" s="2" t="s">
        <v>7948</v>
      </c>
      <c r="G39" s="2" t="s">
        <v>20</v>
      </c>
      <c r="H39" s="2" t="s">
        <v>7949</v>
      </c>
      <c r="I39" s="2" t="s">
        <v>7798</v>
      </c>
      <c r="J39" s="2" t="n">
        <v>3</v>
      </c>
    </row>
    <row r="40" customFormat="false" ht="61.15" hidden="false" customHeight="false" outlineLevel="0" collapsed="false">
      <c r="A40" s="2" t="s">
        <v>7950</v>
      </c>
      <c r="B40" s="2" t="s">
        <v>8068</v>
      </c>
      <c r="C40" s="2" t="s">
        <v>7951</v>
      </c>
      <c r="D40" s="2" t="s">
        <v>7952</v>
      </c>
      <c r="E40" s="2" t="s">
        <v>7953</v>
      </c>
      <c r="F40" s="2" t="s">
        <v>7954</v>
      </c>
      <c r="G40" s="2" t="s">
        <v>20</v>
      </c>
      <c r="H40" s="2" t="s">
        <v>7955</v>
      </c>
      <c r="I40" s="2" t="s">
        <v>7798</v>
      </c>
      <c r="J40" s="2" t="n">
        <v>3</v>
      </c>
    </row>
    <row r="41" customFormat="false" ht="61.15" hidden="false" customHeight="false" outlineLevel="0" collapsed="false">
      <c r="A41" s="2" t="s">
        <v>7956</v>
      </c>
      <c r="B41" s="2" t="s">
        <v>8068</v>
      </c>
      <c r="C41" s="2" t="s">
        <v>7957</v>
      </c>
      <c r="D41" s="2" t="s">
        <v>7958</v>
      </c>
      <c r="E41" s="2" t="s">
        <v>7959</v>
      </c>
      <c r="F41" s="2" t="s">
        <v>7960</v>
      </c>
      <c r="G41" s="2" t="s">
        <v>20</v>
      </c>
      <c r="H41" s="2" t="s">
        <v>7961</v>
      </c>
      <c r="I41" s="2" t="s">
        <v>7829</v>
      </c>
      <c r="J41" s="2" t="n">
        <v>2</v>
      </c>
    </row>
    <row r="42" customFormat="false" ht="76.1" hidden="false" customHeight="false" outlineLevel="0" collapsed="false">
      <c r="A42" s="2" t="s">
        <v>7962</v>
      </c>
      <c r="B42" s="2" t="s">
        <v>8069</v>
      </c>
      <c r="C42" s="2" t="s">
        <v>7963</v>
      </c>
      <c r="D42" s="2" t="s">
        <v>7964</v>
      </c>
      <c r="E42" s="2" t="s">
        <v>7965</v>
      </c>
      <c r="F42" s="2" t="s">
        <v>7966</v>
      </c>
      <c r="G42" s="2" t="s">
        <v>20</v>
      </c>
      <c r="H42" s="2" t="s">
        <v>7967</v>
      </c>
      <c r="I42" s="2" t="s">
        <v>7829</v>
      </c>
      <c r="J42" s="2" t="n">
        <v>2</v>
      </c>
    </row>
    <row r="43" customFormat="false" ht="76.1" hidden="false" customHeight="false" outlineLevel="0" collapsed="false">
      <c r="A43" s="2" t="s">
        <v>7968</v>
      </c>
      <c r="B43" s="2" t="s">
        <v>8068</v>
      </c>
      <c r="C43" s="2" t="s">
        <v>7969</v>
      </c>
      <c r="D43" s="2" t="s">
        <v>7970</v>
      </c>
      <c r="E43" s="2" t="s">
        <v>7971</v>
      </c>
      <c r="F43" s="2" t="s">
        <v>7972</v>
      </c>
      <c r="G43" s="2" t="s">
        <v>20</v>
      </c>
      <c r="H43" s="2" t="s">
        <v>7973</v>
      </c>
      <c r="I43" s="2" t="s">
        <v>7881</v>
      </c>
      <c r="J43" s="2" t="n">
        <v>3</v>
      </c>
    </row>
    <row r="44" customFormat="false" ht="61.15" hidden="false" customHeight="false" outlineLevel="0" collapsed="false">
      <c r="A44" s="2" t="s">
        <v>7974</v>
      </c>
      <c r="B44" s="2" t="s">
        <v>8069</v>
      </c>
      <c r="C44" s="2" t="s">
        <v>7975</v>
      </c>
      <c r="D44" s="2" t="s">
        <v>7976</v>
      </c>
      <c r="E44" s="2" t="s">
        <v>7977</v>
      </c>
      <c r="F44" s="2" t="s">
        <v>7978</v>
      </c>
      <c r="G44" s="2" t="s">
        <v>20</v>
      </c>
      <c r="H44" s="2" t="s">
        <v>7979</v>
      </c>
      <c r="I44" s="2" t="s">
        <v>7716</v>
      </c>
      <c r="J44" s="2" t="n">
        <v>2</v>
      </c>
    </row>
    <row r="45" customFormat="false" ht="61.15" hidden="false" customHeight="false" outlineLevel="0" collapsed="false">
      <c r="A45" s="2" t="s">
        <v>7980</v>
      </c>
      <c r="B45" s="2" t="s">
        <v>8068</v>
      </c>
      <c r="C45" s="2" t="s">
        <v>7981</v>
      </c>
      <c r="D45" s="2" t="s">
        <v>7982</v>
      </c>
      <c r="E45" s="2" t="s">
        <v>7983</v>
      </c>
      <c r="F45" s="2" t="s">
        <v>7984</v>
      </c>
      <c r="G45" s="2" t="s">
        <v>20</v>
      </c>
      <c r="H45" s="2" t="s">
        <v>7985</v>
      </c>
      <c r="I45" s="2" t="s">
        <v>7716</v>
      </c>
      <c r="J45" s="2" t="n">
        <v>3</v>
      </c>
    </row>
    <row r="46" customFormat="false" ht="46.25" hidden="false" customHeight="false" outlineLevel="0" collapsed="false">
      <c r="A46" s="2" t="s">
        <v>7986</v>
      </c>
      <c r="B46" s="2" t="s">
        <v>8068</v>
      </c>
      <c r="C46" s="2" t="s">
        <v>7987</v>
      </c>
      <c r="D46" s="2" t="s">
        <v>7988</v>
      </c>
      <c r="E46" s="2" t="s">
        <v>7989</v>
      </c>
      <c r="F46" s="2" t="s">
        <v>7990</v>
      </c>
      <c r="G46" s="2" t="s">
        <v>20</v>
      </c>
      <c r="H46" s="2" t="s">
        <v>7991</v>
      </c>
      <c r="I46" s="2" t="s">
        <v>7902</v>
      </c>
      <c r="J46" s="2" t="n">
        <v>2</v>
      </c>
    </row>
    <row r="47" customFormat="false" ht="61.15" hidden="false" customHeight="false" outlineLevel="0" collapsed="false">
      <c r="A47" s="2" t="s">
        <v>7992</v>
      </c>
      <c r="B47" s="2" t="s">
        <v>8069</v>
      </c>
      <c r="C47" s="2" t="s">
        <v>7993</v>
      </c>
      <c r="D47" s="2" t="s">
        <v>7994</v>
      </c>
      <c r="E47" s="2" t="s">
        <v>7995</v>
      </c>
      <c r="F47" s="2" t="s">
        <v>7996</v>
      </c>
      <c r="G47" s="2" t="s">
        <v>20</v>
      </c>
      <c r="H47" s="2" t="s">
        <v>7997</v>
      </c>
      <c r="I47" s="2" t="s">
        <v>7902</v>
      </c>
      <c r="J47" s="2" t="n">
        <v>2</v>
      </c>
    </row>
    <row r="48" customFormat="false" ht="46.25" hidden="false" customHeight="false" outlineLevel="0" collapsed="false">
      <c r="A48" s="2" t="s">
        <v>7998</v>
      </c>
      <c r="B48" s="2" t="s">
        <v>8069</v>
      </c>
      <c r="C48" s="2" t="s">
        <v>7999</v>
      </c>
      <c r="D48" s="2" t="s">
        <v>8000</v>
      </c>
      <c r="E48" s="2" t="s">
        <v>8001</v>
      </c>
      <c r="F48" s="2" t="s">
        <v>8002</v>
      </c>
      <c r="G48" s="2" t="s">
        <v>20</v>
      </c>
      <c r="H48" s="2" t="s">
        <v>8003</v>
      </c>
      <c r="I48" s="2" t="s">
        <v>7716</v>
      </c>
      <c r="J48" s="2" t="n">
        <v>2</v>
      </c>
    </row>
    <row r="49" customFormat="false" ht="46.25" hidden="false" customHeight="false" outlineLevel="0" collapsed="false">
      <c r="A49" s="2" t="s">
        <v>8004</v>
      </c>
      <c r="B49" s="2" t="s">
        <v>8068</v>
      </c>
      <c r="C49" s="2" t="s">
        <v>8005</v>
      </c>
      <c r="D49" s="2" t="s">
        <v>8006</v>
      </c>
      <c r="E49" s="2" t="s">
        <v>8007</v>
      </c>
      <c r="F49" s="2" t="s">
        <v>8008</v>
      </c>
      <c r="G49" s="2" t="s">
        <v>20</v>
      </c>
      <c r="H49" s="2" t="s">
        <v>8009</v>
      </c>
      <c r="I49" s="2" t="s">
        <v>7716</v>
      </c>
      <c r="J49" s="2" t="n">
        <v>2</v>
      </c>
    </row>
    <row r="50" customFormat="false" ht="46.25" hidden="false" customHeight="false" outlineLevel="0" collapsed="false">
      <c r="A50" s="2" t="s">
        <v>8010</v>
      </c>
      <c r="B50" s="2" t="s">
        <v>8069</v>
      </c>
      <c r="C50" s="2" t="s">
        <v>8011</v>
      </c>
      <c r="D50" s="2" t="s">
        <v>2727</v>
      </c>
      <c r="E50" s="2" t="s">
        <v>8012</v>
      </c>
      <c r="F50" s="2" t="s">
        <v>8013</v>
      </c>
      <c r="G50" s="2" t="s">
        <v>20</v>
      </c>
      <c r="H50" s="2" t="s">
        <v>8014</v>
      </c>
      <c r="I50" s="2" t="s">
        <v>7902</v>
      </c>
      <c r="J50" s="2" t="n">
        <v>2</v>
      </c>
    </row>
    <row r="51" customFormat="false" ht="61.15" hidden="false" customHeight="false" outlineLevel="0" collapsed="false">
      <c r="A51" s="2" t="s">
        <v>8015</v>
      </c>
      <c r="B51" s="2" t="s">
        <v>8068</v>
      </c>
      <c r="C51" s="2" t="s">
        <v>8016</v>
      </c>
      <c r="D51" s="2" t="s">
        <v>8017</v>
      </c>
      <c r="E51" s="2" t="s">
        <v>8018</v>
      </c>
      <c r="F51" s="2" t="s">
        <v>8019</v>
      </c>
      <c r="G51" s="2" t="s">
        <v>20</v>
      </c>
      <c r="H51" s="2" t="s">
        <v>8020</v>
      </c>
      <c r="I51" s="2" t="s">
        <v>7902</v>
      </c>
      <c r="J51" s="2" t="n">
        <v>2</v>
      </c>
    </row>
    <row r="52" customFormat="false" ht="61.15" hidden="false" customHeight="false" outlineLevel="0" collapsed="false">
      <c r="A52" s="2" t="s">
        <v>8021</v>
      </c>
      <c r="B52" s="2" t="s">
        <v>8069</v>
      </c>
      <c r="C52" s="2" t="s">
        <v>8022</v>
      </c>
      <c r="D52" s="2" t="s">
        <v>8023</v>
      </c>
      <c r="E52" s="2" t="s">
        <v>8024</v>
      </c>
      <c r="F52" s="2" t="s">
        <v>8025</v>
      </c>
      <c r="G52" s="2" t="s">
        <v>20</v>
      </c>
      <c r="H52" s="2" t="s">
        <v>8026</v>
      </c>
      <c r="I52" s="2" t="s">
        <v>7716</v>
      </c>
      <c r="J52" s="2" t="n">
        <v>2</v>
      </c>
    </row>
    <row r="53" customFormat="false" ht="46.25" hidden="false" customHeight="false" outlineLevel="0" collapsed="false">
      <c r="A53" s="2" t="s">
        <v>8027</v>
      </c>
      <c r="B53" s="2" t="s">
        <v>8068</v>
      </c>
      <c r="C53" s="2" t="s">
        <v>8028</v>
      </c>
      <c r="D53" s="2" t="s">
        <v>8029</v>
      </c>
      <c r="E53" s="2" t="s">
        <v>8030</v>
      </c>
      <c r="F53" s="2" t="s">
        <v>8031</v>
      </c>
      <c r="G53" s="2" t="s">
        <v>20</v>
      </c>
      <c r="H53" s="2" t="s">
        <v>8032</v>
      </c>
      <c r="I53" s="2" t="s">
        <v>7716</v>
      </c>
      <c r="J53" s="2" t="n">
        <v>1</v>
      </c>
    </row>
    <row r="54" customFormat="false" ht="61.15" hidden="false" customHeight="false" outlineLevel="0" collapsed="false">
      <c r="A54" s="2" t="s">
        <v>8033</v>
      </c>
      <c r="B54" s="2" t="s">
        <v>8068</v>
      </c>
      <c r="C54" s="2" t="s">
        <v>8034</v>
      </c>
      <c r="D54" s="2" t="s">
        <v>8035</v>
      </c>
      <c r="E54" s="2" t="s">
        <v>8036</v>
      </c>
      <c r="F54" s="2" t="s">
        <v>8037</v>
      </c>
      <c r="G54" s="2" t="s">
        <v>20</v>
      </c>
      <c r="H54" s="2" t="s">
        <v>8038</v>
      </c>
      <c r="I54" s="2" t="s">
        <v>7902</v>
      </c>
      <c r="J54" s="2" t="n">
        <v>2</v>
      </c>
    </row>
    <row r="55" customFormat="false" ht="61.15" hidden="false" customHeight="false" outlineLevel="0" collapsed="false">
      <c r="A55" s="2" t="s">
        <v>8039</v>
      </c>
      <c r="B55" s="2" t="s">
        <v>8069</v>
      </c>
      <c r="C55" s="2" t="s">
        <v>8040</v>
      </c>
      <c r="D55" s="2" t="s">
        <v>8041</v>
      </c>
      <c r="E55" s="2" t="s">
        <v>8042</v>
      </c>
      <c r="F55" s="2" t="s">
        <v>8043</v>
      </c>
      <c r="G55" s="2" t="s">
        <v>20</v>
      </c>
      <c r="H55" s="2" t="s">
        <v>8044</v>
      </c>
      <c r="I55" s="2" t="s">
        <v>7716</v>
      </c>
      <c r="J55" s="2" t="n">
        <v>2</v>
      </c>
    </row>
    <row r="56" customFormat="false" ht="61.15" hidden="false" customHeight="false" outlineLevel="0" collapsed="false">
      <c r="A56" s="2" t="s">
        <v>8045</v>
      </c>
      <c r="B56" s="2" t="s">
        <v>8069</v>
      </c>
      <c r="C56" s="2" t="s">
        <v>8046</v>
      </c>
      <c r="D56" s="2" t="s">
        <v>8047</v>
      </c>
      <c r="E56" s="2" t="s">
        <v>8048</v>
      </c>
      <c r="F56" s="2" t="s">
        <v>8049</v>
      </c>
      <c r="G56" s="2" t="s">
        <v>20</v>
      </c>
      <c r="H56" s="2" t="s">
        <v>8050</v>
      </c>
      <c r="I56" s="2" t="s">
        <v>7902</v>
      </c>
      <c r="J56" s="2" t="n">
        <v>2</v>
      </c>
    </row>
    <row r="57" customFormat="false" ht="46.25" hidden="false" customHeight="false" outlineLevel="0" collapsed="false">
      <c r="A57" s="2" t="s">
        <v>8051</v>
      </c>
      <c r="B57" s="2" t="s">
        <v>8068</v>
      </c>
      <c r="C57" s="2" t="s">
        <v>8052</v>
      </c>
      <c r="D57" s="2" t="s">
        <v>8053</v>
      </c>
      <c r="E57" s="2" t="s">
        <v>8054</v>
      </c>
      <c r="F57" s="2" t="s">
        <v>8055</v>
      </c>
      <c r="G57" s="2" t="s">
        <v>20</v>
      </c>
      <c r="H57" s="2" t="s">
        <v>8056</v>
      </c>
      <c r="I57" s="2" t="s">
        <v>7716</v>
      </c>
      <c r="J57" s="2" t="n">
        <v>2</v>
      </c>
    </row>
    <row r="58" customFormat="false" ht="76.1" hidden="false" customHeight="false" outlineLevel="0" collapsed="false">
      <c r="A58" s="2" t="s">
        <v>8057</v>
      </c>
      <c r="B58" s="2" t="s">
        <v>8069</v>
      </c>
      <c r="C58" s="2" t="s">
        <v>8058</v>
      </c>
      <c r="D58" s="2" t="s">
        <v>8059</v>
      </c>
      <c r="E58" s="2" t="s">
        <v>8060</v>
      </c>
      <c r="F58" s="2" t="s">
        <v>8061</v>
      </c>
      <c r="G58" s="2" t="s">
        <v>20</v>
      </c>
      <c r="H58" s="2" t="s">
        <v>8062</v>
      </c>
      <c r="I58" s="2" t="s">
        <v>7902</v>
      </c>
      <c r="J58" s="2" t="n">
        <v>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LibreOffice/26.2.6.3$Linux_X86_64 LibreOffice_project/620$Build-3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2026-09-24T07:16:30Z</dcterms:created>
  <dc:creator>openpyxl</dc:creator>
  <dc:description/>
  <dc:language>es-ES</dc:language>
  <cp:lastModifiedBy/>
  <dcterms:modified xsi:type="dcterms:W3CDTF">2026-10-21T07:02:51Z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